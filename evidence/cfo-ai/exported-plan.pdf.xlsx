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ealScope monthly model and pri" sheetId="1" r:id="rId1"/>
    <sheet name="Model inputs" sheetId="2" r:id="rId2"/>
    <sheet name="Export note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###;(#,##0.###)"/>
    <numFmt numFmtId="165" formatCode="&quot;$&quot;#,##0.00;(&quot;$&quot;#,##0.00)"/>
    <numFmt numFmtId="166" formatCode="0.00%"/>
    <numFmt numFmtId="167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165" fontId="3" fillId="5" borderId="1" xfId="0" applyNumberFormat="1" applyFill="1" applyFont="1" applyBorder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M10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DealScope monthly model and pricing alternatives</t>
        </is>
      </c>
    </row>
    <row r="2" ht="20" customHeight="1">
      <c r="A2" t="inlineStr" s="2">
        <is>
          <t xml:space="preserve">DealScope — Model formulas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</row>
    <row r="5">
      <c r="A5" t="inlineStr" s="6">
        <is>
          <t xml:space="preserve">Projection month</t>
        </is>
      </c>
      <c r="B5" s="7">
        <f>DATEDIF('Model inputs'!O58,DATE(2026,10,1),"M")+1</f>
        <v>1</v>
      </c>
      <c r="C5" s="7">
        <f>DATEDIF('Model inputs'!O58,DATE(2026,11,1),"M")+1</f>
        <v>2</v>
      </c>
      <c r="D5" s="7">
        <f>DATEDIF('Model inputs'!O58,DATE(2026,12,1),"M")+1</f>
        <v>3</v>
      </c>
      <c r="E5" s="7">
        <f>DATEDIF('Model inputs'!O58,DATE(2027,1,1),"M")+1</f>
        <v>4</v>
      </c>
      <c r="F5" s="7">
        <f>DATEDIF('Model inputs'!O58,DATE(2027,2,1),"M")+1</f>
        <v>5</v>
      </c>
      <c r="G5" s="7">
        <f>DATEDIF('Model inputs'!O58,DATE(2027,3,1),"M")+1</f>
        <v>6</v>
      </c>
      <c r="H5" s="7">
        <f>DATEDIF('Model inputs'!O58,DATE(2027,4,1),"M")+1</f>
        <v>7</v>
      </c>
      <c r="I5" s="7">
        <f>DATEDIF('Model inputs'!O58,DATE(2027,5,1),"M")+1</f>
        <v>8</v>
      </c>
      <c r="J5" s="7">
        <f>DATEDIF('Model inputs'!O58,DATE(2027,6,1),"M")+1</f>
        <v>9</v>
      </c>
      <c r="K5" s="7">
        <f>DATEDIF('Model inputs'!O58,DATE(2027,7,1),"M")+1</f>
        <v>10</v>
      </c>
      <c r="L5" s="7">
        <f>DATEDIF('Model inputs'!O58,DATE(2027,8,1),"M")+1</f>
        <v>11</v>
      </c>
      <c r="M5" s="7">
        <f>DATEDIF('Model inputs'!O58,DATE(2027,9,1),"M")+1</f>
        <v>12</v>
      </c>
    </row>
    <row r="6">
      <c r="A6" t="inlineStr" s="8">
        <is>
          <t xml:space="preserve">Paying customer equivalents</t>
        </is>
      </c>
      <c r="B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pri'!B5-'Model inputs'!O95)/'Model inputs'!O93,0),1),IF(IF(IF(ISERROR('DealScope monthly model and pri'!B5&gt;'Model inputs'!O95),'DealScope monthly model and pri'!B5&gt;'Model inputs'!O95,IF(OR('DealScope monthly model and pri'!B5="",'Model inputs'!O95=""),"",'DealScope monthly model and pri'!B5&gt;'Model inputs'!O95))="",FALSE,IF(ISERROR('DealScope monthly model and pri'!B5&gt;'Model inputs'!O95),'DealScope monthly model and pri'!B5&gt;'Model inputs'!O95,IF(OR('DealScope monthly model and pri'!B5="",'Model inputs'!O95=""),"",'DealScope monthly model and pri'!B5&gt;'Model inputs'!O95))),IF('Model inputs'!O96="","",'Model inputs'!O96),0))</f>
        <v>5</v>
      </c>
      <c r="C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pri'!C5-'Model inputs'!O95)/'Model inputs'!O93,0),1),IF(IF(IF(ISERROR('DealScope monthly model and pri'!C5&gt;'Model inputs'!O95),'DealScope monthly model and pri'!C5&gt;'Model inputs'!O95,IF(OR('DealScope monthly model and pri'!C5="",'Model inputs'!O95=""),"",'DealScope monthly model and pri'!C5&gt;'Model inputs'!O95))="",FALSE,IF(ISERROR('DealScope monthly model and pri'!C5&gt;'Model inputs'!O95),'DealScope monthly model and pri'!C5&gt;'Model inputs'!O95,IF(OR('DealScope monthly model and pri'!C5="",'Model inputs'!O95=""),"",'DealScope monthly model and pri'!C5&gt;'Model inputs'!O95))),IF('Model inputs'!O96="","",'Model inputs'!O96),0))</f>
        <v>5</v>
      </c>
      <c r="D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pri'!D5-'Model inputs'!O95)/'Model inputs'!O93,0),1),IF(IF(IF(ISERROR('DealScope monthly model and pri'!D5&gt;'Model inputs'!O95),'DealScope monthly model and pri'!D5&gt;'Model inputs'!O95,IF(OR('DealScope monthly model and pri'!D5="",'Model inputs'!O95=""),"",'DealScope monthly model and pri'!D5&gt;'Model inputs'!O95))="",FALSE,IF(ISERROR('DealScope monthly model and pri'!D5&gt;'Model inputs'!O95),'DealScope monthly model and pri'!D5&gt;'Model inputs'!O95,IF(OR('DealScope monthly model and pri'!D5="",'Model inputs'!O95=""),"",'DealScope monthly model and pri'!D5&gt;'Model inputs'!O95))),IF('Model inputs'!O96="","",'Model inputs'!O96),0))</f>
        <v>5</v>
      </c>
      <c r="E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pri'!E5-'Model inputs'!O95)/'Model inputs'!O93,0),1),IF(IF(IF(ISERROR('DealScope monthly model and pri'!E5&gt;'Model inputs'!O95),'DealScope monthly model and pri'!E5&gt;'Model inputs'!O95,IF(OR('DealScope monthly model and pri'!E5="",'Model inputs'!O95=""),"",'DealScope monthly model and pri'!E5&gt;'Model inputs'!O95))="",FALSE,IF(ISERROR('DealScope monthly model and pri'!E5&gt;'Model inputs'!O95),'DealScope monthly model and pri'!E5&gt;'Model inputs'!O95,IF(OR('DealScope monthly model and pri'!E5="",'Model inputs'!O95=""),"",'DealScope monthly model and pri'!E5&gt;'Model inputs'!O95))),IF('Model inputs'!O96="","",'Model inputs'!O96),0))</f>
        <v>5</v>
      </c>
      <c r="F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pri'!F5-'Model inputs'!O95)/'Model inputs'!O93,0),1),IF(IF(IF(ISERROR('DealScope monthly model and pri'!F5&gt;'Model inputs'!O95),'DealScope monthly model and pri'!F5&gt;'Model inputs'!O95,IF(OR('DealScope monthly model and pri'!F5="",'Model inputs'!O95=""),"",'DealScope monthly model and pri'!F5&gt;'Model inputs'!O95))="",FALSE,IF(ISERROR('DealScope monthly model and pri'!F5&gt;'Model inputs'!O95),'DealScope monthly model and pri'!F5&gt;'Model inputs'!O95,IF(OR('DealScope monthly model and pri'!F5="",'Model inputs'!O95=""),"",'DealScope monthly model and pri'!F5&gt;'Model inputs'!O95))),IF('Model inputs'!O96="","",'Model inputs'!O96),0))</f>
        <v>5</v>
      </c>
      <c r="G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pri'!G5-'Model inputs'!O95)/'Model inputs'!O93,0),1),IF(IF(IF(ISERROR('DealScope monthly model and pri'!G5&gt;'Model inputs'!O95),'DealScope monthly model and pri'!G5&gt;'Model inputs'!O95,IF(OR('DealScope monthly model and pri'!G5="",'Model inputs'!O95=""),"",'DealScope monthly model and pri'!G5&gt;'Model inputs'!O95))="",FALSE,IF(ISERROR('DealScope monthly model and pri'!G5&gt;'Model inputs'!O95),'DealScope monthly model and pri'!G5&gt;'Model inputs'!O95,IF(OR('DealScope monthly model and pri'!G5="",'Model inputs'!O95=""),"",'DealScope monthly model and pri'!G5&gt;'Model inputs'!O95))),IF('Model inputs'!O96="","",'Model inputs'!O96),0))</f>
        <v>5</v>
      </c>
      <c r="H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pri'!H5-'Model inputs'!O95)/'Model inputs'!O93,0),1),IF(IF(IF(ISERROR('DealScope monthly model and pri'!H5&gt;'Model inputs'!O95),'DealScope monthly model and pri'!H5&gt;'Model inputs'!O95,IF(OR('DealScope monthly model and pri'!H5="",'Model inputs'!O95=""),"",'DealScope monthly model and pri'!H5&gt;'Model inputs'!O95))="",FALSE,IF(ISERROR('DealScope monthly model and pri'!H5&gt;'Model inputs'!O95),'DealScope monthly model and pri'!H5&gt;'Model inputs'!O95,IF(OR('DealScope monthly model and pri'!H5="",'Model inputs'!O95=""),"",'DealScope monthly model and pri'!H5&gt;'Model inputs'!O95))),IF('Model inputs'!O96="","",'Model inputs'!O96),0))</f>
        <v>5</v>
      </c>
      <c r="I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pri'!I5-'Model inputs'!O95)/'Model inputs'!O93,0),1),IF(IF(IF(ISERROR('DealScope monthly model and pri'!I5&gt;'Model inputs'!O95),'DealScope monthly model and pri'!I5&gt;'Model inputs'!O95,IF(OR('DealScope monthly model and pri'!I5="",'Model inputs'!O95=""),"",'DealScope monthly model and pri'!I5&gt;'Model inputs'!O95))="",FALSE,IF(ISERROR('DealScope monthly model and pri'!I5&gt;'Model inputs'!O95),'DealScope monthly model and pri'!I5&gt;'Model inputs'!O95,IF(OR('DealScope monthly model and pri'!I5="",'Model inputs'!O95=""),"",'DealScope monthly model and pri'!I5&gt;'Model inputs'!O95))),IF('Model inputs'!O96="","",'Model inputs'!O96),0))</f>
        <v>5</v>
      </c>
      <c r="J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pri'!J5-'Model inputs'!O95)/'Model inputs'!O93,0),1),IF(IF(IF(ISERROR('DealScope monthly model and pri'!J5&gt;'Model inputs'!O95),'DealScope monthly model and pri'!J5&gt;'Model inputs'!O95,IF(OR('DealScope monthly model and pri'!J5="",'Model inputs'!O95=""),"",'DealScope monthly model and pri'!J5&gt;'Model inputs'!O95))="",FALSE,IF(ISERROR('DealScope monthly model and pri'!J5&gt;'Model inputs'!O95),'DealScope monthly model and pri'!J5&gt;'Model inputs'!O95,IF(OR('DealScope monthly model and pri'!J5="",'Model inputs'!O95=""),"",'DealScope monthly model and pri'!J5&gt;'Model inputs'!O95))),IF('Model inputs'!O96="","",'Model inputs'!O96),0))</f>
        <v>5</v>
      </c>
      <c r="K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pri'!K5-'Model inputs'!O95)/'Model inputs'!O93,0),1),IF(IF(IF(ISERROR('DealScope monthly model and pri'!K5&gt;'Model inputs'!O95),'DealScope monthly model and pri'!K5&gt;'Model inputs'!O95,IF(OR('DealScope monthly model and pri'!K5="",'Model inputs'!O95=""),"",'DealScope monthly model and pri'!K5&gt;'Model inputs'!O95))="",FALSE,IF(ISERROR('DealScope monthly model and pri'!K5&gt;'Model inputs'!O95),'DealScope monthly model and pri'!K5&gt;'Model inputs'!O95,IF(OR('DealScope monthly model and pri'!K5="",'Model inputs'!O95=""),"",'DealScope monthly model and pri'!K5&gt;'Model inputs'!O95))),IF('Model inputs'!O96="","",'Model inputs'!O96),0))</f>
        <v>5</v>
      </c>
      <c r="L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pri'!L5-'Model inputs'!O95)/'Model inputs'!O93,0),1),IF(IF(IF(ISERROR('DealScope monthly model and pri'!L5&gt;'Model inputs'!O95),'DealScope monthly model and pri'!L5&gt;'Model inputs'!O95,IF(OR('DealScope monthly model and pri'!L5="",'Model inputs'!O95=""),"",'DealScope monthly model and pri'!L5&gt;'Model inputs'!O95))="",FALSE,IF(ISERROR('DealScope monthly model and pri'!L5&gt;'Model inputs'!O95),'DealScope monthly model and pri'!L5&gt;'Model inputs'!O95,IF(OR('DealScope monthly model and pri'!L5="",'Model inputs'!O95=""),"",'DealScope monthly model and pri'!L5&gt;'Model inputs'!O95))),IF('Model inputs'!O96="","",'Model inputs'!O96),0))</f>
        <v>5</v>
      </c>
      <c r="M6" s="9">
        <f>IF(IF(IF(ISERROR('Model inputs'!O94=1),'Model inputs'!O94=1,IF('Model inputs'!O94="","",'Model inputs'!O94=1))="",FALSE,IF(ISERROR('Model inputs'!O94=1),'Model inputs'!O94=1,IF('Model inputs'!O94="","",'Model inputs'!O94=1))),'Model inputs'!O96*MIN(MAX(('DealScope monthly model and pri'!M5-'Model inputs'!O95)/'Model inputs'!O93,0),1),IF(IF(IF(ISERROR('DealScope monthly model and pri'!M5&gt;'Model inputs'!O95),'DealScope monthly model and pri'!M5&gt;'Model inputs'!O95,IF(OR('DealScope monthly model and pri'!M5="",'Model inputs'!O95=""),"",'DealScope monthly model and pri'!M5&gt;'Model inputs'!O95))="",FALSE,IF(ISERROR('DealScope monthly model and pri'!M5&gt;'Model inputs'!O95),'DealScope monthly model and pri'!M5&gt;'Model inputs'!O95,IF(OR('DealScope monthly model and pri'!M5="",'Model inputs'!O95=""),"",'DealScope monthly model and pri'!M5&gt;'Model inputs'!O95))),IF('Model inputs'!O96="","",'Model inputs'!O96),0))</f>
        <v>5</v>
      </c>
    </row>
    <row r="7">
      <c r="A7" t="inlineStr" s="8">
        <is>
          <t xml:space="preserve">New customer equivalents</t>
        </is>
      </c>
      <c r="B7" s="9">
        <f>MAX('DealScope monthly model and pri'!B6-IF(IF(IF(IF(ISERROR('DealScope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inputs'!B68="","",'Model inputs'!B68))="",0,IF(IF(IF(ISERROR('DealScope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inputs'!B68="","",'Model inputs'!B68))),0)</f>
        <v>5</v>
      </c>
      <c r="C7" s="9">
        <f>MAX('DealScope monthly model and pri'!C6-IF(IF(IF(IF(ISERROR('DealScope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pri'!B6="","",'DealScope monthly model and pri'!B6))="",0,IF(IF(IF(ISERROR('DealScope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pri'!B6="","",'DealScope monthly model and pri'!B6))),0)</f>
        <v>0</v>
      </c>
      <c r="D7" s="9">
        <f>MAX('DealScope monthly model and pri'!D6-IF(IF(IF(IF(ISERROR('DealScope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pri'!C6="","",'DealScope monthly model and pri'!C6))="",0,IF(IF(IF(ISERROR('DealScope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pri'!C6="","",'DealScope monthly model and pri'!C6))),0)</f>
        <v>0</v>
      </c>
      <c r="E7" s="9">
        <f>MAX('DealScope monthly model and pri'!E6-IF(IF(IF(IF(ISERROR('DealScope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pri'!D6="","",'DealScope monthly model and pri'!D6))="",0,IF(IF(IF(ISERROR('DealScope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pri'!D6="","",'DealScope monthly model and pri'!D6))),0)</f>
        <v>0</v>
      </c>
      <c r="F7" s="9">
        <f>MAX('DealScope monthly model and pri'!F6-IF(IF(IF(IF(ISERROR('DealScope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pri'!E6="","",'DealScope monthly model and pri'!E6))="",0,IF(IF(IF(ISERROR('DealScope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pri'!E6="","",'DealScope monthly model and pri'!E6))),0)</f>
        <v>0</v>
      </c>
      <c r="G7" s="9">
        <f>MAX('DealScope monthly model and pri'!G6-IF(IF(IF(IF(ISERROR('DealScope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pri'!F6="","",'DealScope monthly model and pri'!F6))="",0,IF(IF(IF(ISERROR('DealScope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pri'!F6="","",'DealScope monthly model and pri'!F6))),0)</f>
        <v>0</v>
      </c>
      <c r="H7" s="9">
        <f>MAX('DealScope monthly model and pri'!H6-IF(IF(IF(IF(ISERROR('DealScope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pri'!G6="","",'DealScope monthly model and pri'!G6))="",0,IF(IF(IF(ISERROR('DealScope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pri'!G6="","",'DealScope monthly model and pri'!G6))),0)</f>
        <v>0</v>
      </c>
      <c r="I7" s="9">
        <f>MAX('DealScope monthly model and pri'!I6-IF(IF(IF(IF(ISERROR('DealScope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pri'!H6="","",'DealScope monthly model and pri'!H6))="",0,IF(IF(IF(ISERROR('DealScope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pri'!H6="","",'DealScope monthly model and pri'!H6))),0)</f>
        <v>0</v>
      </c>
      <c r="J7" s="9">
        <f>MAX('DealScope monthly model and pri'!J6-IF(IF(IF(IF(ISERROR('DealScope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pri'!I6="","",'DealScope monthly model and pri'!I6))="",0,IF(IF(IF(ISERROR('DealScope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pri'!I6="","",'DealScope monthly model and pri'!I6))),0)</f>
        <v>0</v>
      </c>
      <c r="K7" s="9">
        <f>MAX('DealScope monthly model and pri'!K6-IF(IF(IF(IF(ISERROR('DealScope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pri'!J6="","",'DealScope monthly model and pri'!J6))="",0,IF(IF(IF(ISERROR('DealScope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pri'!J6="","",'DealScope monthly model and pri'!J6))),0)</f>
        <v>0</v>
      </c>
      <c r="L7" s="9">
        <f>MAX('DealScope monthly model and pri'!L6-IF(IF(IF(IF(ISERROR('DealScope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pri'!K6="","",'DealScope monthly model and pri'!K6))="",0,IF(IF(IF(ISERROR('DealScope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pri'!K6="","",'DealScope monthly model and pri'!K6))),0)</f>
        <v>0</v>
      </c>
      <c r="M7" s="9">
        <f>MAX('DealScope monthly model and pri'!M6-IF(IF(IF(IF(ISERROR('DealScope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pri'!L6="","",'DealScope monthly model and pri'!L6))="",0,IF(IF(IF(ISERROR('DealScope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pri'!L6="","",'DealScope monthly model and pri'!L6))),0)</f>
        <v>0</v>
      </c>
    </row>
    <row r="8">
      <c r="A8" t="inlineStr" s="8">
        <is>
          <t xml:space="preserve">Fixed costs</t>
        </is>
      </c>
      <c r="B8" s="10">
        <f>'Model inputs'!O60+'Model inputs'!O84+'Model inputs'!O42+'Model inputs'!O59+'Model inputs'!O82+IF(IF(IF(IF(ISERROR('DealScope monthly model and pri'!B5&gt;='Model inputs'!O27),'DealScope monthly model and pri'!B5&gt;='Model inputs'!O27,IF(OR('DealScope monthly model and pri'!B5="",'Model inputs'!O27=""),"",'DealScope monthly model and pri'!B5&gt;='Model inputs'!O27))="",FALSE,IF(ISERROR('DealScope monthly model and pri'!B5&gt;='Model inputs'!O27),'DealScope monthly model and pri'!B5&gt;='Model inputs'!O27,IF(OR('DealScope monthly model and pri'!B5="",'Model inputs'!O27=""),"",'DealScope monthly model and pri'!B5&gt;='Model inputs'!O27))),IF('Model inputs'!O26="","",'Model inputs'!O26),0)="",0,IF(IF(IF(ISERROR('DealScope monthly model and pri'!B5&gt;='Model inputs'!O27),'DealScope monthly model and pri'!B5&gt;='Model inputs'!O27,IF(OR('DealScope monthly model and pri'!B5="",'Model inputs'!O27=""),"",'DealScope monthly model and pri'!B5&gt;='Model inputs'!O27))="",FALSE,IF(ISERROR('DealScope monthly model and pri'!B5&gt;='Model inputs'!O27),'DealScope monthly model and pri'!B5&gt;='Model inputs'!O27,IF(OR('DealScope monthly model and pri'!B5="",'Model inputs'!O27=""),"",'DealScope monthly model and pri'!B5&gt;='Model inputs'!O27))),IF('Model inputs'!O26="","",'Model inputs'!O26),0))</f>
        <v>750</v>
      </c>
      <c r="C8" s="10">
        <f>'Model inputs'!O60+'Model inputs'!O84+'Model inputs'!O42+'Model inputs'!O59+'Model inputs'!O82+IF(IF(IF(IF(ISERROR('DealScope monthly model and pri'!C5&gt;='Model inputs'!O27),'DealScope monthly model and pri'!C5&gt;='Model inputs'!O27,IF(OR('DealScope monthly model and pri'!C5="",'Model inputs'!O27=""),"",'DealScope monthly model and pri'!C5&gt;='Model inputs'!O27))="",FALSE,IF(ISERROR('DealScope monthly model and pri'!C5&gt;='Model inputs'!O27),'DealScope monthly model and pri'!C5&gt;='Model inputs'!O27,IF(OR('DealScope monthly model and pri'!C5="",'Model inputs'!O27=""),"",'DealScope monthly model and pri'!C5&gt;='Model inputs'!O27))),IF('Model inputs'!O26="","",'Model inputs'!O26),0)="",0,IF(IF(IF(ISERROR('DealScope monthly model and pri'!C5&gt;='Model inputs'!O27),'DealScope monthly model and pri'!C5&gt;='Model inputs'!O27,IF(OR('DealScope monthly model and pri'!C5="",'Model inputs'!O27=""),"",'DealScope monthly model and pri'!C5&gt;='Model inputs'!O27))="",FALSE,IF(ISERROR('DealScope monthly model and pri'!C5&gt;='Model inputs'!O27),'DealScope monthly model and pri'!C5&gt;='Model inputs'!O27,IF(OR('DealScope monthly model and pri'!C5="",'Model inputs'!O27=""),"",'DealScope monthly model and pri'!C5&gt;='Model inputs'!O27))),IF('Model inputs'!O26="","",'Model inputs'!O26),0))</f>
        <v>750</v>
      </c>
      <c r="D8" s="10">
        <f>'Model inputs'!O60+'Model inputs'!O84+'Model inputs'!O42+'Model inputs'!O59+'Model inputs'!O82+IF(IF(IF(IF(ISERROR('DealScope monthly model and pri'!D5&gt;='Model inputs'!O27),'DealScope monthly model and pri'!D5&gt;='Model inputs'!O27,IF(OR('DealScope monthly model and pri'!D5="",'Model inputs'!O27=""),"",'DealScope monthly model and pri'!D5&gt;='Model inputs'!O27))="",FALSE,IF(ISERROR('DealScope monthly model and pri'!D5&gt;='Model inputs'!O27),'DealScope monthly model and pri'!D5&gt;='Model inputs'!O27,IF(OR('DealScope monthly model and pri'!D5="",'Model inputs'!O27=""),"",'DealScope monthly model and pri'!D5&gt;='Model inputs'!O27))),IF('Model inputs'!O26="","",'Model inputs'!O26),0)="",0,IF(IF(IF(ISERROR('DealScope monthly model and pri'!D5&gt;='Model inputs'!O27),'DealScope monthly model and pri'!D5&gt;='Model inputs'!O27,IF(OR('DealScope monthly model and pri'!D5="",'Model inputs'!O27=""),"",'DealScope monthly model and pri'!D5&gt;='Model inputs'!O27))="",FALSE,IF(ISERROR('DealScope monthly model and pri'!D5&gt;='Model inputs'!O27),'DealScope monthly model and pri'!D5&gt;='Model inputs'!O27,IF(OR('DealScope monthly model and pri'!D5="",'Model inputs'!O27=""),"",'DealScope monthly model and pri'!D5&gt;='Model inputs'!O27))),IF('Model inputs'!O26="","",'Model inputs'!O26),0))</f>
        <v>750</v>
      </c>
      <c r="E8" s="10">
        <f>'Model inputs'!O60+'Model inputs'!O84+'Model inputs'!O42+'Model inputs'!O59+'Model inputs'!O82+IF(IF(IF(IF(ISERROR('DealScope monthly model and pri'!E5&gt;='Model inputs'!O27),'DealScope monthly model and pri'!E5&gt;='Model inputs'!O27,IF(OR('DealScope monthly model and pri'!E5="",'Model inputs'!O27=""),"",'DealScope monthly model and pri'!E5&gt;='Model inputs'!O27))="",FALSE,IF(ISERROR('DealScope monthly model and pri'!E5&gt;='Model inputs'!O27),'DealScope monthly model and pri'!E5&gt;='Model inputs'!O27,IF(OR('DealScope monthly model and pri'!E5="",'Model inputs'!O27=""),"",'DealScope monthly model and pri'!E5&gt;='Model inputs'!O27))),IF('Model inputs'!O26="","",'Model inputs'!O26),0)="",0,IF(IF(IF(ISERROR('DealScope monthly model and pri'!E5&gt;='Model inputs'!O27),'DealScope monthly model and pri'!E5&gt;='Model inputs'!O27,IF(OR('DealScope monthly model and pri'!E5="",'Model inputs'!O27=""),"",'DealScope monthly model and pri'!E5&gt;='Model inputs'!O27))="",FALSE,IF(ISERROR('DealScope monthly model and pri'!E5&gt;='Model inputs'!O27),'DealScope monthly model and pri'!E5&gt;='Model inputs'!O27,IF(OR('DealScope monthly model and pri'!E5="",'Model inputs'!O27=""),"",'DealScope monthly model and pri'!E5&gt;='Model inputs'!O27))),IF('Model inputs'!O26="","",'Model inputs'!O26),0))</f>
        <v>750</v>
      </c>
      <c r="F8" s="10">
        <f>'Model inputs'!O60+'Model inputs'!O84+'Model inputs'!O42+'Model inputs'!O59+'Model inputs'!O82+IF(IF(IF(IF(ISERROR('DealScope monthly model and pri'!F5&gt;='Model inputs'!O27),'DealScope monthly model and pri'!F5&gt;='Model inputs'!O27,IF(OR('DealScope monthly model and pri'!F5="",'Model inputs'!O27=""),"",'DealScope monthly model and pri'!F5&gt;='Model inputs'!O27))="",FALSE,IF(ISERROR('DealScope monthly model and pri'!F5&gt;='Model inputs'!O27),'DealScope monthly model and pri'!F5&gt;='Model inputs'!O27,IF(OR('DealScope monthly model and pri'!F5="",'Model inputs'!O27=""),"",'DealScope monthly model and pri'!F5&gt;='Model inputs'!O27))),IF('Model inputs'!O26="","",'Model inputs'!O26),0)="",0,IF(IF(IF(ISERROR('DealScope monthly model and pri'!F5&gt;='Model inputs'!O27),'DealScope monthly model and pri'!F5&gt;='Model inputs'!O27,IF(OR('DealScope monthly model and pri'!F5="",'Model inputs'!O27=""),"",'DealScope monthly model and pri'!F5&gt;='Model inputs'!O27))="",FALSE,IF(ISERROR('DealScope monthly model and pri'!F5&gt;='Model inputs'!O27),'DealScope monthly model and pri'!F5&gt;='Model inputs'!O27,IF(OR('DealScope monthly model and pri'!F5="",'Model inputs'!O27=""),"",'DealScope monthly model and pri'!F5&gt;='Model inputs'!O27))),IF('Model inputs'!O26="","",'Model inputs'!O26),0))</f>
        <v>750</v>
      </c>
      <c r="G8" s="10">
        <f>'Model inputs'!O60+'Model inputs'!O84+'Model inputs'!O42+'Model inputs'!O59+'Model inputs'!O82+IF(IF(IF(IF(ISERROR('DealScope monthly model and pri'!G5&gt;='Model inputs'!O27),'DealScope monthly model and pri'!G5&gt;='Model inputs'!O27,IF(OR('DealScope monthly model and pri'!G5="",'Model inputs'!O27=""),"",'DealScope monthly model and pri'!G5&gt;='Model inputs'!O27))="",FALSE,IF(ISERROR('DealScope monthly model and pri'!G5&gt;='Model inputs'!O27),'DealScope monthly model and pri'!G5&gt;='Model inputs'!O27,IF(OR('DealScope monthly model and pri'!G5="",'Model inputs'!O27=""),"",'DealScope monthly model and pri'!G5&gt;='Model inputs'!O27))),IF('Model inputs'!O26="","",'Model inputs'!O26),0)="",0,IF(IF(IF(ISERROR('DealScope monthly model and pri'!G5&gt;='Model inputs'!O27),'DealScope monthly model and pri'!G5&gt;='Model inputs'!O27,IF(OR('DealScope monthly model and pri'!G5="",'Model inputs'!O27=""),"",'DealScope monthly model and pri'!G5&gt;='Model inputs'!O27))="",FALSE,IF(ISERROR('DealScope monthly model and pri'!G5&gt;='Model inputs'!O27),'DealScope monthly model and pri'!G5&gt;='Model inputs'!O27,IF(OR('DealScope monthly model and pri'!G5="",'Model inputs'!O27=""),"",'DealScope monthly model and pri'!G5&gt;='Model inputs'!O27))),IF('Model inputs'!O26="","",'Model inputs'!O26),0))</f>
        <v>1250</v>
      </c>
      <c r="H8" s="10">
        <f>'Model inputs'!O60+'Model inputs'!O84+'Model inputs'!O42+'Model inputs'!O59+'Model inputs'!O82+IF(IF(IF(IF(ISERROR('DealScope monthly model and pri'!H5&gt;='Model inputs'!O27),'DealScope monthly model and pri'!H5&gt;='Model inputs'!O27,IF(OR('DealScope monthly model and pri'!H5="",'Model inputs'!O27=""),"",'DealScope monthly model and pri'!H5&gt;='Model inputs'!O27))="",FALSE,IF(ISERROR('DealScope monthly model and pri'!H5&gt;='Model inputs'!O27),'DealScope monthly model and pri'!H5&gt;='Model inputs'!O27,IF(OR('DealScope monthly model and pri'!H5="",'Model inputs'!O27=""),"",'DealScope monthly model and pri'!H5&gt;='Model inputs'!O27))),IF('Model inputs'!O26="","",'Model inputs'!O26),0)="",0,IF(IF(IF(ISERROR('DealScope monthly model and pri'!H5&gt;='Model inputs'!O27),'DealScope monthly model and pri'!H5&gt;='Model inputs'!O27,IF(OR('DealScope monthly model and pri'!H5="",'Model inputs'!O27=""),"",'DealScope monthly model and pri'!H5&gt;='Model inputs'!O27))="",FALSE,IF(ISERROR('DealScope monthly model and pri'!H5&gt;='Model inputs'!O27),'DealScope monthly model and pri'!H5&gt;='Model inputs'!O27,IF(OR('DealScope monthly model and pri'!H5="",'Model inputs'!O27=""),"",'DealScope monthly model and pri'!H5&gt;='Model inputs'!O27))),IF('Model inputs'!O26="","",'Model inputs'!O26),0))</f>
        <v>1250</v>
      </c>
      <c r="I8" s="10">
        <f>'Model inputs'!O60+'Model inputs'!O84+'Model inputs'!O42+'Model inputs'!O59+'Model inputs'!O82+IF(IF(IF(IF(ISERROR('DealScope monthly model and pri'!I5&gt;='Model inputs'!O27),'DealScope monthly model and pri'!I5&gt;='Model inputs'!O27,IF(OR('DealScope monthly model and pri'!I5="",'Model inputs'!O27=""),"",'DealScope monthly model and pri'!I5&gt;='Model inputs'!O27))="",FALSE,IF(ISERROR('DealScope monthly model and pri'!I5&gt;='Model inputs'!O27),'DealScope monthly model and pri'!I5&gt;='Model inputs'!O27,IF(OR('DealScope monthly model and pri'!I5="",'Model inputs'!O27=""),"",'DealScope monthly model and pri'!I5&gt;='Model inputs'!O27))),IF('Model inputs'!O26="","",'Model inputs'!O26),0)="",0,IF(IF(IF(ISERROR('DealScope monthly model and pri'!I5&gt;='Model inputs'!O27),'DealScope monthly model and pri'!I5&gt;='Model inputs'!O27,IF(OR('DealScope monthly model and pri'!I5="",'Model inputs'!O27=""),"",'DealScope monthly model and pri'!I5&gt;='Model inputs'!O27))="",FALSE,IF(ISERROR('DealScope monthly model and pri'!I5&gt;='Model inputs'!O27),'DealScope monthly model and pri'!I5&gt;='Model inputs'!O27,IF(OR('DealScope monthly model and pri'!I5="",'Model inputs'!O27=""),"",'DealScope monthly model and pri'!I5&gt;='Model inputs'!O27))),IF('Model inputs'!O26="","",'Model inputs'!O26),0))</f>
        <v>1250</v>
      </c>
      <c r="J8" s="10">
        <f>'Model inputs'!O60+'Model inputs'!O84+'Model inputs'!O42+'Model inputs'!O59+'Model inputs'!O82+IF(IF(IF(IF(ISERROR('DealScope monthly model and pri'!J5&gt;='Model inputs'!O27),'DealScope monthly model and pri'!J5&gt;='Model inputs'!O27,IF(OR('DealScope monthly model and pri'!J5="",'Model inputs'!O27=""),"",'DealScope monthly model and pri'!J5&gt;='Model inputs'!O27))="",FALSE,IF(ISERROR('DealScope monthly model and pri'!J5&gt;='Model inputs'!O27),'DealScope monthly model and pri'!J5&gt;='Model inputs'!O27,IF(OR('DealScope monthly model and pri'!J5="",'Model inputs'!O27=""),"",'DealScope monthly model and pri'!J5&gt;='Model inputs'!O27))),IF('Model inputs'!O26="","",'Model inputs'!O26),0)="",0,IF(IF(IF(ISERROR('DealScope monthly model and pri'!J5&gt;='Model inputs'!O27),'DealScope monthly model and pri'!J5&gt;='Model inputs'!O27,IF(OR('DealScope monthly model and pri'!J5="",'Model inputs'!O27=""),"",'DealScope monthly model and pri'!J5&gt;='Model inputs'!O27))="",FALSE,IF(ISERROR('DealScope monthly model and pri'!J5&gt;='Model inputs'!O27),'DealScope monthly model and pri'!J5&gt;='Model inputs'!O27,IF(OR('DealScope monthly model and pri'!J5="",'Model inputs'!O27=""),"",'DealScope monthly model and pri'!J5&gt;='Model inputs'!O27))),IF('Model inputs'!O26="","",'Model inputs'!O26),0))</f>
        <v>1250</v>
      </c>
      <c r="K8" s="10">
        <f>'Model inputs'!O60+'Model inputs'!O84+'Model inputs'!O42+'Model inputs'!O59+'Model inputs'!O82+IF(IF(IF(IF(ISERROR('DealScope monthly model and pri'!K5&gt;='Model inputs'!O27),'DealScope monthly model and pri'!K5&gt;='Model inputs'!O27,IF(OR('DealScope monthly model and pri'!K5="",'Model inputs'!O27=""),"",'DealScope monthly model and pri'!K5&gt;='Model inputs'!O27))="",FALSE,IF(ISERROR('DealScope monthly model and pri'!K5&gt;='Model inputs'!O27),'DealScope monthly model and pri'!K5&gt;='Model inputs'!O27,IF(OR('DealScope monthly model and pri'!K5="",'Model inputs'!O27=""),"",'DealScope monthly model and pri'!K5&gt;='Model inputs'!O27))),IF('Model inputs'!O26="","",'Model inputs'!O26),0)="",0,IF(IF(IF(ISERROR('DealScope monthly model and pri'!K5&gt;='Model inputs'!O27),'DealScope monthly model and pri'!K5&gt;='Model inputs'!O27,IF(OR('DealScope monthly model and pri'!K5="",'Model inputs'!O27=""),"",'DealScope monthly model and pri'!K5&gt;='Model inputs'!O27))="",FALSE,IF(ISERROR('DealScope monthly model and pri'!K5&gt;='Model inputs'!O27),'DealScope monthly model and pri'!K5&gt;='Model inputs'!O27,IF(OR('DealScope monthly model and pri'!K5="",'Model inputs'!O27=""),"",'DealScope monthly model and pri'!K5&gt;='Model inputs'!O27))),IF('Model inputs'!O26="","",'Model inputs'!O26),0))</f>
        <v>1250</v>
      </c>
      <c r="L8" s="10">
        <f>'Model inputs'!O60+'Model inputs'!O84+'Model inputs'!O42+'Model inputs'!O59+'Model inputs'!O82+IF(IF(IF(IF(ISERROR('DealScope monthly model and pri'!L5&gt;='Model inputs'!O27),'DealScope monthly model and pri'!L5&gt;='Model inputs'!O27,IF(OR('DealScope monthly model and pri'!L5="",'Model inputs'!O27=""),"",'DealScope monthly model and pri'!L5&gt;='Model inputs'!O27))="",FALSE,IF(ISERROR('DealScope monthly model and pri'!L5&gt;='Model inputs'!O27),'DealScope monthly model and pri'!L5&gt;='Model inputs'!O27,IF(OR('DealScope monthly model and pri'!L5="",'Model inputs'!O27=""),"",'DealScope monthly model and pri'!L5&gt;='Model inputs'!O27))),IF('Model inputs'!O26="","",'Model inputs'!O26),0)="",0,IF(IF(IF(ISERROR('DealScope monthly model and pri'!L5&gt;='Model inputs'!O27),'DealScope monthly model and pri'!L5&gt;='Model inputs'!O27,IF(OR('DealScope monthly model and pri'!L5="",'Model inputs'!O27=""),"",'DealScope monthly model and pri'!L5&gt;='Model inputs'!O27))="",FALSE,IF(ISERROR('DealScope monthly model and pri'!L5&gt;='Model inputs'!O27),'DealScope monthly model and pri'!L5&gt;='Model inputs'!O27,IF(OR('DealScope monthly model and pri'!L5="",'Model inputs'!O27=""),"",'DealScope monthly model and pri'!L5&gt;='Model inputs'!O27))),IF('Model inputs'!O26="","",'Model inputs'!O26),0))</f>
        <v>1250</v>
      </c>
      <c r="M8" s="10">
        <f>'Model inputs'!O60+'Model inputs'!O84+'Model inputs'!O42+'Model inputs'!O59+'Model inputs'!O82+IF(IF(IF(IF(ISERROR('DealScope monthly model and pri'!M5&gt;='Model inputs'!O27),'DealScope monthly model and pri'!M5&gt;='Model inputs'!O27,IF(OR('DealScope monthly model and pri'!M5="",'Model inputs'!O27=""),"",'DealScope monthly model and pri'!M5&gt;='Model inputs'!O27))="",FALSE,IF(ISERROR('DealScope monthly model and pri'!M5&gt;='Model inputs'!O27),'DealScope monthly model and pri'!M5&gt;='Model inputs'!O27,IF(OR('DealScope monthly model and pri'!M5="",'Model inputs'!O27=""),"",'DealScope monthly model and pri'!M5&gt;='Model inputs'!O27))),IF('Model inputs'!O26="","",'Model inputs'!O26),0)="",0,IF(IF(IF(ISERROR('DealScope monthly model and pri'!M5&gt;='Model inputs'!O27),'DealScope monthly model and pri'!M5&gt;='Model inputs'!O27,IF(OR('DealScope monthly model and pri'!M5="",'Model inputs'!O27=""),"",'DealScope monthly model and pri'!M5&gt;='Model inputs'!O27))="",FALSE,IF(ISERROR('DealScope monthly model and pri'!M5&gt;='Model inputs'!O27),'DealScope monthly model and pri'!M5&gt;='Model inputs'!O27,IF(OR('DealScope monthly model and pri'!M5="",'Model inputs'!O27=""),"",'DealScope monthly model and pri'!M5&gt;='Model inputs'!O27))),IF('Model inputs'!O26="","",'Model inputs'!O26),0))</f>
        <v>1250</v>
      </c>
    </row>
    <row r="9">
      <c r="A9" t="inlineStr" s="6">
        <is>
          <t xml:space="preserve">Audits delivered</t>
        </is>
      </c>
      <c r="B9" t="str" s="7">
        <f>""</f>
        <v/>
      </c>
      <c r="C9" t="str" s="7">
        <f>""</f>
        <v/>
      </c>
      <c r="D9" t="str" s="7">
        <f>""</f>
        <v/>
      </c>
      <c r="E9" t="str" s="7">
        <f>""</f>
        <v/>
      </c>
      <c r="F9" t="str" s="7">
        <f>""</f>
        <v/>
      </c>
      <c r="G9" t="str" s="7">
        <f>""</f>
        <v/>
      </c>
      <c r="H9" t="str" s="7">
        <f>""</f>
        <v/>
      </c>
      <c r="I9" t="str" s="7">
        <f>""</f>
        <v/>
      </c>
      <c r="J9" t="str" s="7">
        <f>""</f>
        <v/>
      </c>
      <c r="K9" t="str" s="7">
        <f>""</f>
        <v/>
      </c>
      <c r="L9" t="str" s="7">
        <f>""</f>
        <v/>
      </c>
      <c r="M9" t="str" s="7">
        <f>""</f>
        <v/>
      </c>
    </row>
    <row r="10" outlineLevel="1">
      <c r="A10" t="inlineStr" s="11">
        <is>
          <t xml:space="preserve">Annual deal-team</t>
        </is>
      </c>
      <c r="B10" s="9">
        <f>'DealScope monthly model and pri'!B6*'Model inputs'!O31</f>
        <v>15</v>
      </c>
      <c r="C10" s="9">
        <f>'DealScope monthly model and pri'!C6*'Model inputs'!O31</f>
        <v>15</v>
      </c>
      <c r="D10" s="9">
        <f>'DealScope monthly model and pri'!D6*'Model inputs'!O31</f>
        <v>15</v>
      </c>
      <c r="E10" s="9">
        <f>'DealScope monthly model and pri'!E6*'Model inputs'!O31</f>
        <v>15</v>
      </c>
      <c r="F10" s="9">
        <f>'DealScope monthly model and pri'!F6*'Model inputs'!O31</f>
        <v>15</v>
      </c>
      <c r="G10" s="9">
        <f>'DealScope monthly model and pri'!G6*'Model inputs'!O31</f>
        <v>15</v>
      </c>
      <c r="H10" s="9">
        <f>'DealScope monthly model and pri'!H6*'Model inputs'!O31</f>
        <v>15</v>
      </c>
      <c r="I10" s="9">
        <f>'DealScope monthly model and pri'!I6*'Model inputs'!O31</f>
        <v>15</v>
      </c>
      <c r="J10" s="9">
        <f>'DealScope monthly model and pri'!J6*'Model inputs'!O31</f>
        <v>15</v>
      </c>
      <c r="K10" s="9">
        <f>'DealScope monthly model and pri'!K6*'Model inputs'!O31</f>
        <v>15</v>
      </c>
      <c r="L10" s="9">
        <f>'DealScope monthly model and pri'!L6*'Model inputs'!O31</f>
        <v>15</v>
      </c>
      <c r="M10" s="9">
        <f>'DealScope monthly model and pri'!M6*'Model inputs'!O31</f>
        <v>15</v>
      </c>
    </row>
    <row r="11" outlineLevel="1">
      <c r="A11" t="inlineStr" s="11">
        <is>
          <t xml:space="preserve">Hybrid</t>
        </is>
      </c>
      <c r="B11" s="9">
        <f>'DealScope monthly model and pri'!B6*'Model inputs'!O32</f>
        <v>15</v>
      </c>
      <c r="C11" s="9">
        <f>'DealScope monthly model and pri'!C6*'Model inputs'!O32</f>
        <v>15</v>
      </c>
      <c r="D11" s="9">
        <f>'DealScope monthly model and pri'!D6*'Model inputs'!O32</f>
        <v>15</v>
      </c>
      <c r="E11" s="9">
        <f>'DealScope monthly model and pri'!E6*'Model inputs'!O32</f>
        <v>15</v>
      </c>
      <c r="F11" s="9">
        <f>'DealScope monthly model and pri'!F6*'Model inputs'!O32</f>
        <v>15</v>
      </c>
      <c r="G11" s="9">
        <f>'DealScope monthly model and pri'!G6*'Model inputs'!O32</f>
        <v>15</v>
      </c>
      <c r="H11" s="9">
        <f>'DealScope monthly model and pri'!H6*'Model inputs'!O32</f>
        <v>15</v>
      </c>
      <c r="I11" s="9">
        <f>'DealScope monthly model and pri'!I6*'Model inputs'!O32</f>
        <v>15</v>
      </c>
      <c r="J11" s="9">
        <f>'DealScope monthly model and pri'!J6*'Model inputs'!O32</f>
        <v>15</v>
      </c>
      <c r="K11" s="9">
        <f>'DealScope monthly model and pri'!K6*'Model inputs'!O32</f>
        <v>15</v>
      </c>
      <c r="L11" s="9">
        <f>'DealScope monthly model and pri'!L6*'Model inputs'!O32</f>
        <v>15</v>
      </c>
      <c r="M11" s="9">
        <f>'DealScope monthly model and pri'!M6*'Model inputs'!O32</f>
        <v>15</v>
      </c>
    </row>
    <row r="12" outlineLevel="1">
      <c r="A12" t="inlineStr" s="11">
        <is>
          <t xml:space="preserve">Per audit — base</t>
        </is>
      </c>
      <c r="B12" s="9">
        <f>'DealScope monthly model and pri'!B6*'Model inputs'!O33</f>
        <v>15</v>
      </c>
      <c r="C12" s="9">
        <f>'DealScope monthly model and pri'!C6*'Model inputs'!O33</f>
        <v>15</v>
      </c>
      <c r="D12" s="9">
        <f>'DealScope monthly model and pri'!D6*'Model inputs'!O33</f>
        <v>15</v>
      </c>
      <c r="E12" s="9">
        <f>'DealScope monthly model and pri'!E6*'Model inputs'!O33</f>
        <v>15</v>
      </c>
      <c r="F12" s="9">
        <f>'DealScope monthly model and pri'!F6*'Model inputs'!O33</f>
        <v>15</v>
      </c>
      <c r="G12" s="9">
        <f>'DealScope monthly model and pri'!G6*'Model inputs'!O33</f>
        <v>15</v>
      </c>
      <c r="H12" s="9">
        <f>'DealScope monthly model and pri'!H6*'Model inputs'!O33</f>
        <v>15</v>
      </c>
      <c r="I12" s="9">
        <f>'DealScope monthly model and pri'!I6*'Model inputs'!O33</f>
        <v>15</v>
      </c>
      <c r="J12" s="9">
        <f>'DealScope monthly model and pri'!J6*'Model inputs'!O33</f>
        <v>15</v>
      </c>
      <c r="K12" s="9">
        <f>'DealScope monthly model and pri'!K6*'Model inputs'!O33</f>
        <v>15</v>
      </c>
      <c r="L12" s="9">
        <f>'DealScope monthly model and pri'!L6*'Model inputs'!O33</f>
        <v>15</v>
      </c>
      <c r="M12" s="9">
        <f>'DealScope monthly model and pri'!M6*'Model inputs'!O33</f>
        <v>15</v>
      </c>
    </row>
    <row r="13" outlineLevel="1">
      <c r="A13" t="inlineStr" s="11">
        <is>
          <t xml:space="preserve">Per audit — high</t>
        </is>
      </c>
      <c r="B13" s="9">
        <f>'DealScope monthly model and pri'!B6*'Model inputs'!O34</f>
        <v>15</v>
      </c>
      <c r="C13" s="9">
        <f>'DealScope monthly model and pri'!C6*'Model inputs'!O34</f>
        <v>15</v>
      </c>
      <c r="D13" s="9">
        <f>'DealScope monthly model and pri'!D6*'Model inputs'!O34</f>
        <v>15</v>
      </c>
      <c r="E13" s="9">
        <f>'DealScope monthly model and pri'!E6*'Model inputs'!O34</f>
        <v>15</v>
      </c>
      <c r="F13" s="9">
        <f>'DealScope monthly model and pri'!F6*'Model inputs'!O34</f>
        <v>15</v>
      </c>
      <c r="G13" s="9">
        <f>'DealScope monthly model and pri'!G6*'Model inputs'!O34</f>
        <v>15</v>
      </c>
      <c r="H13" s="9">
        <f>'DealScope monthly model and pri'!H6*'Model inputs'!O34</f>
        <v>15</v>
      </c>
      <c r="I13" s="9">
        <f>'DealScope monthly model and pri'!I6*'Model inputs'!O34</f>
        <v>15</v>
      </c>
      <c r="J13" s="9">
        <f>'DealScope monthly model and pri'!J6*'Model inputs'!O34</f>
        <v>15</v>
      </c>
      <c r="K13" s="9">
        <f>'DealScope monthly model and pri'!K6*'Model inputs'!O34</f>
        <v>15</v>
      </c>
      <c r="L13" s="9">
        <f>'DealScope monthly model and pri'!L6*'Model inputs'!O34</f>
        <v>15</v>
      </c>
      <c r="M13" s="9">
        <f>'DealScope monthly model and pri'!M6*'Model inputs'!O34</f>
        <v>15</v>
      </c>
    </row>
    <row r="14" outlineLevel="1">
      <c r="A14" t="inlineStr" s="11">
        <is>
          <t xml:space="preserve">Per audit — low</t>
        </is>
      </c>
      <c r="B14" s="9">
        <f>'DealScope monthly model and pri'!B6*'Model inputs'!O35</f>
        <v>15</v>
      </c>
      <c r="C14" s="9">
        <f>'DealScope monthly model and pri'!C6*'Model inputs'!O35</f>
        <v>15</v>
      </c>
      <c r="D14" s="9">
        <f>'DealScope monthly model and pri'!D6*'Model inputs'!O35</f>
        <v>15</v>
      </c>
      <c r="E14" s="9">
        <f>'DealScope monthly model and pri'!E6*'Model inputs'!O35</f>
        <v>15</v>
      </c>
      <c r="F14" s="9">
        <f>'DealScope monthly model and pri'!F6*'Model inputs'!O35</f>
        <v>15</v>
      </c>
      <c r="G14" s="9">
        <f>'DealScope monthly model and pri'!G6*'Model inputs'!O35</f>
        <v>15</v>
      </c>
      <c r="H14" s="9">
        <f>'DealScope monthly model and pri'!H6*'Model inputs'!O35</f>
        <v>15</v>
      </c>
      <c r="I14" s="9">
        <f>'DealScope monthly model and pri'!I6*'Model inputs'!O35</f>
        <v>15</v>
      </c>
      <c r="J14" s="9">
        <f>'DealScope monthly model and pri'!J6*'Model inputs'!O35</f>
        <v>15</v>
      </c>
      <c r="K14" s="9">
        <f>'DealScope monthly model and pri'!K6*'Model inputs'!O35</f>
        <v>15</v>
      </c>
      <c r="L14" s="9">
        <f>'DealScope monthly model and pri'!L6*'Model inputs'!O35</f>
        <v>15</v>
      </c>
      <c r="M14" s="9">
        <f>'DealScope monthly model and pri'!M6*'Model inputs'!O35</f>
        <v>15</v>
      </c>
    </row>
    <row r="15">
      <c r="A15" t="inlineStr" s="6">
        <is>
          <t xml:space="preserve">Earned revenue</t>
        </is>
      </c>
      <c r="B15" t="str" s="12">
        <f>""</f>
        <v/>
      </c>
      <c r="C15" t="str" s="12">
        <f>""</f>
        <v/>
      </c>
      <c r="D15" t="str" s="12">
        <f>""</f>
        <v/>
      </c>
      <c r="E15" t="str" s="12">
        <f>""</f>
        <v/>
      </c>
      <c r="F15" t="str" s="12">
        <f>""</f>
        <v/>
      </c>
      <c r="G15" t="str" s="12">
        <f>""</f>
        <v/>
      </c>
      <c r="H15" t="str" s="12">
        <f>""</f>
        <v/>
      </c>
      <c r="I15" t="str" s="12">
        <f>""</f>
        <v/>
      </c>
      <c r="J15" t="str" s="12">
        <f>""</f>
        <v/>
      </c>
      <c r="K15" t="str" s="12">
        <f>""</f>
        <v/>
      </c>
      <c r="L15" t="str" s="12">
        <f>""</f>
        <v/>
      </c>
      <c r="M15" t="str" s="12">
        <f>""</f>
        <v/>
      </c>
    </row>
    <row r="16" outlineLevel="1">
      <c r="A16" t="inlineStr" s="11">
        <is>
          <t xml:space="preserve">Annual deal-team</t>
        </is>
      </c>
      <c r="B16" s="10">
        <f>'DealScope monthly model and pri'!B6*'Model inputs'!O37</f>
        <v>15000</v>
      </c>
      <c r="C16" s="10">
        <f>'DealScope monthly model and pri'!C6*'Model inputs'!O37</f>
        <v>15000</v>
      </c>
      <c r="D16" s="10">
        <f>'DealScope monthly model and pri'!D6*'Model inputs'!O37</f>
        <v>15000</v>
      </c>
      <c r="E16" s="10">
        <f>'DealScope monthly model and pri'!E6*'Model inputs'!O37</f>
        <v>15000</v>
      </c>
      <c r="F16" s="10">
        <f>'DealScope monthly model and pri'!F6*'Model inputs'!O37</f>
        <v>15000</v>
      </c>
      <c r="G16" s="10">
        <f>'DealScope monthly model and pri'!G6*'Model inputs'!O37</f>
        <v>15000</v>
      </c>
      <c r="H16" s="10">
        <f>'DealScope monthly model and pri'!H6*'Model inputs'!O37</f>
        <v>15000</v>
      </c>
      <c r="I16" s="10">
        <f>'DealScope monthly model and pri'!I6*'Model inputs'!O37</f>
        <v>15000</v>
      </c>
      <c r="J16" s="10">
        <f>'DealScope monthly model and pri'!J6*'Model inputs'!O37</f>
        <v>15000</v>
      </c>
      <c r="K16" s="10">
        <f>'DealScope monthly model and pri'!K6*'Model inputs'!O37</f>
        <v>15000</v>
      </c>
      <c r="L16" s="10">
        <f>'DealScope monthly model and pri'!L6*'Model inputs'!O37</f>
        <v>15000</v>
      </c>
      <c r="M16" s="10">
        <f>'DealScope monthly model and pri'!M6*'Model inputs'!O37</f>
        <v>15000</v>
      </c>
    </row>
    <row r="17" outlineLevel="1">
      <c r="A17" t="inlineStr" s="11">
        <is>
          <t xml:space="preserve">Hybrid</t>
        </is>
      </c>
      <c r="B17" s="10">
        <f>'DealScope monthly model and pri'!B6*'Model inputs'!O38</f>
        <v>17500</v>
      </c>
      <c r="C17" s="10">
        <f>'DealScope monthly model and pri'!C6*'Model inputs'!O38</f>
        <v>17500</v>
      </c>
      <c r="D17" s="10">
        <f>'DealScope monthly model and pri'!D6*'Model inputs'!O38</f>
        <v>17500</v>
      </c>
      <c r="E17" s="10">
        <f>'DealScope monthly model and pri'!E6*'Model inputs'!O38</f>
        <v>17500</v>
      </c>
      <c r="F17" s="10">
        <f>'DealScope monthly model and pri'!F6*'Model inputs'!O38</f>
        <v>17500</v>
      </c>
      <c r="G17" s="10">
        <f>'DealScope monthly model and pri'!G6*'Model inputs'!O38</f>
        <v>17500</v>
      </c>
      <c r="H17" s="10">
        <f>'DealScope monthly model and pri'!H6*'Model inputs'!O38</f>
        <v>17500</v>
      </c>
      <c r="I17" s="10">
        <f>'DealScope monthly model and pri'!I6*'Model inputs'!O38</f>
        <v>17500</v>
      </c>
      <c r="J17" s="10">
        <f>'DealScope monthly model and pri'!J6*'Model inputs'!O38</f>
        <v>17500</v>
      </c>
      <c r="K17" s="10">
        <f>'DealScope monthly model and pri'!K6*'Model inputs'!O38</f>
        <v>17500</v>
      </c>
      <c r="L17" s="10">
        <f>'DealScope monthly model and pri'!L6*'Model inputs'!O38</f>
        <v>17500</v>
      </c>
      <c r="M17" s="10">
        <f>'DealScope monthly model and pri'!M6*'Model inputs'!O38</f>
        <v>17500</v>
      </c>
    </row>
    <row r="18" outlineLevel="1">
      <c r="A18" t="inlineStr" s="11">
        <is>
          <t xml:space="preserve">Per audit — base</t>
        </is>
      </c>
      <c r="B18" s="10">
        <f>'DealScope monthly model and pri'!B6*'Model inputs'!O39</f>
        <v>22500</v>
      </c>
      <c r="C18" s="10">
        <f>'DealScope monthly model and pri'!C6*'Model inputs'!O39</f>
        <v>22500</v>
      </c>
      <c r="D18" s="10">
        <f>'DealScope monthly model and pri'!D6*'Model inputs'!O39</f>
        <v>22500</v>
      </c>
      <c r="E18" s="10">
        <f>'DealScope monthly model and pri'!E6*'Model inputs'!O39</f>
        <v>22500</v>
      </c>
      <c r="F18" s="10">
        <f>'DealScope monthly model and pri'!F6*'Model inputs'!O39</f>
        <v>22500</v>
      </c>
      <c r="G18" s="10">
        <f>'DealScope monthly model and pri'!G6*'Model inputs'!O39</f>
        <v>22500</v>
      </c>
      <c r="H18" s="10">
        <f>'DealScope monthly model and pri'!H6*'Model inputs'!O39</f>
        <v>22500</v>
      </c>
      <c r="I18" s="10">
        <f>'DealScope monthly model and pri'!I6*'Model inputs'!O39</f>
        <v>22500</v>
      </c>
      <c r="J18" s="10">
        <f>'DealScope monthly model and pri'!J6*'Model inputs'!O39</f>
        <v>22500</v>
      </c>
      <c r="K18" s="10">
        <f>'DealScope monthly model and pri'!K6*'Model inputs'!O39</f>
        <v>22500</v>
      </c>
      <c r="L18" s="10">
        <f>'DealScope monthly model and pri'!L6*'Model inputs'!O39</f>
        <v>22500</v>
      </c>
      <c r="M18" s="10">
        <f>'DealScope monthly model and pri'!M6*'Model inputs'!O39</f>
        <v>22500</v>
      </c>
    </row>
    <row r="19" outlineLevel="1">
      <c r="A19" t="inlineStr" s="11">
        <is>
          <t xml:space="preserve">Per audit — high</t>
        </is>
      </c>
      <c r="B19" s="10">
        <f>'DealScope monthly model and pri'!B6*'Model inputs'!O40</f>
        <v>45000</v>
      </c>
      <c r="C19" s="10">
        <f>'DealScope monthly model and pri'!C6*'Model inputs'!O40</f>
        <v>45000</v>
      </c>
      <c r="D19" s="10">
        <f>'DealScope monthly model and pri'!D6*'Model inputs'!O40</f>
        <v>45000</v>
      </c>
      <c r="E19" s="10">
        <f>'DealScope monthly model and pri'!E6*'Model inputs'!O40</f>
        <v>45000</v>
      </c>
      <c r="F19" s="10">
        <f>'DealScope monthly model and pri'!F6*'Model inputs'!O40</f>
        <v>45000</v>
      </c>
      <c r="G19" s="10">
        <f>'DealScope monthly model and pri'!G6*'Model inputs'!O40</f>
        <v>45000</v>
      </c>
      <c r="H19" s="10">
        <f>'DealScope monthly model and pri'!H6*'Model inputs'!O40</f>
        <v>45000</v>
      </c>
      <c r="I19" s="10">
        <f>'DealScope monthly model and pri'!I6*'Model inputs'!O40</f>
        <v>45000</v>
      </c>
      <c r="J19" s="10">
        <f>'DealScope monthly model and pri'!J6*'Model inputs'!O40</f>
        <v>45000</v>
      </c>
      <c r="K19" s="10">
        <f>'DealScope monthly model and pri'!K6*'Model inputs'!O40</f>
        <v>45000</v>
      </c>
      <c r="L19" s="10">
        <f>'DealScope monthly model and pri'!L6*'Model inputs'!O40</f>
        <v>45000</v>
      </c>
      <c r="M19" s="10">
        <f>'DealScope monthly model and pri'!M6*'Model inputs'!O40</f>
        <v>45000</v>
      </c>
    </row>
    <row r="20" outlineLevel="1">
      <c r="A20" t="inlineStr" s="11">
        <is>
          <t xml:space="preserve">Per audit — low</t>
        </is>
      </c>
      <c r="B20" s="10">
        <f>'DealScope monthly model and pri'!B6*'Model inputs'!O41</f>
        <v>11250</v>
      </c>
      <c r="C20" s="10">
        <f>'DealScope monthly model and pri'!C6*'Model inputs'!O41</f>
        <v>11250</v>
      </c>
      <c r="D20" s="10">
        <f>'DealScope monthly model and pri'!D6*'Model inputs'!O41</f>
        <v>11250</v>
      </c>
      <c r="E20" s="10">
        <f>'DealScope monthly model and pri'!E6*'Model inputs'!O41</f>
        <v>11250</v>
      </c>
      <c r="F20" s="10">
        <f>'DealScope monthly model and pri'!F6*'Model inputs'!O41</f>
        <v>11250</v>
      </c>
      <c r="G20" s="10">
        <f>'DealScope monthly model and pri'!G6*'Model inputs'!O41</f>
        <v>11250</v>
      </c>
      <c r="H20" s="10">
        <f>'DealScope monthly model and pri'!H6*'Model inputs'!O41</f>
        <v>11250</v>
      </c>
      <c r="I20" s="10">
        <f>'DealScope monthly model and pri'!I6*'Model inputs'!O41</f>
        <v>11250</v>
      </c>
      <c r="J20" s="10">
        <f>'DealScope monthly model and pri'!J6*'Model inputs'!O41</f>
        <v>11250</v>
      </c>
      <c r="K20" s="10">
        <f>'DealScope monthly model and pri'!K6*'Model inputs'!O41</f>
        <v>11250</v>
      </c>
      <c r="L20" s="10">
        <f>'DealScope monthly model and pri'!L6*'Model inputs'!O41</f>
        <v>11250</v>
      </c>
      <c r="M20" s="10">
        <f>'DealScope monthly model and pri'!M6*'Model inputs'!O41</f>
        <v>11250</v>
      </c>
    </row>
    <row r="21">
      <c r="A21" t="inlineStr" s="6">
        <is>
          <t xml:space="preserve">Cash collections</t>
        </is>
      </c>
      <c r="B21" t="str" s="12">
        <f>""</f>
        <v/>
      </c>
      <c r="C21" t="str" s="12">
        <f>""</f>
        <v/>
      </c>
      <c r="D21" t="str" s="12">
        <f>""</f>
        <v/>
      </c>
      <c r="E21" t="str" s="12">
        <f>""</f>
        <v/>
      </c>
      <c r="F21" t="str" s="12">
        <f>""</f>
        <v/>
      </c>
      <c r="G21" t="str" s="12">
        <f>""</f>
        <v/>
      </c>
      <c r="H21" t="str" s="12">
        <f>""</f>
        <v/>
      </c>
      <c r="I21" t="str" s="12">
        <f>""</f>
        <v/>
      </c>
      <c r="J21" t="str" s="12">
        <f>""</f>
        <v/>
      </c>
      <c r="K21" t="str" s="12">
        <f>""</f>
        <v/>
      </c>
      <c r="L21" t="str" s="12">
        <f>""</f>
        <v/>
      </c>
      <c r="M21" t="str" s="12">
        <f>""</f>
        <v/>
      </c>
    </row>
    <row r="22" outlineLevel="1">
      <c r="A22" t="inlineStr" s="11">
        <is>
          <t xml:space="preserve">Annual deal-team</t>
        </is>
      </c>
      <c r="B22" s="10">
        <f>'DealScope monthly model and pri'!B7*'Model inputs'!O88*(1-'Model inputs'!O78)+'DealScope monthly model and pri'!B16-'DealScope monthly model and pri'!B6*'Model inputs'!O88/12*(1-'Model inputs'!O78)</f>
        <v>125000</v>
      </c>
      <c r="C22" s="10">
        <f>'DealScope monthly model and pri'!C7*'Model inputs'!O88*(1-'Model inputs'!O78)+'DealScope monthly model and pri'!C16-'DealScope monthly model and pri'!C6*'Model inputs'!O88/12*(1-'Model inputs'!O78)</f>
        <v>5000</v>
      </c>
      <c r="D22" s="10">
        <f>'DealScope monthly model and pri'!D7*'Model inputs'!O88*(1-'Model inputs'!O78)+'DealScope monthly model and pri'!D16-'DealScope monthly model and pri'!D6*'Model inputs'!O88/12*(1-'Model inputs'!O78)</f>
        <v>5000</v>
      </c>
      <c r="E22" s="10">
        <f>'DealScope monthly model and pri'!E7*'Model inputs'!O88*(1-'Model inputs'!O78)+'DealScope monthly model and pri'!E16-'DealScope monthly model and pri'!E6*'Model inputs'!O88/12*(1-'Model inputs'!O78)</f>
        <v>5000</v>
      </c>
      <c r="F22" s="10">
        <f>'DealScope monthly model and pri'!F7*'Model inputs'!O88*(1-'Model inputs'!O78)+'DealScope monthly model and pri'!F16-'DealScope monthly model and pri'!F6*'Model inputs'!O88/12*(1-'Model inputs'!O78)</f>
        <v>5000</v>
      </c>
      <c r="G22" s="10">
        <f>'DealScope monthly model and pri'!G7*'Model inputs'!O88*(1-'Model inputs'!O78)+'DealScope monthly model and pri'!G16-'DealScope monthly model and pri'!G6*'Model inputs'!O88/12*(1-'Model inputs'!O78)</f>
        <v>5000</v>
      </c>
      <c r="H22" s="10">
        <f>'DealScope monthly model and pri'!H7*'Model inputs'!O88*(1-'Model inputs'!O78)+'DealScope monthly model and pri'!H16-'DealScope monthly model and pri'!H6*'Model inputs'!O88/12*(1-'Model inputs'!O78)</f>
        <v>5000</v>
      </c>
      <c r="I22" s="10">
        <f>'DealScope monthly model and pri'!I7*'Model inputs'!O88*(1-'Model inputs'!O78)+'DealScope monthly model and pri'!I16-'DealScope monthly model and pri'!I6*'Model inputs'!O88/12*(1-'Model inputs'!O78)</f>
        <v>5000</v>
      </c>
      <c r="J22" s="10">
        <f>'DealScope monthly model and pri'!J7*'Model inputs'!O88*(1-'Model inputs'!O78)+'DealScope monthly model and pri'!J16-'DealScope monthly model and pri'!J6*'Model inputs'!O88/12*(1-'Model inputs'!O78)</f>
        <v>5000</v>
      </c>
      <c r="K22" s="10">
        <f>'DealScope monthly model and pri'!K7*'Model inputs'!O88*(1-'Model inputs'!O78)+'DealScope monthly model and pri'!K16-'DealScope monthly model and pri'!K6*'Model inputs'!O88/12*(1-'Model inputs'!O78)</f>
        <v>5000</v>
      </c>
      <c r="L22" s="10">
        <f>'DealScope monthly model and pri'!L7*'Model inputs'!O88*(1-'Model inputs'!O78)+'DealScope monthly model and pri'!L16-'DealScope monthly model and pri'!L6*'Model inputs'!O88/12*(1-'Model inputs'!O78)</f>
        <v>5000</v>
      </c>
      <c r="M22" s="10">
        <f>'DealScope monthly model and pri'!M7*'Model inputs'!O88*(1-'Model inputs'!O78)+'DealScope monthly model and pri'!M16-'DealScope monthly model and pri'!M6*'Model inputs'!O88/12*(1-'Model inputs'!O78)</f>
        <v>5000</v>
      </c>
    </row>
    <row r="23" outlineLevel="1">
      <c r="A23" t="inlineStr" s="11">
        <is>
          <t xml:space="preserve">Hybrid</t>
        </is>
      </c>
      <c r="B23" s="10">
        <f>'DealScope monthly model and pri'!B7*'Model inputs'!O89*(1-'Model inputs'!O78)+'DealScope monthly model and pri'!B17-'DealScope monthly model and pri'!B6*'Model inputs'!O89/12*(1-'Model inputs'!O78)</f>
        <v>45000</v>
      </c>
      <c r="C23" s="10">
        <f>'DealScope monthly model and pri'!C7*'Model inputs'!O89*(1-'Model inputs'!O78)+'DealScope monthly model and pri'!C17-'DealScope monthly model and pri'!C6*'Model inputs'!O89/12*(1-'Model inputs'!O78)</f>
        <v>15000</v>
      </c>
      <c r="D23" s="10">
        <f>'DealScope monthly model and pri'!D7*'Model inputs'!O89*(1-'Model inputs'!O78)+'DealScope monthly model and pri'!D17-'DealScope monthly model and pri'!D6*'Model inputs'!O89/12*(1-'Model inputs'!O78)</f>
        <v>15000</v>
      </c>
      <c r="E23" s="10">
        <f>'DealScope monthly model and pri'!E7*'Model inputs'!O89*(1-'Model inputs'!O78)+'DealScope monthly model and pri'!E17-'DealScope monthly model and pri'!E6*'Model inputs'!O89/12*(1-'Model inputs'!O78)</f>
        <v>15000</v>
      </c>
      <c r="F23" s="10">
        <f>'DealScope monthly model and pri'!F7*'Model inputs'!O89*(1-'Model inputs'!O78)+'DealScope monthly model and pri'!F17-'DealScope monthly model and pri'!F6*'Model inputs'!O89/12*(1-'Model inputs'!O78)</f>
        <v>15000</v>
      </c>
      <c r="G23" s="10">
        <f>'DealScope monthly model and pri'!G7*'Model inputs'!O89*(1-'Model inputs'!O78)+'DealScope monthly model and pri'!G17-'DealScope monthly model and pri'!G6*'Model inputs'!O89/12*(1-'Model inputs'!O78)</f>
        <v>15000</v>
      </c>
      <c r="H23" s="10">
        <f>'DealScope monthly model and pri'!H7*'Model inputs'!O89*(1-'Model inputs'!O78)+'DealScope monthly model and pri'!H17-'DealScope monthly model and pri'!H6*'Model inputs'!O89/12*(1-'Model inputs'!O78)</f>
        <v>15000</v>
      </c>
      <c r="I23" s="10">
        <f>'DealScope monthly model and pri'!I7*'Model inputs'!O89*(1-'Model inputs'!O78)+'DealScope monthly model and pri'!I17-'DealScope monthly model and pri'!I6*'Model inputs'!O89/12*(1-'Model inputs'!O78)</f>
        <v>15000</v>
      </c>
      <c r="J23" s="10">
        <f>'DealScope monthly model and pri'!J7*'Model inputs'!O89*(1-'Model inputs'!O78)+'DealScope monthly model and pri'!J17-'DealScope monthly model and pri'!J6*'Model inputs'!O89/12*(1-'Model inputs'!O78)</f>
        <v>15000</v>
      </c>
      <c r="K23" s="10">
        <f>'DealScope monthly model and pri'!K7*'Model inputs'!O89*(1-'Model inputs'!O78)+'DealScope monthly model and pri'!K17-'DealScope monthly model and pri'!K6*'Model inputs'!O89/12*(1-'Model inputs'!O78)</f>
        <v>15000</v>
      </c>
      <c r="L23" s="10">
        <f>'DealScope monthly model and pri'!L7*'Model inputs'!O89*(1-'Model inputs'!O78)+'DealScope monthly model and pri'!L17-'DealScope monthly model and pri'!L6*'Model inputs'!O89/12*(1-'Model inputs'!O78)</f>
        <v>15000</v>
      </c>
      <c r="M23" s="10">
        <f>'DealScope monthly model and pri'!M7*'Model inputs'!O89*(1-'Model inputs'!O78)+'DealScope monthly model and pri'!M17-'DealScope monthly model and pri'!M6*'Model inputs'!O89/12*(1-'Model inputs'!O78)</f>
        <v>15000</v>
      </c>
    </row>
    <row r="24" outlineLevel="1">
      <c r="A24" t="inlineStr" s="11">
        <is>
          <t xml:space="preserve">Per audit — base</t>
        </is>
      </c>
      <c r="B24" s="10">
        <f>'DealScope monthly model and pri'!B7*'Model inputs'!O90*(1-'Model inputs'!O78)+'DealScope monthly model and pri'!B18-'DealScope monthly model and pri'!B6*'Model inputs'!O90/12*(1-'Model inputs'!O78)</f>
        <v>22500</v>
      </c>
      <c r="C24" s="10">
        <f>'DealScope monthly model and pri'!C7*'Model inputs'!O90*(1-'Model inputs'!O78)+'DealScope monthly model and pri'!C18-'DealScope monthly model and pri'!C6*'Model inputs'!O90/12*(1-'Model inputs'!O78)</f>
        <v>22500</v>
      </c>
      <c r="D24" s="10">
        <f>'DealScope monthly model and pri'!D7*'Model inputs'!O90*(1-'Model inputs'!O78)+'DealScope monthly model and pri'!D18-'DealScope monthly model and pri'!D6*'Model inputs'!O90/12*(1-'Model inputs'!O78)</f>
        <v>22500</v>
      </c>
      <c r="E24" s="10">
        <f>'DealScope monthly model and pri'!E7*'Model inputs'!O90*(1-'Model inputs'!O78)+'DealScope monthly model and pri'!E18-'DealScope monthly model and pri'!E6*'Model inputs'!O90/12*(1-'Model inputs'!O78)</f>
        <v>22500</v>
      </c>
      <c r="F24" s="10">
        <f>'DealScope monthly model and pri'!F7*'Model inputs'!O90*(1-'Model inputs'!O78)+'DealScope monthly model and pri'!F18-'DealScope monthly model and pri'!F6*'Model inputs'!O90/12*(1-'Model inputs'!O78)</f>
        <v>22500</v>
      </c>
      <c r="G24" s="10">
        <f>'DealScope monthly model and pri'!G7*'Model inputs'!O90*(1-'Model inputs'!O78)+'DealScope monthly model and pri'!G18-'DealScope monthly model and pri'!G6*'Model inputs'!O90/12*(1-'Model inputs'!O78)</f>
        <v>22500</v>
      </c>
      <c r="H24" s="10">
        <f>'DealScope monthly model and pri'!H7*'Model inputs'!O90*(1-'Model inputs'!O78)+'DealScope monthly model and pri'!H18-'DealScope monthly model and pri'!H6*'Model inputs'!O90/12*(1-'Model inputs'!O78)</f>
        <v>22500</v>
      </c>
      <c r="I24" s="10">
        <f>'DealScope monthly model and pri'!I7*'Model inputs'!O90*(1-'Model inputs'!O78)+'DealScope monthly model and pri'!I18-'DealScope monthly model and pri'!I6*'Model inputs'!O90/12*(1-'Model inputs'!O78)</f>
        <v>22500</v>
      </c>
      <c r="J24" s="10">
        <f>'DealScope monthly model and pri'!J7*'Model inputs'!O90*(1-'Model inputs'!O78)+'DealScope monthly model and pri'!J18-'DealScope monthly model and pri'!J6*'Model inputs'!O90/12*(1-'Model inputs'!O78)</f>
        <v>22500</v>
      </c>
      <c r="K24" s="10">
        <f>'DealScope monthly model and pri'!K7*'Model inputs'!O90*(1-'Model inputs'!O78)+'DealScope monthly model and pri'!K18-'DealScope monthly model and pri'!K6*'Model inputs'!O90/12*(1-'Model inputs'!O78)</f>
        <v>22500</v>
      </c>
      <c r="L24" s="10">
        <f>'DealScope monthly model and pri'!L7*'Model inputs'!O90*(1-'Model inputs'!O78)+'DealScope monthly model and pri'!L18-'DealScope monthly model and pri'!L6*'Model inputs'!O90/12*(1-'Model inputs'!O78)</f>
        <v>22500</v>
      </c>
      <c r="M24" s="10">
        <f>'DealScope monthly model and pri'!M7*'Model inputs'!O90*(1-'Model inputs'!O78)+'DealScope monthly model and pri'!M18-'DealScope monthly model and pri'!M6*'Model inputs'!O90/12*(1-'Model inputs'!O78)</f>
        <v>22500</v>
      </c>
    </row>
    <row r="25" outlineLevel="1">
      <c r="A25" t="inlineStr" s="11">
        <is>
          <t xml:space="preserve">Per audit — high</t>
        </is>
      </c>
      <c r="B25" s="10">
        <f>'DealScope monthly model and pri'!B7*'Model inputs'!O91*(1-'Model inputs'!O78)+'DealScope monthly model and pri'!B19-'DealScope monthly model and pri'!B6*'Model inputs'!O91/12*(1-'Model inputs'!O78)</f>
        <v>45000</v>
      </c>
      <c r="C25" s="10">
        <f>'DealScope monthly model and pri'!C7*'Model inputs'!O91*(1-'Model inputs'!O78)+'DealScope monthly model and pri'!C19-'DealScope monthly model and pri'!C6*'Model inputs'!O91/12*(1-'Model inputs'!O78)</f>
        <v>45000</v>
      </c>
      <c r="D25" s="10">
        <f>'DealScope monthly model and pri'!D7*'Model inputs'!O91*(1-'Model inputs'!O78)+'DealScope monthly model and pri'!D19-'DealScope monthly model and pri'!D6*'Model inputs'!O91/12*(1-'Model inputs'!O78)</f>
        <v>45000</v>
      </c>
      <c r="E25" s="10">
        <f>'DealScope monthly model and pri'!E7*'Model inputs'!O91*(1-'Model inputs'!O78)+'DealScope monthly model and pri'!E19-'DealScope monthly model and pri'!E6*'Model inputs'!O91/12*(1-'Model inputs'!O78)</f>
        <v>45000</v>
      </c>
      <c r="F25" s="10">
        <f>'DealScope monthly model and pri'!F7*'Model inputs'!O91*(1-'Model inputs'!O78)+'DealScope monthly model and pri'!F19-'DealScope monthly model and pri'!F6*'Model inputs'!O91/12*(1-'Model inputs'!O78)</f>
        <v>45000</v>
      </c>
      <c r="G25" s="10">
        <f>'DealScope monthly model and pri'!G7*'Model inputs'!O91*(1-'Model inputs'!O78)+'DealScope monthly model and pri'!G19-'DealScope monthly model and pri'!G6*'Model inputs'!O91/12*(1-'Model inputs'!O78)</f>
        <v>45000</v>
      </c>
      <c r="H25" s="10">
        <f>'DealScope monthly model and pri'!H7*'Model inputs'!O91*(1-'Model inputs'!O78)+'DealScope monthly model and pri'!H19-'DealScope monthly model and pri'!H6*'Model inputs'!O91/12*(1-'Model inputs'!O78)</f>
        <v>45000</v>
      </c>
      <c r="I25" s="10">
        <f>'DealScope monthly model and pri'!I7*'Model inputs'!O91*(1-'Model inputs'!O78)+'DealScope monthly model and pri'!I19-'DealScope monthly model and pri'!I6*'Model inputs'!O91/12*(1-'Model inputs'!O78)</f>
        <v>45000</v>
      </c>
      <c r="J25" s="10">
        <f>'DealScope monthly model and pri'!J7*'Model inputs'!O91*(1-'Model inputs'!O78)+'DealScope monthly model and pri'!J19-'DealScope monthly model and pri'!J6*'Model inputs'!O91/12*(1-'Model inputs'!O78)</f>
        <v>45000</v>
      </c>
      <c r="K25" s="10">
        <f>'DealScope monthly model and pri'!K7*'Model inputs'!O91*(1-'Model inputs'!O78)+'DealScope monthly model and pri'!K19-'DealScope monthly model and pri'!K6*'Model inputs'!O91/12*(1-'Model inputs'!O78)</f>
        <v>45000</v>
      </c>
      <c r="L25" s="10">
        <f>'DealScope monthly model and pri'!L7*'Model inputs'!O91*(1-'Model inputs'!O78)+'DealScope monthly model and pri'!L19-'DealScope monthly model and pri'!L6*'Model inputs'!O91/12*(1-'Model inputs'!O78)</f>
        <v>45000</v>
      </c>
      <c r="M25" s="10">
        <f>'DealScope monthly model and pri'!M7*'Model inputs'!O91*(1-'Model inputs'!O78)+'DealScope monthly model and pri'!M19-'DealScope monthly model and pri'!M6*'Model inputs'!O91/12*(1-'Model inputs'!O78)</f>
        <v>45000</v>
      </c>
    </row>
    <row r="26" outlineLevel="1">
      <c r="A26" t="inlineStr" s="11">
        <is>
          <t xml:space="preserve">Per audit — low</t>
        </is>
      </c>
      <c r="B26" s="10">
        <f>'DealScope monthly model and pri'!B7*'Model inputs'!O92*(1-'Model inputs'!O78)+'DealScope monthly model and pri'!B20-'DealScope monthly model and pri'!B6*'Model inputs'!O92/12*(1-'Model inputs'!O78)</f>
        <v>11250</v>
      </c>
      <c r="C26" s="10">
        <f>'DealScope monthly model and pri'!C7*'Model inputs'!O92*(1-'Model inputs'!O78)+'DealScope monthly model and pri'!C20-'DealScope monthly model and pri'!C6*'Model inputs'!O92/12*(1-'Model inputs'!O78)</f>
        <v>11250</v>
      </c>
      <c r="D26" s="10">
        <f>'DealScope monthly model and pri'!D7*'Model inputs'!O92*(1-'Model inputs'!O78)+'DealScope monthly model and pri'!D20-'DealScope monthly model and pri'!D6*'Model inputs'!O92/12*(1-'Model inputs'!O78)</f>
        <v>11250</v>
      </c>
      <c r="E26" s="10">
        <f>'DealScope monthly model and pri'!E7*'Model inputs'!O92*(1-'Model inputs'!O78)+'DealScope monthly model and pri'!E20-'DealScope monthly model and pri'!E6*'Model inputs'!O92/12*(1-'Model inputs'!O78)</f>
        <v>11250</v>
      </c>
      <c r="F26" s="10">
        <f>'DealScope monthly model and pri'!F7*'Model inputs'!O92*(1-'Model inputs'!O78)+'DealScope monthly model and pri'!F20-'DealScope monthly model and pri'!F6*'Model inputs'!O92/12*(1-'Model inputs'!O78)</f>
        <v>11250</v>
      </c>
      <c r="G26" s="10">
        <f>'DealScope monthly model and pri'!G7*'Model inputs'!O92*(1-'Model inputs'!O78)+'DealScope monthly model and pri'!G20-'DealScope monthly model and pri'!G6*'Model inputs'!O92/12*(1-'Model inputs'!O78)</f>
        <v>11250</v>
      </c>
      <c r="H26" s="10">
        <f>'DealScope monthly model and pri'!H7*'Model inputs'!O92*(1-'Model inputs'!O78)+'DealScope monthly model and pri'!H20-'DealScope monthly model and pri'!H6*'Model inputs'!O92/12*(1-'Model inputs'!O78)</f>
        <v>11250</v>
      </c>
      <c r="I26" s="10">
        <f>'DealScope monthly model and pri'!I7*'Model inputs'!O92*(1-'Model inputs'!O78)+'DealScope monthly model and pri'!I20-'DealScope monthly model and pri'!I6*'Model inputs'!O92/12*(1-'Model inputs'!O78)</f>
        <v>11250</v>
      </c>
      <c r="J26" s="10">
        <f>'DealScope monthly model and pri'!J7*'Model inputs'!O92*(1-'Model inputs'!O78)+'DealScope monthly model and pri'!J20-'DealScope monthly model and pri'!J6*'Model inputs'!O92/12*(1-'Model inputs'!O78)</f>
        <v>11250</v>
      </c>
      <c r="K26" s="10">
        <f>'DealScope monthly model and pri'!K7*'Model inputs'!O92*(1-'Model inputs'!O78)+'DealScope monthly model and pri'!K20-'DealScope monthly model and pri'!K6*'Model inputs'!O92/12*(1-'Model inputs'!O78)</f>
        <v>11250</v>
      </c>
      <c r="L26" s="10">
        <f>'DealScope monthly model and pri'!L7*'Model inputs'!O92*(1-'Model inputs'!O78)+'DealScope monthly model and pri'!L20-'DealScope monthly model and pri'!L6*'Model inputs'!O92/12*(1-'Model inputs'!O78)</f>
        <v>11250</v>
      </c>
      <c r="M26" s="10">
        <f>'DealScope monthly model and pri'!M7*'Model inputs'!O92*(1-'Model inputs'!O78)+'DealScope monthly model and pri'!M20-'DealScope monthly model and pri'!M6*'Model inputs'!O92/12*(1-'Model inputs'!O78)</f>
        <v>11250</v>
      </c>
    </row>
    <row r="27">
      <c r="A27" t="inlineStr" s="6">
        <is>
          <t xml:space="preserve">Delivery COGS</t>
        </is>
      </c>
      <c r="B27" t="str" s="12">
        <f>""</f>
        <v/>
      </c>
      <c r="C27" t="str" s="12">
        <f>""</f>
        <v/>
      </c>
      <c r="D27" t="str" s="12">
        <f>""</f>
        <v/>
      </c>
      <c r="E27" t="str" s="12">
        <f>""</f>
        <v/>
      </c>
      <c r="F27" t="str" s="12">
        <f>""</f>
        <v/>
      </c>
      <c r="G27" t="str" s="12">
        <f>""</f>
        <v/>
      </c>
      <c r="H27" t="str" s="12">
        <f>""</f>
        <v/>
      </c>
      <c r="I27" t="str" s="12">
        <f>""</f>
        <v/>
      </c>
      <c r="J27" t="str" s="12">
        <f>""</f>
        <v/>
      </c>
      <c r="K27" t="str" s="12">
        <f>""</f>
        <v/>
      </c>
      <c r="L27" t="str" s="12">
        <f>""</f>
        <v/>
      </c>
      <c r="M27" t="str" s="12">
        <f>""</f>
        <v/>
      </c>
    </row>
    <row r="28" outlineLevel="1">
      <c r="A28" t="inlineStr" s="11">
        <is>
          <t xml:space="preserve">Annual deal-team</t>
        </is>
      </c>
      <c r="B28" s="10">
        <f>'DealScope monthly model and pri'!B10*'Model inputs'!O50</f>
        <v>1419.75</v>
      </c>
      <c r="C28" s="10">
        <f>'DealScope monthly model and pri'!C10*'Model inputs'!O50</f>
        <v>1419.75</v>
      </c>
      <c r="D28" s="10">
        <f>'DealScope monthly model and pri'!D10*'Model inputs'!O50</f>
        <v>1419.75</v>
      </c>
      <c r="E28" s="10">
        <f>'DealScope monthly model and pri'!E10*'Model inputs'!O50</f>
        <v>1419.75</v>
      </c>
      <c r="F28" s="10">
        <f>'DealScope monthly model and pri'!F10*'Model inputs'!O50</f>
        <v>1419.75</v>
      </c>
      <c r="G28" s="10">
        <f>'DealScope monthly model and pri'!G10*'Model inputs'!O50</f>
        <v>1419.75</v>
      </c>
      <c r="H28" s="10">
        <f>'DealScope monthly model and pri'!H10*'Model inputs'!O50</f>
        <v>1419.75</v>
      </c>
      <c r="I28" s="10">
        <f>'DealScope monthly model and pri'!I10*'Model inputs'!O50</f>
        <v>1419.75</v>
      </c>
      <c r="J28" s="10">
        <f>'DealScope monthly model and pri'!J10*'Model inputs'!O50</f>
        <v>1419.75</v>
      </c>
      <c r="K28" s="10">
        <f>'DealScope monthly model and pri'!K10*'Model inputs'!O50</f>
        <v>1419.75</v>
      </c>
      <c r="L28" s="10">
        <f>'DealScope monthly model and pri'!L10*'Model inputs'!O50</f>
        <v>1419.75</v>
      </c>
      <c r="M28" s="10">
        <f>'DealScope monthly model and pri'!M10*'Model inputs'!O50</f>
        <v>1419.75</v>
      </c>
    </row>
    <row r="29" outlineLevel="1">
      <c r="A29" t="inlineStr" s="11">
        <is>
          <t xml:space="preserve">Hybrid</t>
        </is>
      </c>
      <c r="B29" s="10">
        <f>'DealScope monthly model and pri'!B11*'Model inputs'!O50</f>
        <v>1419.75</v>
      </c>
      <c r="C29" s="10">
        <f>'DealScope monthly model and pri'!C11*'Model inputs'!O50</f>
        <v>1419.75</v>
      </c>
      <c r="D29" s="10">
        <f>'DealScope monthly model and pri'!D11*'Model inputs'!O50</f>
        <v>1419.75</v>
      </c>
      <c r="E29" s="10">
        <f>'DealScope monthly model and pri'!E11*'Model inputs'!O50</f>
        <v>1419.75</v>
      </c>
      <c r="F29" s="10">
        <f>'DealScope monthly model and pri'!F11*'Model inputs'!O50</f>
        <v>1419.75</v>
      </c>
      <c r="G29" s="10">
        <f>'DealScope monthly model and pri'!G11*'Model inputs'!O50</f>
        <v>1419.75</v>
      </c>
      <c r="H29" s="10">
        <f>'DealScope monthly model and pri'!H11*'Model inputs'!O50</f>
        <v>1419.75</v>
      </c>
      <c r="I29" s="10">
        <f>'DealScope monthly model and pri'!I11*'Model inputs'!O50</f>
        <v>1419.75</v>
      </c>
      <c r="J29" s="10">
        <f>'DealScope monthly model and pri'!J11*'Model inputs'!O50</f>
        <v>1419.75</v>
      </c>
      <c r="K29" s="10">
        <f>'DealScope monthly model and pri'!K11*'Model inputs'!O50</f>
        <v>1419.75</v>
      </c>
      <c r="L29" s="10">
        <f>'DealScope monthly model and pri'!L11*'Model inputs'!O50</f>
        <v>1419.75</v>
      </c>
      <c r="M29" s="10">
        <f>'DealScope monthly model and pri'!M11*'Model inputs'!O50</f>
        <v>1419.75</v>
      </c>
    </row>
    <row r="30" outlineLevel="1">
      <c r="A30" t="inlineStr" s="11">
        <is>
          <t xml:space="preserve">Per audit — base</t>
        </is>
      </c>
      <c r="B30" s="10">
        <f>'DealScope monthly model and pri'!B12*'Model inputs'!O50</f>
        <v>1419.75</v>
      </c>
      <c r="C30" s="10">
        <f>'DealScope monthly model and pri'!C12*'Model inputs'!O50</f>
        <v>1419.75</v>
      </c>
      <c r="D30" s="10">
        <f>'DealScope monthly model and pri'!D12*'Model inputs'!O50</f>
        <v>1419.75</v>
      </c>
      <c r="E30" s="10">
        <f>'DealScope monthly model and pri'!E12*'Model inputs'!O50</f>
        <v>1419.75</v>
      </c>
      <c r="F30" s="10">
        <f>'DealScope monthly model and pri'!F12*'Model inputs'!O50</f>
        <v>1419.75</v>
      </c>
      <c r="G30" s="10">
        <f>'DealScope monthly model and pri'!G12*'Model inputs'!O50</f>
        <v>1419.75</v>
      </c>
      <c r="H30" s="10">
        <f>'DealScope monthly model and pri'!H12*'Model inputs'!O50</f>
        <v>1419.75</v>
      </c>
      <c r="I30" s="10">
        <f>'DealScope monthly model and pri'!I12*'Model inputs'!O50</f>
        <v>1419.75</v>
      </c>
      <c r="J30" s="10">
        <f>'DealScope monthly model and pri'!J12*'Model inputs'!O50</f>
        <v>1419.75</v>
      </c>
      <c r="K30" s="10">
        <f>'DealScope monthly model and pri'!K12*'Model inputs'!O50</f>
        <v>1419.75</v>
      </c>
      <c r="L30" s="10">
        <f>'DealScope monthly model and pri'!L12*'Model inputs'!O50</f>
        <v>1419.75</v>
      </c>
      <c r="M30" s="10">
        <f>'DealScope monthly model and pri'!M12*'Model inputs'!O50</f>
        <v>1419.75</v>
      </c>
    </row>
    <row r="31" outlineLevel="1">
      <c r="A31" t="inlineStr" s="11">
        <is>
          <t xml:space="preserve">Per audit — high</t>
        </is>
      </c>
      <c r="B31" s="10">
        <f>'DealScope monthly model and pri'!B13*'Model inputs'!O50</f>
        <v>1419.75</v>
      </c>
      <c r="C31" s="10">
        <f>'DealScope monthly model and pri'!C13*'Model inputs'!O50</f>
        <v>1419.75</v>
      </c>
      <c r="D31" s="10">
        <f>'DealScope monthly model and pri'!D13*'Model inputs'!O50</f>
        <v>1419.75</v>
      </c>
      <c r="E31" s="10">
        <f>'DealScope monthly model and pri'!E13*'Model inputs'!O50</f>
        <v>1419.75</v>
      </c>
      <c r="F31" s="10">
        <f>'DealScope monthly model and pri'!F13*'Model inputs'!O50</f>
        <v>1419.75</v>
      </c>
      <c r="G31" s="10">
        <f>'DealScope monthly model and pri'!G13*'Model inputs'!O50</f>
        <v>1419.75</v>
      </c>
      <c r="H31" s="10">
        <f>'DealScope monthly model and pri'!H13*'Model inputs'!O50</f>
        <v>1419.75</v>
      </c>
      <c r="I31" s="10">
        <f>'DealScope monthly model and pri'!I13*'Model inputs'!O50</f>
        <v>1419.75</v>
      </c>
      <c r="J31" s="10">
        <f>'DealScope monthly model and pri'!J13*'Model inputs'!O50</f>
        <v>1419.75</v>
      </c>
      <c r="K31" s="10">
        <f>'DealScope monthly model and pri'!K13*'Model inputs'!O50</f>
        <v>1419.75</v>
      </c>
      <c r="L31" s="10">
        <f>'DealScope monthly model and pri'!L13*'Model inputs'!O50</f>
        <v>1419.75</v>
      </c>
      <c r="M31" s="10">
        <f>'DealScope monthly model and pri'!M13*'Model inputs'!O50</f>
        <v>1419.75</v>
      </c>
    </row>
    <row r="32" outlineLevel="1">
      <c r="A32" t="inlineStr" s="11">
        <is>
          <t xml:space="preserve">Per audit — low</t>
        </is>
      </c>
      <c r="B32" s="10">
        <f>'DealScope monthly model and pri'!B14*'Model inputs'!O50</f>
        <v>1419.75</v>
      </c>
      <c r="C32" s="10">
        <f>'DealScope monthly model and pri'!C14*'Model inputs'!O50</f>
        <v>1419.75</v>
      </c>
      <c r="D32" s="10">
        <f>'DealScope monthly model and pri'!D14*'Model inputs'!O50</f>
        <v>1419.75</v>
      </c>
      <c r="E32" s="10">
        <f>'DealScope monthly model and pri'!E14*'Model inputs'!O50</f>
        <v>1419.75</v>
      </c>
      <c r="F32" s="10">
        <f>'DealScope monthly model and pri'!F14*'Model inputs'!O50</f>
        <v>1419.75</v>
      </c>
      <c r="G32" s="10">
        <f>'DealScope monthly model and pri'!G14*'Model inputs'!O50</f>
        <v>1419.75</v>
      </c>
      <c r="H32" s="10">
        <f>'DealScope monthly model and pri'!H14*'Model inputs'!O50</f>
        <v>1419.75</v>
      </c>
      <c r="I32" s="10">
        <f>'DealScope monthly model and pri'!I14*'Model inputs'!O50</f>
        <v>1419.75</v>
      </c>
      <c r="J32" s="10">
        <f>'DealScope monthly model and pri'!J14*'Model inputs'!O50</f>
        <v>1419.75</v>
      </c>
      <c r="K32" s="10">
        <f>'DealScope monthly model and pri'!K14*'Model inputs'!O50</f>
        <v>1419.75</v>
      </c>
      <c r="L32" s="10">
        <f>'DealScope monthly model and pri'!L14*'Model inputs'!O50</f>
        <v>1419.75</v>
      </c>
      <c r="M32" s="10">
        <f>'DealScope monthly model and pri'!M14*'Model inputs'!O50</f>
        <v>1419.75</v>
      </c>
    </row>
    <row r="33">
      <c r="A33" t="inlineStr" s="6">
        <is>
          <t xml:space="preserve">Gross profit</t>
        </is>
      </c>
      <c r="B33" t="str" s="12">
        <f>""</f>
        <v/>
      </c>
      <c r="C33" t="str" s="12">
        <f>""</f>
        <v/>
      </c>
      <c r="D33" t="str" s="12">
        <f>""</f>
        <v/>
      </c>
      <c r="E33" t="str" s="12">
        <f>""</f>
        <v/>
      </c>
      <c r="F33" t="str" s="12">
        <f>""</f>
        <v/>
      </c>
      <c r="G33" t="str" s="12">
        <f>""</f>
        <v/>
      </c>
      <c r="H33" t="str" s="12">
        <f>""</f>
        <v/>
      </c>
      <c r="I33" t="str" s="12">
        <f>""</f>
        <v/>
      </c>
      <c r="J33" t="str" s="12">
        <f>""</f>
        <v/>
      </c>
      <c r="K33" t="str" s="12">
        <f>""</f>
        <v/>
      </c>
      <c r="L33" t="str" s="12">
        <f>""</f>
        <v/>
      </c>
      <c r="M33" t="str" s="12">
        <f>""</f>
        <v/>
      </c>
    </row>
    <row r="34" outlineLevel="1">
      <c r="A34" t="inlineStr" s="11">
        <is>
          <t xml:space="preserve">Annual deal-team</t>
        </is>
      </c>
      <c r="B34" s="10">
        <f>'DealScope monthly model and pri'!B16-'DealScope monthly model and pri'!B28</f>
        <v>13580.25</v>
      </c>
      <c r="C34" s="10">
        <f>'DealScope monthly model and pri'!C16-'DealScope monthly model and pri'!C28</f>
        <v>13580.25</v>
      </c>
      <c r="D34" s="10">
        <f>'DealScope monthly model and pri'!D16-'DealScope monthly model and pri'!D28</f>
        <v>13580.25</v>
      </c>
      <c r="E34" s="10">
        <f>'DealScope monthly model and pri'!E16-'DealScope monthly model and pri'!E28</f>
        <v>13580.25</v>
      </c>
      <c r="F34" s="10">
        <f>'DealScope monthly model and pri'!F16-'DealScope monthly model and pri'!F28</f>
        <v>13580.25</v>
      </c>
      <c r="G34" s="10">
        <f>'DealScope monthly model and pri'!G16-'DealScope monthly model and pri'!G28</f>
        <v>13580.25</v>
      </c>
      <c r="H34" s="10">
        <f>'DealScope monthly model and pri'!H16-'DealScope monthly model and pri'!H28</f>
        <v>13580.25</v>
      </c>
      <c r="I34" s="10">
        <f>'DealScope monthly model and pri'!I16-'DealScope monthly model and pri'!I28</f>
        <v>13580.25</v>
      </c>
      <c r="J34" s="10">
        <f>'DealScope monthly model and pri'!J16-'DealScope monthly model and pri'!J28</f>
        <v>13580.25</v>
      </c>
      <c r="K34" s="10">
        <f>'DealScope monthly model and pri'!K16-'DealScope monthly model and pri'!K28</f>
        <v>13580.25</v>
      </c>
      <c r="L34" s="10">
        <f>'DealScope monthly model and pri'!L16-'DealScope monthly model and pri'!L28</f>
        <v>13580.25</v>
      </c>
      <c r="M34" s="10">
        <f>'DealScope monthly model and pri'!M16-'DealScope monthly model and pri'!M28</f>
        <v>13580.25</v>
      </c>
    </row>
    <row r="35" outlineLevel="1">
      <c r="A35" t="inlineStr" s="11">
        <is>
          <t xml:space="preserve">Hybrid</t>
        </is>
      </c>
      <c r="B35" s="10">
        <f>'DealScope monthly model and pri'!B17-'DealScope monthly model and pri'!B29</f>
        <v>16080.25</v>
      </c>
      <c r="C35" s="10">
        <f>'DealScope monthly model and pri'!C17-'DealScope monthly model and pri'!C29</f>
        <v>16080.25</v>
      </c>
      <c r="D35" s="10">
        <f>'DealScope monthly model and pri'!D17-'DealScope monthly model and pri'!D29</f>
        <v>16080.25</v>
      </c>
      <c r="E35" s="10">
        <f>'DealScope monthly model and pri'!E17-'DealScope monthly model and pri'!E29</f>
        <v>16080.25</v>
      </c>
      <c r="F35" s="10">
        <f>'DealScope monthly model and pri'!F17-'DealScope monthly model and pri'!F29</f>
        <v>16080.25</v>
      </c>
      <c r="G35" s="10">
        <f>'DealScope monthly model and pri'!G17-'DealScope monthly model and pri'!G29</f>
        <v>16080.25</v>
      </c>
      <c r="H35" s="10">
        <f>'DealScope monthly model and pri'!H17-'DealScope monthly model and pri'!H29</f>
        <v>16080.25</v>
      </c>
      <c r="I35" s="10">
        <f>'DealScope monthly model and pri'!I17-'DealScope monthly model and pri'!I29</f>
        <v>16080.25</v>
      </c>
      <c r="J35" s="10">
        <f>'DealScope monthly model and pri'!J17-'DealScope monthly model and pri'!J29</f>
        <v>16080.25</v>
      </c>
      <c r="K35" s="10">
        <f>'DealScope monthly model and pri'!K17-'DealScope monthly model and pri'!K29</f>
        <v>16080.25</v>
      </c>
      <c r="L35" s="10">
        <f>'DealScope monthly model and pri'!L17-'DealScope monthly model and pri'!L29</f>
        <v>16080.25</v>
      </c>
      <c r="M35" s="10">
        <f>'DealScope monthly model and pri'!M17-'DealScope monthly model and pri'!M29</f>
        <v>16080.25</v>
      </c>
    </row>
    <row r="36" outlineLevel="1">
      <c r="A36" t="inlineStr" s="11">
        <is>
          <t xml:space="preserve">Per audit — base</t>
        </is>
      </c>
      <c r="B36" s="10">
        <f>'DealScope monthly model and pri'!B18-'DealScope monthly model and pri'!B30</f>
        <v>21080.25</v>
      </c>
      <c r="C36" s="10">
        <f>'DealScope monthly model and pri'!C18-'DealScope monthly model and pri'!C30</f>
        <v>21080.25</v>
      </c>
      <c r="D36" s="10">
        <f>'DealScope monthly model and pri'!D18-'DealScope monthly model and pri'!D30</f>
        <v>21080.25</v>
      </c>
      <c r="E36" s="10">
        <f>'DealScope monthly model and pri'!E18-'DealScope monthly model and pri'!E30</f>
        <v>21080.25</v>
      </c>
      <c r="F36" s="10">
        <f>'DealScope monthly model and pri'!F18-'DealScope monthly model and pri'!F30</f>
        <v>21080.25</v>
      </c>
      <c r="G36" s="10">
        <f>'DealScope monthly model and pri'!G18-'DealScope monthly model and pri'!G30</f>
        <v>21080.25</v>
      </c>
      <c r="H36" s="10">
        <f>'DealScope monthly model and pri'!H18-'DealScope monthly model and pri'!H30</f>
        <v>21080.25</v>
      </c>
      <c r="I36" s="10">
        <f>'DealScope monthly model and pri'!I18-'DealScope monthly model and pri'!I30</f>
        <v>21080.25</v>
      </c>
      <c r="J36" s="10">
        <f>'DealScope monthly model and pri'!J18-'DealScope monthly model and pri'!J30</f>
        <v>21080.25</v>
      </c>
      <c r="K36" s="10">
        <f>'DealScope monthly model and pri'!K18-'DealScope monthly model and pri'!K30</f>
        <v>21080.25</v>
      </c>
      <c r="L36" s="10">
        <f>'DealScope monthly model and pri'!L18-'DealScope monthly model and pri'!L30</f>
        <v>21080.25</v>
      </c>
      <c r="M36" s="10">
        <f>'DealScope monthly model and pri'!M18-'DealScope monthly model and pri'!M30</f>
        <v>21080.25</v>
      </c>
    </row>
    <row r="37" outlineLevel="1">
      <c r="A37" t="inlineStr" s="11">
        <is>
          <t xml:space="preserve">Per audit — high</t>
        </is>
      </c>
      <c r="B37" s="10">
        <f>'DealScope monthly model and pri'!B19-'DealScope monthly model and pri'!B31</f>
        <v>43580.25</v>
      </c>
      <c r="C37" s="10">
        <f>'DealScope monthly model and pri'!C19-'DealScope monthly model and pri'!C31</f>
        <v>43580.25</v>
      </c>
      <c r="D37" s="10">
        <f>'DealScope monthly model and pri'!D19-'DealScope monthly model and pri'!D31</f>
        <v>43580.25</v>
      </c>
      <c r="E37" s="10">
        <f>'DealScope monthly model and pri'!E19-'DealScope monthly model and pri'!E31</f>
        <v>43580.25</v>
      </c>
      <c r="F37" s="10">
        <f>'DealScope monthly model and pri'!F19-'DealScope monthly model and pri'!F31</f>
        <v>43580.25</v>
      </c>
      <c r="G37" s="10">
        <f>'DealScope monthly model and pri'!G19-'DealScope monthly model and pri'!G31</f>
        <v>43580.25</v>
      </c>
      <c r="H37" s="10">
        <f>'DealScope monthly model and pri'!H19-'DealScope monthly model and pri'!H31</f>
        <v>43580.25</v>
      </c>
      <c r="I37" s="10">
        <f>'DealScope monthly model and pri'!I19-'DealScope monthly model and pri'!I31</f>
        <v>43580.25</v>
      </c>
      <c r="J37" s="10">
        <f>'DealScope monthly model and pri'!J19-'DealScope monthly model and pri'!J31</f>
        <v>43580.25</v>
      </c>
      <c r="K37" s="10">
        <f>'DealScope monthly model and pri'!K19-'DealScope monthly model and pri'!K31</f>
        <v>43580.25</v>
      </c>
      <c r="L37" s="10">
        <f>'DealScope monthly model and pri'!L19-'DealScope monthly model and pri'!L31</f>
        <v>43580.25</v>
      </c>
      <c r="M37" s="10">
        <f>'DealScope monthly model and pri'!M19-'DealScope monthly model and pri'!M31</f>
        <v>43580.25</v>
      </c>
    </row>
    <row r="38" outlineLevel="1">
      <c r="A38" t="inlineStr" s="11">
        <is>
          <t xml:space="preserve">Per audit — low</t>
        </is>
      </c>
      <c r="B38" s="10">
        <f>'DealScope monthly model and pri'!B20-'DealScope monthly model and pri'!B32</f>
        <v>9830.25</v>
      </c>
      <c r="C38" s="10">
        <f>'DealScope monthly model and pri'!C20-'DealScope monthly model and pri'!C32</f>
        <v>9830.25</v>
      </c>
      <c r="D38" s="10">
        <f>'DealScope monthly model and pri'!D20-'DealScope monthly model and pri'!D32</f>
        <v>9830.25</v>
      </c>
      <c r="E38" s="10">
        <f>'DealScope monthly model and pri'!E20-'DealScope monthly model and pri'!E32</f>
        <v>9830.25</v>
      </c>
      <c r="F38" s="10">
        <f>'DealScope monthly model and pri'!F20-'DealScope monthly model and pri'!F32</f>
        <v>9830.25</v>
      </c>
      <c r="G38" s="10">
        <f>'DealScope monthly model and pri'!G20-'DealScope monthly model and pri'!G32</f>
        <v>9830.25</v>
      </c>
      <c r="H38" s="10">
        <f>'DealScope monthly model and pri'!H20-'DealScope monthly model and pri'!H32</f>
        <v>9830.25</v>
      </c>
      <c r="I38" s="10">
        <f>'DealScope monthly model and pri'!I20-'DealScope monthly model and pri'!I32</f>
        <v>9830.25</v>
      </c>
      <c r="J38" s="10">
        <f>'DealScope monthly model and pri'!J20-'DealScope monthly model and pri'!J32</f>
        <v>9830.25</v>
      </c>
      <c r="K38" s="10">
        <f>'DealScope monthly model and pri'!K20-'DealScope monthly model and pri'!K32</f>
        <v>9830.25</v>
      </c>
      <c r="L38" s="10">
        <f>'DealScope monthly model and pri'!L20-'DealScope monthly model and pri'!L32</f>
        <v>9830.25</v>
      </c>
      <c r="M38" s="10">
        <f>'DealScope monthly model and pri'!M20-'DealScope monthly model and pri'!M32</f>
        <v>9830.25</v>
      </c>
    </row>
    <row r="39">
      <c r="A39" t="inlineStr" s="6">
        <is>
          <t xml:space="preserve">Payment fees</t>
        </is>
      </c>
      <c r="B39" t="str" s="12">
        <f>""</f>
        <v/>
      </c>
      <c r="C39" t="str" s="12">
        <f>""</f>
        <v/>
      </c>
      <c r="D39" t="str" s="12">
        <f>""</f>
        <v/>
      </c>
      <c r="E39" t="str" s="12">
        <f>""</f>
        <v/>
      </c>
      <c r="F39" t="str" s="12">
        <f>""</f>
        <v/>
      </c>
      <c r="G39" t="str" s="12">
        <f>""</f>
        <v/>
      </c>
      <c r="H39" t="str" s="12">
        <f>""</f>
        <v/>
      </c>
      <c r="I39" t="str" s="12">
        <f>""</f>
        <v/>
      </c>
      <c r="J39" t="str" s="12">
        <f>""</f>
        <v/>
      </c>
      <c r="K39" t="str" s="12">
        <f>""</f>
        <v/>
      </c>
      <c r="L39" t="str" s="12">
        <f>""</f>
        <v/>
      </c>
      <c r="M39" t="str" s="12">
        <f>""</f>
        <v/>
      </c>
    </row>
    <row r="40" outlineLevel="1">
      <c r="A40" t="inlineStr" s="11">
        <is>
          <t xml:space="preserve">Annual deal-team</t>
        </is>
      </c>
      <c r="B40" s="10">
        <f>'DealScope monthly model and pri'!B22*'Model inputs'!O79</f>
        <v>3750</v>
      </c>
      <c r="C40" s="10">
        <f>'DealScope monthly model and pri'!C22*'Model inputs'!O79</f>
        <v>150</v>
      </c>
      <c r="D40" s="10">
        <f>'DealScope monthly model and pri'!D22*'Model inputs'!O79</f>
        <v>150</v>
      </c>
      <c r="E40" s="10">
        <f>'DealScope monthly model and pri'!E22*'Model inputs'!O79</f>
        <v>150</v>
      </c>
      <c r="F40" s="10">
        <f>'DealScope monthly model and pri'!F22*'Model inputs'!O79</f>
        <v>150</v>
      </c>
      <c r="G40" s="10">
        <f>'DealScope monthly model and pri'!G22*'Model inputs'!O79</f>
        <v>150</v>
      </c>
      <c r="H40" s="10">
        <f>'DealScope monthly model and pri'!H22*'Model inputs'!O79</f>
        <v>150</v>
      </c>
      <c r="I40" s="10">
        <f>'DealScope monthly model and pri'!I22*'Model inputs'!O79</f>
        <v>150</v>
      </c>
      <c r="J40" s="10">
        <f>'DealScope monthly model and pri'!J22*'Model inputs'!O79</f>
        <v>150</v>
      </c>
      <c r="K40" s="10">
        <f>'DealScope monthly model and pri'!K22*'Model inputs'!O79</f>
        <v>150</v>
      </c>
      <c r="L40" s="10">
        <f>'DealScope monthly model and pri'!L22*'Model inputs'!O79</f>
        <v>150</v>
      </c>
      <c r="M40" s="10">
        <f>'DealScope monthly model and pri'!M22*'Model inputs'!O79</f>
        <v>150</v>
      </c>
    </row>
    <row r="41" outlineLevel="1">
      <c r="A41" t="inlineStr" s="11">
        <is>
          <t xml:space="preserve">Hybrid</t>
        </is>
      </c>
      <c r="B41" s="10">
        <f>'DealScope monthly model and pri'!B23*'Model inputs'!O79</f>
        <v>1350</v>
      </c>
      <c r="C41" s="10">
        <f>'DealScope monthly model and pri'!C23*'Model inputs'!O79</f>
        <v>450</v>
      </c>
      <c r="D41" s="10">
        <f>'DealScope monthly model and pri'!D23*'Model inputs'!O79</f>
        <v>450</v>
      </c>
      <c r="E41" s="10">
        <f>'DealScope monthly model and pri'!E23*'Model inputs'!O79</f>
        <v>450</v>
      </c>
      <c r="F41" s="10">
        <f>'DealScope monthly model and pri'!F23*'Model inputs'!O79</f>
        <v>450</v>
      </c>
      <c r="G41" s="10">
        <f>'DealScope monthly model and pri'!G23*'Model inputs'!O79</f>
        <v>450</v>
      </c>
      <c r="H41" s="10">
        <f>'DealScope monthly model and pri'!H23*'Model inputs'!O79</f>
        <v>450</v>
      </c>
      <c r="I41" s="10">
        <f>'DealScope monthly model and pri'!I23*'Model inputs'!O79</f>
        <v>450</v>
      </c>
      <c r="J41" s="10">
        <f>'DealScope monthly model and pri'!J23*'Model inputs'!O79</f>
        <v>450</v>
      </c>
      <c r="K41" s="10">
        <f>'DealScope monthly model and pri'!K23*'Model inputs'!O79</f>
        <v>450</v>
      </c>
      <c r="L41" s="10">
        <f>'DealScope monthly model and pri'!L23*'Model inputs'!O79</f>
        <v>450</v>
      </c>
      <c r="M41" s="10">
        <f>'DealScope monthly model and pri'!M23*'Model inputs'!O79</f>
        <v>450</v>
      </c>
    </row>
    <row r="42" outlineLevel="1">
      <c r="A42" t="inlineStr" s="11">
        <is>
          <t xml:space="preserve">Per audit — base</t>
        </is>
      </c>
      <c r="B42" s="10">
        <f>'DealScope monthly model and pri'!B24*'Model inputs'!O79</f>
        <v>675</v>
      </c>
      <c r="C42" s="10">
        <f>'DealScope monthly model and pri'!C24*'Model inputs'!O79</f>
        <v>675</v>
      </c>
      <c r="D42" s="10">
        <f>'DealScope monthly model and pri'!D24*'Model inputs'!O79</f>
        <v>675</v>
      </c>
      <c r="E42" s="10">
        <f>'DealScope monthly model and pri'!E24*'Model inputs'!O79</f>
        <v>675</v>
      </c>
      <c r="F42" s="10">
        <f>'DealScope monthly model and pri'!F24*'Model inputs'!O79</f>
        <v>675</v>
      </c>
      <c r="G42" s="10">
        <f>'DealScope monthly model and pri'!G24*'Model inputs'!O79</f>
        <v>675</v>
      </c>
      <c r="H42" s="10">
        <f>'DealScope monthly model and pri'!H24*'Model inputs'!O79</f>
        <v>675</v>
      </c>
      <c r="I42" s="10">
        <f>'DealScope monthly model and pri'!I24*'Model inputs'!O79</f>
        <v>675</v>
      </c>
      <c r="J42" s="10">
        <f>'DealScope monthly model and pri'!J24*'Model inputs'!O79</f>
        <v>675</v>
      </c>
      <c r="K42" s="10">
        <f>'DealScope monthly model and pri'!K24*'Model inputs'!O79</f>
        <v>675</v>
      </c>
      <c r="L42" s="10">
        <f>'DealScope monthly model and pri'!L24*'Model inputs'!O79</f>
        <v>675</v>
      </c>
      <c r="M42" s="10">
        <f>'DealScope monthly model and pri'!M24*'Model inputs'!O79</f>
        <v>675</v>
      </c>
    </row>
    <row r="43" outlineLevel="1">
      <c r="A43" t="inlineStr" s="11">
        <is>
          <t xml:space="preserve">Per audit — high</t>
        </is>
      </c>
      <c r="B43" s="10">
        <f>'DealScope monthly model and pri'!B25*'Model inputs'!O79</f>
        <v>1350</v>
      </c>
      <c r="C43" s="10">
        <f>'DealScope monthly model and pri'!C25*'Model inputs'!O79</f>
        <v>1350</v>
      </c>
      <c r="D43" s="10">
        <f>'DealScope monthly model and pri'!D25*'Model inputs'!O79</f>
        <v>1350</v>
      </c>
      <c r="E43" s="10">
        <f>'DealScope monthly model and pri'!E25*'Model inputs'!O79</f>
        <v>1350</v>
      </c>
      <c r="F43" s="10">
        <f>'DealScope monthly model and pri'!F25*'Model inputs'!O79</f>
        <v>1350</v>
      </c>
      <c r="G43" s="10">
        <f>'DealScope monthly model and pri'!G25*'Model inputs'!O79</f>
        <v>1350</v>
      </c>
      <c r="H43" s="10">
        <f>'DealScope monthly model and pri'!H25*'Model inputs'!O79</f>
        <v>1350</v>
      </c>
      <c r="I43" s="10">
        <f>'DealScope monthly model and pri'!I25*'Model inputs'!O79</f>
        <v>1350</v>
      </c>
      <c r="J43" s="10">
        <f>'DealScope monthly model and pri'!J25*'Model inputs'!O79</f>
        <v>1350</v>
      </c>
      <c r="K43" s="10">
        <f>'DealScope monthly model and pri'!K25*'Model inputs'!O79</f>
        <v>1350</v>
      </c>
      <c r="L43" s="10">
        <f>'DealScope monthly model and pri'!L25*'Model inputs'!O79</f>
        <v>1350</v>
      </c>
      <c r="M43" s="10">
        <f>'DealScope monthly model and pri'!M25*'Model inputs'!O79</f>
        <v>1350</v>
      </c>
    </row>
    <row r="44" outlineLevel="1">
      <c r="A44" t="inlineStr" s="11">
        <is>
          <t xml:space="preserve">Per audit — low</t>
        </is>
      </c>
      <c r="B44" s="10">
        <f>'DealScope monthly model and pri'!B26*'Model inputs'!O79</f>
        <v>337.5</v>
      </c>
      <c r="C44" s="10">
        <f>'DealScope monthly model and pri'!C26*'Model inputs'!O79</f>
        <v>337.5</v>
      </c>
      <c r="D44" s="10">
        <f>'DealScope monthly model and pri'!D26*'Model inputs'!O79</f>
        <v>337.5</v>
      </c>
      <c r="E44" s="10">
        <f>'DealScope monthly model and pri'!E26*'Model inputs'!O79</f>
        <v>337.5</v>
      </c>
      <c r="F44" s="10">
        <f>'DealScope monthly model and pri'!F26*'Model inputs'!O79</f>
        <v>337.5</v>
      </c>
      <c r="G44" s="10">
        <f>'DealScope monthly model and pri'!G26*'Model inputs'!O79</f>
        <v>337.5</v>
      </c>
      <c r="H44" s="10">
        <f>'DealScope monthly model and pri'!H26*'Model inputs'!O79</f>
        <v>337.5</v>
      </c>
      <c r="I44" s="10">
        <f>'DealScope monthly model and pri'!I26*'Model inputs'!O79</f>
        <v>337.5</v>
      </c>
      <c r="J44" s="10">
        <f>'DealScope monthly model and pri'!J26*'Model inputs'!O79</f>
        <v>337.5</v>
      </c>
      <c r="K44" s="10">
        <f>'DealScope monthly model and pri'!K26*'Model inputs'!O79</f>
        <v>337.5</v>
      </c>
      <c r="L44" s="10">
        <f>'DealScope monthly model and pri'!L26*'Model inputs'!O79</f>
        <v>337.5</v>
      </c>
      <c r="M44" s="10">
        <f>'DealScope monthly model and pri'!M26*'Model inputs'!O79</f>
        <v>337.5</v>
      </c>
    </row>
    <row r="45">
      <c r="A45" t="inlineStr" s="6">
        <is>
          <t xml:space="preserve">Account support cost</t>
        </is>
      </c>
      <c r="B45" t="str" s="12">
        <f>""</f>
        <v/>
      </c>
      <c r="C45" t="str" s="12">
        <f>""</f>
        <v/>
      </c>
      <c r="D45" t="str" s="12">
        <f>""</f>
        <v/>
      </c>
      <c r="E45" t="str" s="12">
        <f>""</f>
        <v/>
      </c>
      <c r="F45" t="str" s="12">
        <f>""</f>
        <v/>
      </c>
      <c r="G45" t="str" s="12">
        <f>""</f>
        <v/>
      </c>
      <c r="H45" t="str" s="12">
        <f>""</f>
        <v/>
      </c>
      <c r="I45" t="str" s="12">
        <f>""</f>
        <v/>
      </c>
      <c r="J45" t="str" s="12">
        <f>""</f>
        <v/>
      </c>
      <c r="K45" t="str" s="12">
        <f>""</f>
        <v/>
      </c>
      <c r="L45" t="str" s="12">
        <f>""</f>
        <v/>
      </c>
      <c r="M45" t="str" s="12">
        <f>""</f>
        <v/>
      </c>
    </row>
    <row r="46" outlineLevel="1">
      <c r="A46" t="inlineStr" s="11">
        <is>
          <t xml:space="preserve">Annual deal-team</t>
        </is>
      </c>
      <c r="B46" s="10">
        <f>'DealScope monthly model and pri'!B6*'Model inputs'!O86*'Model inputs'!O85</f>
        <v>150</v>
      </c>
      <c r="C46" s="10">
        <f>'DealScope monthly model and pri'!C6*'Model inputs'!O86*'Model inputs'!O85</f>
        <v>150</v>
      </c>
      <c r="D46" s="10">
        <f>'DealScope monthly model and pri'!D6*'Model inputs'!O86*'Model inputs'!O85</f>
        <v>150</v>
      </c>
      <c r="E46" s="10">
        <f>'DealScope monthly model and pri'!E6*'Model inputs'!O86*'Model inputs'!O85</f>
        <v>150</v>
      </c>
      <c r="F46" s="10">
        <f>'DealScope monthly model and pri'!F6*'Model inputs'!O86*'Model inputs'!O85</f>
        <v>150</v>
      </c>
      <c r="G46" s="10">
        <f>'DealScope monthly model and pri'!G6*'Model inputs'!O86*'Model inputs'!O85</f>
        <v>150</v>
      </c>
      <c r="H46" s="10">
        <f>'DealScope monthly model and pri'!H6*'Model inputs'!O86*'Model inputs'!O85</f>
        <v>150</v>
      </c>
      <c r="I46" s="10">
        <f>'DealScope monthly model and pri'!I6*'Model inputs'!O86*'Model inputs'!O85</f>
        <v>150</v>
      </c>
      <c r="J46" s="10">
        <f>'DealScope monthly model and pri'!J6*'Model inputs'!O86*'Model inputs'!O85</f>
        <v>150</v>
      </c>
      <c r="K46" s="10">
        <f>'DealScope monthly model and pri'!K6*'Model inputs'!O86*'Model inputs'!O85</f>
        <v>150</v>
      </c>
      <c r="L46" s="10">
        <f>'DealScope monthly model and pri'!L6*'Model inputs'!O86*'Model inputs'!O85</f>
        <v>150</v>
      </c>
      <c r="M46" s="10">
        <f>'DealScope monthly model and pri'!M6*'Model inputs'!O86*'Model inputs'!O85</f>
        <v>150</v>
      </c>
    </row>
    <row r="47" outlineLevel="1">
      <c r="A47" t="inlineStr" s="11">
        <is>
          <t xml:space="preserve">Hybrid</t>
        </is>
      </c>
      <c r="B47" s="10">
        <f>'DealScope monthly model and pri'!B6*'Model inputs'!O86*'Model inputs'!O85</f>
        <v>150</v>
      </c>
      <c r="C47" s="10">
        <f>'DealScope monthly model and pri'!C6*'Model inputs'!O86*'Model inputs'!O85</f>
        <v>150</v>
      </c>
      <c r="D47" s="10">
        <f>'DealScope monthly model and pri'!D6*'Model inputs'!O86*'Model inputs'!O85</f>
        <v>150</v>
      </c>
      <c r="E47" s="10">
        <f>'DealScope monthly model and pri'!E6*'Model inputs'!O86*'Model inputs'!O85</f>
        <v>150</v>
      </c>
      <c r="F47" s="10">
        <f>'DealScope monthly model and pri'!F6*'Model inputs'!O86*'Model inputs'!O85</f>
        <v>150</v>
      </c>
      <c r="G47" s="10">
        <f>'DealScope monthly model and pri'!G6*'Model inputs'!O86*'Model inputs'!O85</f>
        <v>150</v>
      </c>
      <c r="H47" s="10">
        <f>'DealScope monthly model and pri'!H6*'Model inputs'!O86*'Model inputs'!O85</f>
        <v>150</v>
      </c>
      <c r="I47" s="10">
        <f>'DealScope monthly model and pri'!I6*'Model inputs'!O86*'Model inputs'!O85</f>
        <v>150</v>
      </c>
      <c r="J47" s="10">
        <f>'DealScope monthly model and pri'!J6*'Model inputs'!O86*'Model inputs'!O85</f>
        <v>150</v>
      </c>
      <c r="K47" s="10">
        <f>'DealScope monthly model and pri'!K6*'Model inputs'!O86*'Model inputs'!O85</f>
        <v>150</v>
      </c>
      <c r="L47" s="10">
        <f>'DealScope monthly model and pri'!L6*'Model inputs'!O86*'Model inputs'!O85</f>
        <v>150</v>
      </c>
      <c r="M47" s="10">
        <f>'DealScope monthly model and pri'!M6*'Model inputs'!O86*'Model inputs'!O85</f>
        <v>150</v>
      </c>
    </row>
    <row r="48" outlineLevel="1">
      <c r="A48" t="inlineStr" s="11">
        <is>
          <t xml:space="preserve">Per audit — base</t>
        </is>
      </c>
      <c r="B48" s="10">
        <f>'DealScope monthly model and pri'!B6*'Model inputs'!O86*'Model inputs'!O85</f>
        <v>150</v>
      </c>
      <c r="C48" s="10">
        <f>'DealScope monthly model and pri'!C6*'Model inputs'!O86*'Model inputs'!O85</f>
        <v>150</v>
      </c>
      <c r="D48" s="10">
        <f>'DealScope monthly model and pri'!D6*'Model inputs'!O86*'Model inputs'!O85</f>
        <v>150</v>
      </c>
      <c r="E48" s="10">
        <f>'DealScope monthly model and pri'!E6*'Model inputs'!O86*'Model inputs'!O85</f>
        <v>150</v>
      </c>
      <c r="F48" s="10">
        <f>'DealScope monthly model and pri'!F6*'Model inputs'!O86*'Model inputs'!O85</f>
        <v>150</v>
      </c>
      <c r="G48" s="10">
        <f>'DealScope monthly model and pri'!G6*'Model inputs'!O86*'Model inputs'!O85</f>
        <v>150</v>
      </c>
      <c r="H48" s="10">
        <f>'DealScope monthly model and pri'!H6*'Model inputs'!O86*'Model inputs'!O85</f>
        <v>150</v>
      </c>
      <c r="I48" s="10">
        <f>'DealScope monthly model and pri'!I6*'Model inputs'!O86*'Model inputs'!O85</f>
        <v>150</v>
      </c>
      <c r="J48" s="10">
        <f>'DealScope monthly model and pri'!J6*'Model inputs'!O86*'Model inputs'!O85</f>
        <v>150</v>
      </c>
      <c r="K48" s="10">
        <f>'DealScope monthly model and pri'!K6*'Model inputs'!O86*'Model inputs'!O85</f>
        <v>150</v>
      </c>
      <c r="L48" s="10">
        <f>'DealScope monthly model and pri'!L6*'Model inputs'!O86*'Model inputs'!O85</f>
        <v>150</v>
      </c>
      <c r="M48" s="10">
        <f>'DealScope monthly model and pri'!M6*'Model inputs'!O86*'Model inputs'!O85</f>
        <v>150</v>
      </c>
    </row>
    <row r="49" outlineLevel="1">
      <c r="A49" t="inlineStr" s="11">
        <is>
          <t xml:space="preserve">Per audit — high</t>
        </is>
      </c>
      <c r="B49" s="10">
        <f>'DealScope monthly model and pri'!B6*'Model inputs'!O86*'Model inputs'!O85</f>
        <v>150</v>
      </c>
      <c r="C49" s="10">
        <f>'DealScope monthly model and pri'!C6*'Model inputs'!O86*'Model inputs'!O85</f>
        <v>150</v>
      </c>
      <c r="D49" s="10">
        <f>'DealScope monthly model and pri'!D6*'Model inputs'!O86*'Model inputs'!O85</f>
        <v>150</v>
      </c>
      <c r="E49" s="10">
        <f>'DealScope monthly model and pri'!E6*'Model inputs'!O86*'Model inputs'!O85</f>
        <v>150</v>
      </c>
      <c r="F49" s="10">
        <f>'DealScope monthly model and pri'!F6*'Model inputs'!O86*'Model inputs'!O85</f>
        <v>150</v>
      </c>
      <c r="G49" s="10">
        <f>'DealScope monthly model and pri'!G6*'Model inputs'!O86*'Model inputs'!O85</f>
        <v>150</v>
      </c>
      <c r="H49" s="10">
        <f>'DealScope monthly model and pri'!H6*'Model inputs'!O86*'Model inputs'!O85</f>
        <v>150</v>
      </c>
      <c r="I49" s="10">
        <f>'DealScope monthly model and pri'!I6*'Model inputs'!O86*'Model inputs'!O85</f>
        <v>150</v>
      </c>
      <c r="J49" s="10">
        <f>'DealScope monthly model and pri'!J6*'Model inputs'!O86*'Model inputs'!O85</f>
        <v>150</v>
      </c>
      <c r="K49" s="10">
        <f>'DealScope monthly model and pri'!K6*'Model inputs'!O86*'Model inputs'!O85</f>
        <v>150</v>
      </c>
      <c r="L49" s="10">
        <f>'DealScope monthly model and pri'!L6*'Model inputs'!O86*'Model inputs'!O85</f>
        <v>150</v>
      </c>
      <c r="M49" s="10">
        <f>'DealScope monthly model and pri'!M6*'Model inputs'!O86*'Model inputs'!O85</f>
        <v>150</v>
      </c>
    </row>
    <row r="50" outlineLevel="1">
      <c r="A50" t="inlineStr" s="11">
        <is>
          <t xml:space="preserve">Per audit — low</t>
        </is>
      </c>
      <c r="B50" s="10">
        <f>'DealScope monthly model and pri'!B6*'Model inputs'!O86*'Model inputs'!O85</f>
        <v>150</v>
      </c>
      <c r="C50" s="10">
        <f>'DealScope monthly model and pri'!C6*'Model inputs'!O86*'Model inputs'!O85</f>
        <v>150</v>
      </c>
      <c r="D50" s="10">
        <f>'DealScope monthly model and pri'!D6*'Model inputs'!O86*'Model inputs'!O85</f>
        <v>150</v>
      </c>
      <c r="E50" s="10">
        <f>'DealScope monthly model and pri'!E6*'Model inputs'!O86*'Model inputs'!O85</f>
        <v>150</v>
      </c>
      <c r="F50" s="10">
        <f>'DealScope monthly model and pri'!F6*'Model inputs'!O86*'Model inputs'!O85</f>
        <v>150</v>
      </c>
      <c r="G50" s="10">
        <f>'DealScope monthly model and pri'!G6*'Model inputs'!O86*'Model inputs'!O85</f>
        <v>150</v>
      </c>
      <c r="H50" s="10">
        <f>'DealScope monthly model and pri'!H6*'Model inputs'!O86*'Model inputs'!O85</f>
        <v>150</v>
      </c>
      <c r="I50" s="10">
        <f>'DealScope monthly model and pri'!I6*'Model inputs'!O86*'Model inputs'!O85</f>
        <v>150</v>
      </c>
      <c r="J50" s="10">
        <f>'DealScope monthly model and pri'!J6*'Model inputs'!O86*'Model inputs'!O85</f>
        <v>150</v>
      </c>
      <c r="K50" s="10">
        <f>'DealScope monthly model and pri'!K6*'Model inputs'!O86*'Model inputs'!O85</f>
        <v>150</v>
      </c>
      <c r="L50" s="10">
        <f>'DealScope monthly model and pri'!L6*'Model inputs'!O86*'Model inputs'!O85</f>
        <v>150</v>
      </c>
      <c r="M50" s="10">
        <f>'DealScope monthly model and pri'!M6*'Model inputs'!O86*'Model inputs'!O85</f>
        <v>150</v>
      </c>
    </row>
    <row r="51">
      <c r="A51" t="inlineStr" s="6">
        <is>
          <t xml:space="preserve">Contribution profit</t>
        </is>
      </c>
      <c r="B51" t="str" s="12">
        <f>""</f>
        <v/>
      </c>
      <c r="C51" t="str" s="12">
        <f>""</f>
        <v/>
      </c>
      <c r="D51" t="str" s="12">
        <f>""</f>
        <v/>
      </c>
      <c r="E51" t="str" s="12">
        <f>""</f>
        <v/>
      </c>
      <c r="F51" t="str" s="12">
        <f>""</f>
        <v/>
      </c>
      <c r="G51" t="str" s="12">
        <f>""</f>
        <v/>
      </c>
      <c r="H51" t="str" s="12">
        <f>""</f>
        <v/>
      </c>
      <c r="I51" t="str" s="12">
        <f>""</f>
        <v/>
      </c>
      <c r="J51" t="str" s="12">
        <f>""</f>
        <v/>
      </c>
      <c r="K51" t="str" s="12">
        <f>""</f>
        <v/>
      </c>
      <c r="L51" t="str" s="12">
        <f>""</f>
        <v/>
      </c>
      <c r="M51" t="str" s="12">
        <f>""</f>
        <v/>
      </c>
    </row>
    <row r="52" outlineLevel="1">
      <c r="A52" t="inlineStr" s="11">
        <is>
          <t xml:space="preserve">Annual deal-team</t>
        </is>
      </c>
      <c r="B52" s="10">
        <f>'DealScope monthly model and pri'!B34-'DealScope monthly model and pri'!B16*'Model inputs'!O79-'DealScope monthly model and pri'!B46</f>
        <v>12980.25</v>
      </c>
      <c r="C52" s="10">
        <f>'DealScope monthly model and pri'!C34-'DealScope monthly model and pri'!C16*'Model inputs'!O79-'DealScope monthly model and pri'!C46</f>
        <v>12980.25</v>
      </c>
      <c r="D52" s="10">
        <f>'DealScope monthly model and pri'!D34-'DealScope monthly model and pri'!D16*'Model inputs'!O79-'DealScope monthly model and pri'!D46</f>
        <v>12980.25</v>
      </c>
      <c r="E52" s="10">
        <f>'DealScope monthly model and pri'!E34-'DealScope monthly model and pri'!E16*'Model inputs'!O79-'DealScope monthly model and pri'!E46</f>
        <v>12980.25</v>
      </c>
      <c r="F52" s="10">
        <f>'DealScope monthly model and pri'!F34-'DealScope monthly model and pri'!F16*'Model inputs'!O79-'DealScope monthly model and pri'!F46</f>
        <v>12980.25</v>
      </c>
      <c r="G52" s="10">
        <f>'DealScope monthly model and pri'!G34-'DealScope monthly model and pri'!G16*'Model inputs'!O79-'DealScope monthly model and pri'!G46</f>
        <v>12980.25</v>
      </c>
      <c r="H52" s="10">
        <f>'DealScope monthly model and pri'!H34-'DealScope monthly model and pri'!H16*'Model inputs'!O79-'DealScope monthly model and pri'!H46</f>
        <v>12980.25</v>
      </c>
      <c r="I52" s="10">
        <f>'DealScope monthly model and pri'!I34-'DealScope monthly model and pri'!I16*'Model inputs'!O79-'DealScope monthly model and pri'!I46</f>
        <v>12980.25</v>
      </c>
      <c r="J52" s="10">
        <f>'DealScope monthly model and pri'!J34-'DealScope monthly model and pri'!J16*'Model inputs'!O79-'DealScope monthly model and pri'!J46</f>
        <v>12980.25</v>
      </c>
      <c r="K52" s="10">
        <f>'DealScope monthly model and pri'!K34-'DealScope monthly model and pri'!K16*'Model inputs'!O79-'DealScope monthly model and pri'!K46</f>
        <v>12980.25</v>
      </c>
      <c r="L52" s="10">
        <f>'DealScope monthly model and pri'!L34-'DealScope monthly model and pri'!L16*'Model inputs'!O79-'DealScope monthly model and pri'!L46</f>
        <v>12980.25</v>
      </c>
      <c r="M52" s="10">
        <f>'DealScope monthly model and pri'!M34-'DealScope monthly model and pri'!M16*'Model inputs'!O79-'DealScope monthly model and pri'!M46</f>
        <v>12980.25</v>
      </c>
    </row>
    <row r="53" outlineLevel="1">
      <c r="A53" t="inlineStr" s="11">
        <is>
          <t xml:space="preserve">Hybrid</t>
        </is>
      </c>
      <c r="B53" s="10">
        <f>'DealScope monthly model and pri'!B35-'DealScope monthly model and pri'!B17*'Model inputs'!O79-'DealScope monthly model and pri'!B47</f>
        <v>15405.25</v>
      </c>
      <c r="C53" s="10">
        <f>'DealScope monthly model and pri'!C35-'DealScope monthly model and pri'!C17*'Model inputs'!O79-'DealScope monthly model and pri'!C47</f>
        <v>15405.25</v>
      </c>
      <c r="D53" s="10">
        <f>'DealScope monthly model and pri'!D35-'DealScope monthly model and pri'!D17*'Model inputs'!O79-'DealScope monthly model and pri'!D47</f>
        <v>15405.25</v>
      </c>
      <c r="E53" s="10">
        <f>'DealScope monthly model and pri'!E35-'DealScope monthly model and pri'!E17*'Model inputs'!O79-'DealScope monthly model and pri'!E47</f>
        <v>15405.25</v>
      </c>
      <c r="F53" s="10">
        <f>'DealScope monthly model and pri'!F35-'DealScope monthly model and pri'!F17*'Model inputs'!O79-'DealScope monthly model and pri'!F47</f>
        <v>15405.25</v>
      </c>
      <c r="G53" s="10">
        <f>'DealScope monthly model and pri'!G35-'DealScope monthly model and pri'!G17*'Model inputs'!O79-'DealScope monthly model and pri'!G47</f>
        <v>15405.25</v>
      </c>
      <c r="H53" s="10">
        <f>'DealScope monthly model and pri'!H35-'DealScope monthly model and pri'!H17*'Model inputs'!O79-'DealScope monthly model and pri'!H47</f>
        <v>15405.25</v>
      </c>
      <c r="I53" s="10">
        <f>'DealScope monthly model and pri'!I35-'DealScope monthly model and pri'!I17*'Model inputs'!O79-'DealScope monthly model and pri'!I47</f>
        <v>15405.25</v>
      </c>
      <c r="J53" s="10">
        <f>'DealScope monthly model and pri'!J35-'DealScope monthly model and pri'!J17*'Model inputs'!O79-'DealScope monthly model and pri'!J47</f>
        <v>15405.25</v>
      </c>
      <c r="K53" s="10">
        <f>'DealScope monthly model and pri'!K35-'DealScope monthly model and pri'!K17*'Model inputs'!O79-'DealScope monthly model and pri'!K47</f>
        <v>15405.25</v>
      </c>
      <c r="L53" s="10">
        <f>'DealScope monthly model and pri'!L35-'DealScope monthly model and pri'!L17*'Model inputs'!O79-'DealScope monthly model and pri'!L47</f>
        <v>15405.25</v>
      </c>
      <c r="M53" s="10">
        <f>'DealScope monthly model and pri'!M35-'DealScope monthly model and pri'!M17*'Model inputs'!O79-'DealScope monthly model and pri'!M47</f>
        <v>15405.25</v>
      </c>
    </row>
    <row r="54" outlineLevel="1">
      <c r="A54" t="inlineStr" s="11">
        <is>
          <t xml:space="preserve">Per audit — base</t>
        </is>
      </c>
      <c r="B54" s="10">
        <f>'DealScope monthly model and pri'!B36-'DealScope monthly model and pri'!B18*'Model inputs'!O79-'DealScope monthly model and pri'!B48</f>
        <v>20255.25</v>
      </c>
      <c r="C54" s="10">
        <f>'DealScope monthly model and pri'!C36-'DealScope monthly model and pri'!C18*'Model inputs'!O79-'DealScope monthly model and pri'!C48</f>
        <v>20255.25</v>
      </c>
      <c r="D54" s="10">
        <f>'DealScope monthly model and pri'!D36-'DealScope monthly model and pri'!D18*'Model inputs'!O79-'DealScope monthly model and pri'!D48</f>
        <v>20255.25</v>
      </c>
      <c r="E54" s="10">
        <f>'DealScope monthly model and pri'!E36-'DealScope monthly model and pri'!E18*'Model inputs'!O79-'DealScope monthly model and pri'!E48</f>
        <v>20255.25</v>
      </c>
      <c r="F54" s="10">
        <f>'DealScope monthly model and pri'!F36-'DealScope monthly model and pri'!F18*'Model inputs'!O79-'DealScope monthly model and pri'!F48</f>
        <v>20255.25</v>
      </c>
      <c r="G54" s="10">
        <f>'DealScope monthly model and pri'!G36-'DealScope monthly model and pri'!G18*'Model inputs'!O79-'DealScope monthly model and pri'!G48</f>
        <v>20255.25</v>
      </c>
      <c r="H54" s="10">
        <f>'DealScope monthly model and pri'!H36-'DealScope monthly model and pri'!H18*'Model inputs'!O79-'DealScope monthly model and pri'!H48</f>
        <v>20255.25</v>
      </c>
      <c r="I54" s="10">
        <f>'DealScope monthly model and pri'!I36-'DealScope monthly model and pri'!I18*'Model inputs'!O79-'DealScope monthly model and pri'!I48</f>
        <v>20255.25</v>
      </c>
      <c r="J54" s="10">
        <f>'DealScope monthly model and pri'!J36-'DealScope monthly model and pri'!J18*'Model inputs'!O79-'DealScope monthly model and pri'!J48</f>
        <v>20255.25</v>
      </c>
      <c r="K54" s="10">
        <f>'DealScope monthly model and pri'!K36-'DealScope monthly model and pri'!K18*'Model inputs'!O79-'DealScope monthly model and pri'!K48</f>
        <v>20255.25</v>
      </c>
      <c r="L54" s="10">
        <f>'DealScope monthly model and pri'!L36-'DealScope monthly model and pri'!L18*'Model inputs'!O79-'DealScope monthly model and pri'!L48</f>
        <v>20255.25</v>
      </c>
      <c r="M54" s="10">
        <f>'DealScope monthly model and pri'!M36-'DealScope monthly model and pri'!M18*'Model inputs'!O79-'DealScope monthly model and pri'!M48</f>
        <v>20255.25</v>
      </c>
    </row>
    <row r="55" outlineLevel="1">
      <c r="A55" t="inlineStr" s="11">
        <is>
          <t xml:space="preserve">Per audit — high</t>
        </is>
      </c>
      <c r="B55" s="10">
        <f>'DealScope monthly model and pri'!B37-'DealScope monthly model and pri'!B19*'Model inputs'!O79-'DealScope monthly model and pri'!B49</f>
        <v>42080.25</v>
      </c>
      <c r="C55" s="10">
        <f>'DealScope monthly model and pri'!C37-'DealScope monthly model and pri'!C19*'Model inputs'!O79-'DealScope monthly model and pri'!C49</f>
        <v>42080.25</v>
      </c>
      <c r="D55" s="10">
        <f>'DealScope monthly model and pri'!D37-'DealScope monthly model and pri'!D19*'Model inputs'!O79-'DealScope monthly model and pri'!D49</f>
        <v>42080.25</v>
      </c>
      <c r="E55" s="10">
        <f>'DealScope monthly model and pri'!E37-'DealScope monthly model and pri'!E19*'Model inputs'!O79-'DealScope monthly model and pri'!E49</f>
        <v>42080.25</v>
      </c>
      <c r="F55" s="10">
        <f>'DealScope monthly model and pri'!F37-'DealScope monthly model and pri'!F19*'Model inputs'!O79-'DealScope monthly model and pri'!F49</f>
        <v>42080.25</v>
      </c>
      <c r="G55" s="10">
        <f>'DealScope monthly model and pri'!G37-'DealScope monthly model and pri'!G19*'Model inputs'!O79-'DealScope monthly model and pri'!G49</f>
        <v>42080.25</v>
      </c>
      <c r="H55" s="10">
        <f>'DealScope monthly model and pri'!H37-'DealScope monthly model and pri'!H19*'Model inputs'!O79-'DealScope monthly model and pri'!H49</f>
        <v>42080.25</v>
      </c>
      <c r="I55" s="10">
        <f>'DealScope monthly model and pri'!I37-'DealScope monthly model and pri'!I19*'Model inputs'!O79-'DealScope monthly model and pri'!I49</f>
        <v>42080.25</v>
      </c>
      <c r="J55" s="10">
        <f>'DealScope monthly model and pri'!J37-'DealScope monthly model and pri'!J19*'Model inputs'!O79-'DealScope monthly model and pri'!J49</f>
        <v>42080.25</v>
      </c>
      <c r="K55" s="10">
        <f>'DealScope monthly model and pri'!K37-'DealScope monthly model and pri'!K19*'Model inputs'!O79-'DealScope monthly model and pri'!K49</f>
        <v>42080.25</v>
      </c>
      <c r="L55" s="10">
        <f>'DealScope monthly model and pri'!L37-'DealScope monthly model and pri'!L19*'Model inputs'!O79-'DealScope monthly model and pri'!L49</f>
        <v>42080.25</v>
      </c>
      <c r="M55" s="10">
        <f>'DealScope monthly model and pri'!M37-'DealScope monthly model and pri'!M19*'Model inputs'!O79-'DealScope monthly model and pri'!M49</f>
        <v>42080.25</v>
      </c>
    </row>
    <row r="56" outlineLevel="1">
      <c r="A56" t="inlineStr" s="11">
        <is>
          <t xml:space="preserve">Per audit — low</t>
        </is>
      </c>
      <c r="B56" s="10">
        <f>'DealScope monthly model and pri'!B38-'DealScope monthly model and pri'!B20*'Model inputs'!O79-'DealScope monthly model and pri'!B50</f>
        <v>9342.75</v>
      </c>
      <c r="C56" s="10">
        <f>'DealScope monthly model and pri'!C38-'DealScope monthly model and pri'!C20*'Model inputs'!O79-'DealScope monthly model and pri'!C50</f>
        <v>9342.75</v>
      </c>
      <c r="D56" s="10">
        <f>'DealScope monthly model and pri'!D38-'DealScope monthly model and pri'!D20*'Model inputs'!O79-'DealScope monthly model and pri'!D50</f>
        <v>9342.75</v>
      </c>
      <c r="E56" s="10">
        <f>'DealScope monthly model and pri'!E38-'DealScope monthly model and pri'!E20*'Model inputs'!O79-'DealScope monthly model and pri'!E50</f>
        <v>9342.75</v>
      </c>
      <c r="F56" s="10">
        <f>'DealScope monthly model and pri'!F38-'DealScope monthly model and pri'!F20*'Model inputs'!O79-'DealScope monthly model and pri'!F50</f>
        <v>9342.75</v>
      </c>
      <c r="G56" s="10">
        <f>'DealScope monthly model and pri'!G38-'DealScope monthly model and pri'!G20*'Model inputs'!O79-'DealScope monthly model and pri'!G50</f>
        <v>9342.75</v>
      </c>
      <c r="H56" s="10">
        <f>'DealScope monthly model and pri'!H38-'DealScope monthly model and pri'!H20*'Model inputs'!O79-'DealScope monthly model and pri'!H50</f>
        <v>9342.75</v>
      </c>
      <c r="I56" s="10">
        <f>'DealScope monthly model and pri'!I38-'DealScope monthly model and pri'!I20*'Model inputs'!O79-'DealScope monthly model and pri'!I50</f>
        <v>9342.75</v>
      </c>
      <c r="J56" s="10">
        <f>'DealScope monthly model and pri'!J38-'DealScope monthly model and pri'!J20*'Model inputs'!O79-'DealScope monthly model and pri'!J50</f>
        <v>9342.75</v>
      </c>
      <c r="K56" s="10">
        <f>'DealScope monthly model and pri'!K38-'DealScope monthly model and pri'!K20*'Model inputs'!O79-'DealScope monthly model and pri'!K50</f>
        <v>9342.75</v>
      </c>
      <c r="L56" s="10">
        <f>'DealScope monthly model and pri'!L38-'DealScope monthly model and pri'!L20*'Model inputs'!O79-'DealScope monthly model and pri'!L50</f>
        <v>9342.75</v>
      </c>
      <c r="M56" s="10">
        <f>'DealScope monthly model and pri'!M38-'DealScope monthly model and pri'!M20*'Model inputs'!O79-'DealScope monthly model and pri'!M50</f>
        <v>9342.75</v>
      </c>
    </row>
    <row r="57">
      <c r="A57" t="inlineStr" s="6">
        <is>
          <t xml:space="preserve">Operating profit</t>
        </is>
      </c>
      <c r="B57" t="str" s="12">
        <f>""</f>
        <v/>
      </c>
      <c r="C57" t="str" s="12">
        <f>""</f>
        <v/>
      </c>
      <c r="D57" t="str" s="12">
        <f>""</f>
        <v/>
      </c>
      <c r="E57" t="str" s="12">
        <f>""</f>
        <v/>
      </c>
      <c r="F57" t="str" s="12">
        <f>""</f>
        <v/>
      </c>
      <c r="G57" t="str" s="12">
        <f>""</f>
        <v/>
      </c>
      <c r="H57" t="str" s="12">
        <f>""</f>
        <v/>
      </c>
      <c r="I57" t="str" s="12">
        <f>""</f>
        <v/>
      </c>
      <c r="J57" t="str" s="12">
        <f>""</f>
        <v/>
      </c>
      <c r="K57" t="str" s="12">
        <f>""</f>
        <v/>
      </c>
      <c r="L57" t="str" s="12">
        <f>""</f>
        <v/>
      </c>
      <c r="M57" t="str" s="12">
        <f>""</f>
        <v/>
      </c>
    </row>
    <row r="58" outlineLevel="1">
      <c r="A58" t="inlineStr" s="11">
        <is>
          <t xml:space="preserve">Annual deal-team</t>
        </is>
      </c>
      <c r="B58" s="10">
        <f>'DealScope monthly model and pri'!B52-'DealScope monthly model and pri'!B8</f>
        <v>12230.25</v>
      </c>
      <c r="C58" s="10">
        <f>'DealScope monthly model and pri'!C52-'DealScope monthly model and pri'!C8</f>
        <v>12230.25</v>
      </c>
      <c r="D58" s="10">
        <f>'DealScope monthly model and pri'!D52-'DealScope monthly model and pri'!D8</f>
        <v>12230.25</v>
      </c>
      <c r="E58" s="10">
        <f>'DealScope monthly model and pri'!E52-'DealScope monthly model and pri'!E8</f>
        <v>12230.25</v>
      </c>
      <c r="F58" s="10">
        <f>'DealScope monthly model and pri'!F52-'DealScope monthly model and pri'!F8</f>
        <v>12230.25</v>
      </c>
      <c r="G58" s="10">
        <f>'DealScope monthly model and pri'!G52-'DealScope monthly model and pri'!G8</f>
        <v>11730.25</v>
      </c>
      <c r="H58" s="10">
        <f>'DealScope monthly model and pri'!H52-'DealScope monthly model and pri'!H8</f>
        <v>11730.25</v>
      </c>
      <c r="I58" s="10">
        <f>'DealScope monthly model and pri'!I52-'DealScope monthly model and pri'!I8</f>
        <v>11730.25</v>
      </c>
      <c r="J58" s="10">
        <f>'DealScope monthly model and pri'!J52-'DealScope monthly model and pri'!J8</f>
        <v>11730.25</v>
      </c>
      <c r="K58" s="10">
        <f>'DealScope monthly model and pri'!K52-'DealScope monthly model and pri'!K8</f>
        <v>11730.25</v>
      </c>
      <c r="L58" s="10">
        <f>'DealScope monthly model and pri'!L52-'DealScope monthly model and pri'!L8</f>
        <v>11730.25</v>
      </c>
      <c r="M58" s="10">
        <f>'DealScope monthly model and pri'!M52-'DealScope monthly model and pri'!M8</f>
        <v>11730.25</v>
      </c>
    </row>
    <row r="59" outlineLevel="1">
      <c r="A59" t="inlineStr" s="11">
        <is>
          <t xml:space="preserve">Hybrid</t>
        </is>
      </c>
      <c r="B59" s="10">
        <f>'DealScope monthly model and pri'!B53-'DealScope monthly model and pri'!B8</f>
        <v>14655.25</v>
      </c>
      <c r="C59" s="10">
        <f>'DealScope monthly model and pri'!C53-'DealScope monthly model and pri'!C8</f>
        <v>14655.25</v>
      </c>
      <c r="D59" s="10">
        <f>'DealScope monthly model and pri'!D53-'DealScope monthly model and pri'!D8</f>
        <v>14655.25</v>
      </c>
      <c r="E59" s="10">
        <f>'DealScope monthly model and pri'!E53-'DealScope monthly model and pri'!E8</f>
        <v>14655.25</v>
      </c>
      <c r="F59" s="10">
        <f>'DealScope monthly model and pri'!F53-'DealScope monthly model and pri'!F8</f>
        <v>14655.25</v>
      </c>
      <c r="G59" s="10">
        <f>'DealScope monthly model and pri'!G53-'DealScope monthly model and pri'!G8</f>
        <v>14155.25</v>
      </c>
      <c r="H59" s="10">
        <f>'DealScope monthly model and pri'!H53-'DealScope monthly model and pri'!H8</f>
        <v>14155.25</v>
      </c>
      <c r="I59" s="10">
        <f>'DealScope monthly model and pri'!I53-'DealScope monthly model and pri'!I8</f>
        <v>14155.25</v>
      </c>
      <c r="J59" s="10">
        <f>'DealScope monthly model and pri'!J53-'DealScope monthly model and pri'!J8</f>
        <v>14155.25</v>
      </c>
      <c r="K59" s="10">
        <f>'DealScope monthly model and pri'!K53-'DealScope monthly model and pri'!K8</f>
        <v>14155.25</v>
      </c>
      <c r="L59" s="10">
        <f>'DealScope monthly model and pri'!L53-'DealScope monthly model and pri'!L8</f>
        <v>14155.25</v>
      </c>
      <c r="M59" s="10">
        <f>'DealScope monthly model and pri'!M53-'DealScope monthly model and pri'!M8</f>
        <v>14155.25</v>
      </c>
    </row>
    <row r="60" outlineLevel="1">
      <c r="A60" t="inlineStr" s="11">
        <is>
          <t xml:space="preserve">Per audit — base</t>
        </is>
      </c>
      <c r="B60" s="10">
        <f>'DealScope monthly model and pri'!B54-'DealScope monthly model and pri'!B8</f>
        <v>19505.25</v>
      </c>
      <c r="C60" s="10">
        <f>'DealScope monthly model and pri'!C54-'DealScope monthly model and pri'!C8</f>
        <v>19505.25</v>
      </c>
      <c r="D60" s="10">
        <f>'DealScope monthly model and pri'!D54-'DealScope monthly model and pri'!D8</f>
        <v>19505.25</v>
      </c>
      <c r="E60" s="10">
        <f>'DealScope monthly model and pri'!E54-'DealScope monthly model and pri'!E8</f>
        <v>19505.25</v>
      </c>
      <c r="F60" s="10">
        <f>'DealScope monthly model and pri'!F54-'DealScope monthly model and pri'!F8</f>
        <v>19505.25</v>
      </c>
      <c r="G60" s="10">
        <f>'DealScope monthly model and pri'!G54-'DealScope monthly model and pri'!G8</f>
        <v>19005.25</v>
      </c>
      <c r="H60" s="10">
        <f>'DealScope monthly model and pri'!H54-'DealScope monthly model and pri'!H8</f>
        <v>19005.25</v>
      </c>
      <c r="I60" s="10">
        <f>'DealScope monthly model and pri'!I54-'DealScope monthly model and pri'!I8</f>
        <v>19005.25</v>
      </c>
      <c r="J60" s="10">
        <f>'DealScope monthly model and pri'!J54-'DealScope monthly model and pri'!J8</f>
        <v>19005.25</v>
      </c>
      <c r="K60" s="10">
        <f>'DealScope monthly model and pri'!K54-'DealScope monthly model and pri'!K8</f>
        <v>19005.25</v>
      </c>
      <c r="L60" s="10">
        <f>'DealScope monthly model and pri'!L54-'DealScope monthly model and pri'!L8</f>
        <v>19005.25</v>
      </c>
      <c r="M60" s="10">
        <f>'DealScope monthly model and pri'!M54-'DealScope monthly model and pri'!M8</f>
        <v>19005.25</v>
      </c>
    </row>
    <row r="61" outlineLevel="1">
      <c r="A61" t="inlineStr" s="11">
        <is>
          <t xml:space="preserve">Per audit — high</t>
        </is>
      </c>
      <c r="B61" s="10">
        <f>'DealScope monthly model and pri'!B55-'DealScope monthly model and pri'!B8</f>
        <v>41330.25</v>
      </c>
      <c r="C61" s="10">
        <f>'DealScope monthly model and pri'!C55-'DealScope monthly model and pri'!C8</f>
        <v>41330.25</v>
      </c>
      <c r="D61" s="10">
        <f>'DealScope monthly model and pri'!D55-'DealScope monthly model and pri'!D8</f>
        <v>41330.25</v>
      </c>
      <c r="E61" s="10">
        <f>'DealScope monthly model and pri'!E55-'DealScope monthly model and pri'!E8</f>
        <v>41330.25</v>
      </c>
      <c r="F61" s="10">
        <f>'DealScope monthly model and pri'!F55-'DealScope monthly model and pri'!F8</f>
        <v>41330.25</v>
      </c>
      <c r="G61" s="10">
        <f>'DealScope monthly model and pri'!G55-'DealScope monthly model and pri'!G8</f>
        <v>40830.25</v>
      </c>
      <c r="H61" s="10">
        <f>'DealScope monthly model and pri'!H55-'DealScope monthly model and pri'!H8</f>
        <v>40830.25</v>
      </c>
      <c r="I61" s="10">
        <f>'DealScope monthly model and pri'!I55-'DealScope monthly model and pri'!I8</f>
        <v>40830.25</v>
      </c>
      <c r="J61" s="10">
        <f>'DealScope monthly model and pri'!J55-'DealScope monthly model and pri'!J8</f>
        <v>40830.25</v>
      </c>
      <c r="K61" s="10">
        <f>'DealScope monthly model and pri'!K55-'DealScope monthly model and pri'!K8</f>
        <v>40830.25</v>
      </c>
      <c r="L61" s="10">
        <f>'DealScope monthly model and pri'!L55-'DealScope monthly model and pri'!L8</f>
        <v>40830.25</v>
      </c>
      <c r="M61" s="10">
        <f>'DealScope monthly model and pri'!M55-'DealScope monthly model and pri'!M8</f>
        <v>40830.25</v>
      </c>
    </row>
    <row r="62" outlineLevel="1">
      <c r="A62" t="inlineStr" s="11">
        <is>
          <t xml:space="preserve">Per audit — low</t>
        </is>
      </c>
      <c r="B62" s="10">
        <f>'DealScope monthly model and pri'!B56-'DealScope monthly model and pri'!B8</f>
        <v>8592.75</v>
      </c>
      <c r="C62" s="10">
        <f>'DealScope monthly model and pri'!C56-'DealScope monthly model and pri'!C8</f>
        <v>8592.75</v>
      </c>
      <c r="D62" s="10">
        <f>'DealScope monthly model and pri'!D56-'DealScope monthly model and pri'!D8</f>
        <v>8592.75</v>
      </c>
      <c r="E62" s="10">
        <f>'DealScope monthly model and pri'!E56-'DealScope monthly model and pri'!E8</f>
        <v>8592.75</v>
      </c>
      <c r="F62" s="10">
        <f>'DealScope monthly model and pri'!F56-'DealScope monthly model and pri'!F8</f>
        <v>8592.75</v>
      </c>
      <c r="G62" s="10">
        <f>'DealScope monthly model and pri'!G56-'DealScope monthly model and pri'!G8</f>
        <v>8092.75</v>
      </c>
      <c r="H62" s="10">
        <f>'DealScope monthly model and pri'!H56-'DealScope monthly model and pri'!H8</f>
        <v>8092.75</v>
      </c>
      <c r="I62" s="10">
        <f>'DealScope monthly model and pri'!I56-'DealScope monthly model and pri'!I8</f>
        <v>8092.75</v>
      </c>
      <c r="J62" s="10">
        <f>'DealScope monthly model and pri'!J56-'DealScope monthly model and pri'!J8</f>
        <v>8092.75</v>
      </c>
      <c r="K62" s="10">
        <f>'DealScope monthly model and pri'!K56-'DealScope monthly model and pri'!K8</f>
        <v>8092.75</v>
      </c>
      <c r="L62" s="10">
        <f>'DealScope monthly model and pri'!L56-'DealScope monthly model and pri'!L8</f>
        <v>8092.75</v>
      </c>
      <c r="M62" s="10">
        <f>'DealScope monthly model and pri'!M56-'DealScope monthly model and pri'!M8</f>
        <v>8092.75</v>
      </c>
    </row>
    <row r="63">
      <c r="A63" t="inlineStr" s="6">
        <is>
          <t xml:space="preserve">Net cash burn</t>
        </is>
      </c>
      <c r="B63" t="str" s="12">
        <f>""</f>
        <v/>
      </c>
      <c r="C63" t="str" s="12">
        <f>""</f>
        <v/>
      </c>
      <c r="D63" t="str" s="12">
        <f>""</f>
        <v/>
      </c>
      <c r="E63" t="str" s="12">
        <f>""</f>
        <v/>
      </c>
      <c r="F63" t="str" s="12">
        <f>""</f>
        <v/>
      </c>
      <c r="G63" t="str" s="12">
        <f>""</f>
        <v/>
      </c>
      <c r="H63" t="str" s="12">
        <f>""</f>
        <v/>
      </c>
      <c r="I63" t="str" s="12">
        <f>""</f>
        <v/>
      </c>
      <c r="J63" t="str" s="12">
        <f>""</f>
        <v/>
      </c>
      <c r="K63" t="str" s="12">
        <f>""</f>
        <v/>
      </c>
      <c r="L63" t="str" s="12">
        <f>""</f>
        <v/>
      </c>
      <c r="M63" t="str" s="12">
        <f>""</f>
        <v/>
      </c>
    </row>
    <row r="64" outlineLevel="1">
      <c r="A64" t="inlineStr" s="11">
        <is>
          <t xml:space="preserve">Annual deal-team</t>
        </is>
      </c>
      <c r="B64" s="10">
        <f>'DealScope monthly model and pri'!B28+'DealScope monthly model and pri'!B40+'DealScope monthly model and pri'!B46+'DealScope monthly model and pri'!B8-'DealScope monthly model and pri'!B22</f>
        <v>-118930.25</v>
      </c>
      <c r="C64" s="10">
        <f>'DealScope monthly model and pri'!C28+'DealScope monthly model and pri'!C40+'DealScope monthly model and pri'!C46+'DealScope monthly model and pri'!C8-'DealScope monthly model and pri'!C22</f>
        <v>-2530.25</v>
      </c>
      <c r="D64" s="10">
        <f>'DealScope monthly model and pri'!D28+'DealScope monthly model and pri'!D40+'DealScope monthly model and pri'!D46+'DealScope monthly model and pri'!D8-'DealScope monthly model and pri'!D22</f>
        <v>-2530.25</v>
      </c>
      <c r="E64" s="10">
        <f>'DealScope monthly model and pri'!E28+'DealScope monthly model and pri'!E40+'DealScope monthly model and pri'!E46+'DealScope monthly model and pri'!E8-'DealScope monthly model and pri'!E22</f>
        <v>-2530.25</v>
      </c>
      <c r="F64" s="10">
        <f>'DealScope monthly model and pri'!F28+'DealScope monthly model and pri'!F40+'DealScope monthly model and pri'!F46+'DealScope monthly model and pri'!F8-'DealScope monthly model and pri'!F22</f>
        <v>-2530.25</v>
      </c>
      <c r="G64" s="10">
        <f>'DealScope monthly model and pri'!G28+'DealScope monthly model and pri'!G40+'DealScope monthly model and pri'!G46+'DealScope monthly model and pri'!G8-'DealScope monthly model and pri'!G22</f>
        <v>-2030.25</v>
      </c>
      <c r="H64" s="10">
        <f>'DealScope monthly model and pri'!H28+'DealScope monthly model and pri'!H40+'DealScope monthly model and pri'!H46+'DealScope monthly model and pri'!H8-'DealScope monthly model and pri'!H22</f>
        <v>-2030.25</v>
      </c>
      <c r="I64" s="10">
        <f>'DealScope monthly model and pri'!I28+'DealScope monthly model and pri'!I40+'DealScope monthly model and pri'!I46+'DealScope monthly model and pri'!I8-'DealScope monthly model and pri'!I22</f>
        <v>-2030.25</v>
      </c>
      <c r="J64" s="10">
        <f>'DealScope monthly model and pri'!J28+'DealScope monthly model and pri'!J40+'DealScope monthly model and pri'!J46+'DealScope monthly model and pri'!J8-'DealScope monthly model and pri'!J22</f>
        <v>-2030.25</v>
      </c>
      <c r="K64" s="10">
        <f>'DealScope monthly model and pri'!K28+'DealScope monthly model and pri'!K40+'DealScope monthly model and pri'!K46+'DealScope monthly model and pri'!K8-'DealScope monthly model and pri'!K22</f>
        <v>-2030.25</v>
      </c>
      <c r="L64" s="10">
        <f>'DealScope monthly model and pri'!L28+'DealScope monthly model and pri'!L40+'DealScope monthly model and pri'!L46+'DealScope monthly model and pri'!L8-'DealScope monthly model and pri'!L22</f>
        <v>-2030.25</v>
      </c>
      <c r="M64" s="10">
        <f>'DealScope monthly model and pri'!M28+'DealScope monthly model and pri'!M40+'DealScope monthly model and pri'!M46+'DealScope monthly model and pri'!M8-'DealScope monthly model and pri'!M22</f>
        <v>-2030.25</v>
      </c>
    </row>
    <row r="65" outlineLevel="1">
      <c r="A65" t="inlineStr" s="11">
        <is>
          <t xml:space="preserve">Hybrid</t>
        </is>
      </c>
      <c r="B65" s="10">
        <f>'DealScope monthly model and pri'!B29+'DealScope monthly model and pri'!B41+'DealScope monthly model and pri'!B47+'DealScope monthly model and pri'!B8-'DealScope monthly model and pri'!B23</f>
        <v>-41330.25</v>
      </c>
      <c r="C65" s="10">
        <f>'DealScope monthly model and pri'!C29+'DealScope monthly model and pri'!C41+'DealScope monthly model and pri'!C47+'DealScope monthly model and pri'!C8-'DealScope monthly model and pri'!C23</f>
        <v>-12230.25</v>
      </c>
      <c r="D65" s="10">
        <f>'DealScope monthly model and pri'!D29+'DealScope monthly model and pri'!D41+'DealScope monthly model and pri'!D47+'DealScope monthly model and pri'!D8-'DealScope monthly model and pri'!D23</f>
        <v>-12230.25</v>
      </c>
      <c r="E65" s="10">
        <f>'DealScope monthly model and pri'!E29+'DealScope monthly model and pri'!E41+'DealScope monthly model and pri'!E47+'DealScope monthly model and pri'!E8-'DealScope monthly model and pri'!E23</f>
        <v>-12230.25</v>
      </c>
      <c r="F65" s="10">
        <f>'DealScope monthly model and pri'!F29+'DealScope monthly model and pri'!F41+'DealScope monthly model and pri'!F47+'DealScope monthly model and pri'!F8-'DealScope monthly model and pri'!F23</f>
        <v>-12230.25</v>
      </c>
      <c r="G65" s="10">
        <f>'DealScope monthly model and pri'!G29+'DealScope monthly model and pri'!G41+'DealScope monthly model and pri'!G47+'DealScope monthly model and pri'!G8-'DealScope monthly model and pri'!G23</f>
        <v>-11730.25</v>
      </c>
      <c r="H65" s="10">
        <f>'DealScope monthly model and pri'!H29+'DealScope monthly model and pri'!H41+'DealScope monthly model and pri'!H47+'DealScope monthly model and pri'!H8-'DealScope monthly model and pri'!H23</f>
        <v>-11730.25</v>
      </c>
      <c r="I65" s="10">
        <f>'DealScope monthly model and pri'!I29+'DealScope monthly model and pri'!I41+'DealScope monthly model and pri'!I47+'DealScope monthly model and pri'!I8-'DealScope monthly model and pri'!I23</f>
        <v>-11730.25</v>
      </c>
      <c r="J65" s="10">
        <f>'DealScope monthly model and pri'!J29+'DealScope monthly model and pri'!J41+'DealScope monthly model and pri'!J47+'DealScope monthly model and pri'!J8-'DealScope monthly model and pri'!J23</f>
        <v>-11730.25</v>
      </c>
      <c r="K65" s="10">
        <f>'DealScope monthly model and pri'!K29+'DealScope monthly model and pri'!K41+'DealScope monthly model and pri'!K47+'DealScope monthly model and pri'!K8-'DealScope monthly model and pri'!K23</f>
        <v>-11730.25</v>
      </c>
      <c r="L65" s="10">
        <f>'DealScope monthly model and pri'!L29+'DealScope monthly model and pri'!L41+'DealScope monthly model and pri'!L47+'DealScope monthly model and pri'!L8-'DealScope monthly model and pri'!L23</f>
        <v>-11730.25</v>
      </c>
      <c r="M65" s="10">
        <f>'DealScope monthly model and pri'!M29+'DealScope monthly model and pri'!M41+'DealScope monthly model and pri'!M47+'DealScope monthly model and pri'!M8-'DealScope monthly model and pri'!M23</f>
        <v>-11730.25</v>
      </c>
    </row>
    <row r="66" outlineLevel="1">
      <c r="A66" t="inlineStr" s="11">
        <is>
          <t xml:space="preserve">Per audit — base</t>
        </is>
      </c>
      <c r="B66" s="10">
        <f>'DealScope monthly model and pri'!B30+'DealScope monthly model and pri'!B42+'DealScope monthly model and pri'!B48+'DealScope monthly model and pri'!B8-'DealScope monthly model and pri'!B24</f>
        <v>-19505.25</v>
      </c>
      <c r="C66" s="10">
        <f>'DealScope monthly model and pri'!C30+'DealScope monthly model and pri'!C42+'DealScope monthly model and pri'!C48+'DealScope monthly model and pri'!C8-'DealScope monthly model and pri'!C24</f>
        <v>-19505.25</v>
      </c>
      <c r="D66" s="10">
        <f>'DealScope monthly model and pri'!D30+'DealScope monthly model and pri'!D42+'DealScope monthly model and pri'!D48+'DealScope monthly model and pri'!D8-'DealScope monthly model and pri'!D24</f>
        <v>-19505.25</v>
      </c>
      <c r="E66" s="10">
        <f>'DealScope monthly model and pri'!E30+'DealScope monthly model and pri'!E42+'DealScope monthly model and pri'!E48+'DealScope monthly model and pri'!E8-'DealScope monthly model and pri'!E24</f>
        <v>-19505.25</v>
      </c>
      <c r="F66" s="10">
        <f>'DealScope monthly model and pri'!F30+'DealScope monthly model and pri'!F42+'DealScope monthly model and pri'!F48+'DealScope monthly model and pri'!F8-'DealScope monthly model and pri'!F24</f>
        <v>-19505.25</v>
      </c>
      <c r="G66" s="10">
        <f>'DealScope monthly model and pri'!G30+'DealScope monthly model and pri'!G42+'DealScope monthly model and pri'!G48+'DealScope monthly model and pri'!G8-'DealScope monthly model and pri'!G24</f>
        <v>-19005.25</v>
      </c>
      <c r="H66" s="10">
        <f>'DealScope monthly model and pri'!H30+'DealScope monthly model and pri'!H42+'DealScope monthly model and pri'!H48+'DealScope monthly model and pri'!H8-'DealScope monthly model and pri'!H24</f>
        <v>-19005.25</v>
      </c>
      <c r="I66" s="10">
        <f>'DealScope monthly model and pri'!I30+'DealScope monthly model and pri'!I42+'DealScope monthly model and pri'!I48+'DealScope monthly model and pri'!I8-'DealScope monthly model and pri'!I24</f>
        <v>-19005.25</v>
      </c>
      <c r="J66" s="10">
        <f>'DealScope monthly model and pri'!J30+'DealScope monthly model and pri'!J42+'DealScope monthly model and pri'!J48+'DealScope monthly model and pri'!J8-'DealScope monthly model and pri'!J24</f>
        <v>-19005.25</v>
      </c>
      <c r="K66" s="10">
        <f>'DealScope monthly model and pri'!K30+'DealScope monthly model and pri'!K42+'DealScope monthly model and pri'!K48+'DealScope monthly model and pri'!K8-'DealScope monthly model and pri'!K24</f>
        <v>-19005.25</v>
      </c>
      <c r="L66" s="10">
        <f>'DealScope monthly model and pri'!L30+'DealScope monthly model and pri'!L42+'DealScope monthly model and pri'!L48+'DealScope monthly model and pri'!L8-'DealScope monthly model and pri'!L24</f>
        <v>-19005.25</v>
      </c>
      <c r="M66" s="10">
        <f>'DealScope monthly model and pri'!M30+'DealScope monthly model and pri'!M42+'DealScope monthly model and pri'!M48+'DealScope monthly model and pri'!M8-'DealScope monthly model and pri'!M24</f>
        <v>-19005.25</v>
      </c>
    </row>
    <row r="67" outlineLevel="1">
      <c r="A67" t="inlineStr" s="11">
        <is>
          <t xml:space="preserve">Per audit — high</t>
        </is>
      </c>
      <c r="B67" s="10">
        <f>'DealScope monthly model and pri'!B31+'DealScope monthly model and pri'!B43+'DealScope monthly model and pri'!B49+'DealScope monthly model and pri'!B8-'DealScope monthly model and pri'!B25</f>
        <v>-41330.25</v>
      </c>
      <c r="C67" s="10">
        <f>'DealScope monthly model and pri'!C31+'DealScope monthly model and pri'!C43+'DealScope monthly model and pri'!C49+'DealScope monthly model and pri'!C8-'DealScope monthly model and pri'!C25</f>
        <v>-41330.25</v>
      </c>
      <c r="D67" s="10">
        <f>'DealScope monthly model and pri'!D31+'DealScope monthly model and pri'!D43+'DealScope monthly model and pri'!D49+'DealScope monthly model and pri'!D8-'DealScope monthly model and pri'!D25</f>
        <v>-41330.25</v>
      </c>
      <c r="E67" s="10">
        <f>'DealScope monthly model and pri'!E31+'DealScope monthly model and pri'!E43+'DealScope monthly model and pri'!E49+'DealScope monthly model and pri'!E8-'DealScope monthly model and pri'!E25</f>
        <v>-41330.25</v>
      </c>
      <c r="F67" s="10">
        <f>'DealScope monthly model and pri'!F31+'DealScope monthly model and pri'!F43+'DealScope monthly model and pri'!F49+'DealScope monthly model and pri'!F8-'DealScope monthly model and pri'!F25</f>
        <v>-41330.25</v>
      </c>
      <c r="G67" s="10">
        <f>'DealScope monthly model and pri'!G31+'DealScope monthly model and pri'!G43+'DealScope monthly model and pri'!G49+'DealScope monthly model and pri'!G8-'DealScope monthly model and pri'!G25</f>
        <v>-40830.25</v>
      </c>
      <c r="H67" s="10">
        <f>'DealScope monthly model and pri'!H31+'DealScope monthly model and pri'!H43+'DealScope monthly model and pri'!H49+'DealScope monthly model and pri'!H8-'DealScope monthly model and pri'!H25</f>
        <v>-40830.25</v>
      </c>
      <c r="I67" s="10">
        <f>'DealScope monthly model and pri'!I31+'DealScope monthly model and pri'!I43+'DealScope monthly model and pri'!I49+'DealScope monthly model and pri'!I8-'DealScope monthly model and pri'!I25</f>
        <v>-40830.25</v>
      </c>
      <c r="J67" s="10">
        <f>'DealScope monthly model and pri'!J31+'DealScope monthly model and pri'!J43+'DealScope monthly model and pri'!J49+'DealScope monthly model and pri'!J8-'DealScope monthly model and pri'!J25</f>
        <v>-40830.25</v>
      </c>
      <c r="K67" s="10">
        <f>'DealScope monthly model and pri'!K31+'DealScope monthly model and pri'!K43+'DealScope monthly model and pri'!K49+'DealScope monthly model and pri'!K8-'DealScope monthly model and pri'!K25</f>
        <v>-40830.25</v>
      </c>
      <c r="L67" s="10">
        <f>'DealScope monthly model and pri'!L31+'DealScope monthly model and pri'!L43+'DealScope monthly model and pri'!L49+'DealScope monthly model and pri'!L8-'DealScope monthly model and pri'!L25</f>
        <v>-40830.25</v>
      </c>
      <c r="M67" s="10">
        <f>'DealScope monthly model and pri'!M31+'DealScope monthly model and pri'!M43+'DealScope monthly model and pri'!M49+'DealScope monthly model and pri'!M8-'DealScope monthly model and pri'!M25</f>
        <v>-40830.25</v>
      </c>
    </row>
    <row r="68" outlineLevel="1">
      <c r="A68" t="inlineStr" s="11">
        <is>
          <t xml:space="preserve">Per audit — low</t>
        </is>
      </c>
      <c r="B68" s="10">
        <f>'DealScope monthly model and pri'!B32+'DealScope monthly model and pri'!B44+'DealScope monthly model and pri'!B50+'DealScope monthly model and pri'!B8-'DealScope monthly model and pri'!B26</f>
        <v>-8592.75</v>
      </c>
      <c r="C68" s="10">
        <f>'DealScope monthly model and pri'!C32+'DealScope monthly model and pri'!C44+'DealScope monthly model and pri'!C50+'DealScope monthly model and pri'!C8-'DealScope monthly model and pri'!C26</f>
        <v>-8592.75</v>
      </c>
      <c r="D68" s="10">
        <f>'DealScope monthly model and pri'!D32+'DealScope monthly model and pri'!D44+'DealScope monthly model and pri'!D50+'DealScope monthly model and pri'!D8-'DealScope monthly model and pri'!D26</f>
        <v>-8592.75</v>
      </c>
      <c r="E68" s="10">
        <f>'DealScope monthly model and pri'!E32+'DealScope monthly model and pri'!E44+'DealScope monthly model and pri'!E50+'DealScope monthly model and pri'!E8-'DealScope monthly model and pri'!E26</f>
        <v>-8592.75</v>
      </c>
      <c r="F68" s="10">
        <f>'DealScope monthly model and pri'!F32+'DealScope monthly model and pri'!F44+'DealScope monthly model and pri'!F50+'DealScope monthly model and pri'!F8-'DealScope monthly model and pri'!F26</f>
        <v>-8592.75</v>
      </c>
      <c r="G68" s="10">
        <f>'DealScope monthly model and pri'!G32+'DealScope monthly model and pri'!G44+'DealScope monthly model and pri'!G50+'DealScope monthly model and pri'!G8-'DealScope monthly model and pri'!G26</f>
        <v>-8092.75</v>
      </c>
      <c r="H68" s="10">
        <f>'DealScope monthly model and pri'!H32+'DealScope monthly model and pri'!H44+'DealScope monthly model and pri'!H50+'DealScope monthly model and pri'!H8-'DealScope monthly model and pri'!H26</f>
        <v>-8092.75</v>
      </c>
      <c r="I68" s="10">
        <f>'DealScope monthly model and pri'!I32+'DealScope monthly model and pri'!I44+'DealScope monthly model and pri'!I50+'DealScope monthly model and pri'!I8-'DealScope monthly model and pri'!I26</f>
        <v>-8092.75</v>
      </c>
      <c r="J68" s="10">
        <f>'DealScope monthly model and pri'!J32+'DealScope monthly model and pri'!J44+'DealScope monthly model and pri'!J50+'DealScope monthly model and pri'!J8-'DealScope monthly model and pri'!J26</f>
        <v>-8092.75</v>
      </c>
      <c r="K68" s="10">
        <f>'DealScope monthly model and pri'!K32+'DealScope monthly model and pri'!K44+'DealScope monthly model and pri'!K50+'DealScope monthly model and pri'!K8-'DealScope monthly model and pri'!K26</f>
        <v>-8092.75</v>
      </c>
      <c r="L68" s="10">
        <f>'DealScope monthly model and pri'!L32+'DealScope monthly model and pri'!L44+'DealScope monthly model and pri'!L50+'DealScope monthly model and pri'!L8-'DealScope monthly model and pri'!L26</f>
        <v>-8092.75</v>
      </c>
      <c r="M68" s="10">
        <f>'DealScope monthly model and pri'!M32+'DealScope monthly model and pri'!M44+'DealScope monthly model and pri'!M50+'DealScope monthly model and pri'!M8-'DealScope monthly model and pri'!M26</f>
        <v>-8092.75</v>
      </c>
    </row>
    <row r="69">
      <c r="A69" t="inlineStr" s="6">
        <is>
          <t xml:space="preserve">Gross margin by pricing</t>
        </is>
      </c>
      <c r="B69" t="str" s="13">
        <f>IFERROR(IF('DealScope monthly model and pri'!B33="",0,'DealScope monthly model and pri'!B33)/IF('DealScope monthly model and pri'!B15="",0,'DealScope monthly model and pri'!B15),"")</f>
        <v/>
      </c>
      <c r="C69" t="str" s="13">
        <f>IFERROR(IF('DealScope monthly model and pri'!C33="",0,'DealScope monthly model and pri'!C33)/IF('DealScope monthly model and pri'!C15="",0,'DealScope monthly model and pri'!C15),"")</f>
        <v/>
      </c>
      <c r="D69" t="str" s="13">
        <f>IFERROR(IF('DealScope monthly model and pri'!D33="",0,'DealScope monthly model and pri'!D33)/IF('DealScope monthly model and pri'!D15="",0,'DealScope monthly model and pri'!D15),"")</f>
        <v/>
      </c>
      <c r="E69" t="str" s="13">
        <f>IFERROR(IF('DealScope monthly model and pri'!E33="",0,'DealScope monthly model and pri'!E33)/IF('DealScope monthly model and pri'!E15="",0,'DealScope monthly model and pri'!E15),"")</f>
        <v/>
      </c>
      <c r="F69" t="str" s="13">
        <f>IFERROR(IF('DealScope monthly model and pri'!F33="",0,'DealScope monthly model and pri'!F33)/IF('DealScope monthly model and pri'!F15="",0,'DealScope monthly model and pri'!F15),"")</f>
        <v/>
      </c>
      <c r="G69" t="str" s="13">
        <f>IFERROR(IF('DealScope monthly model and pri'!G33="",0,'DealScope monthly model and pri'!G33)/IF('DealScope monthly model and pri'!G15="",0,'DealScope monthly model and pri'!G15),"")</f>
        <v/>
      </c>
      <c r="H69" t="str" s="13">
        <f>IFERROR(IF('DealScope monthly model and pri'!H33="",0,'DealScope monthly model and pri'!H33)/IF('DealScope monthly model and pri'!H15="",0,'DealScope monthly model and pri'!H15),"")</f>
        <v/>
      </c>
      <c r="I69" t="str" s="13">
        <f>IFERROR(IF('DealScope monthly model and pri'!I33="",0,'DealScope monthly model and pri'!I33)/IF('DealScope monthly model and pri'!I15="",0,'DealScope monthly model and pri'!I15),"")</f>
        <v/>
      </c>
      <c r="J69" t="str" s="13">
        <f>IFERROR(IF('DealScope monthly model and pri'!J33="",0,'DealScope monthly model and pri'!J33)/IF('DealScope monthly model and pri'!J15="",0,'DealScope monthly model and pri'!J15),"")</f>
        <v/>
      </c>
      <c r="K69" t="str" s="13">
        <f>IFERROR(IF('DealScope monthly model and pri'!K33="",0,'DealScope monthly model and pri'!K33)/IF('DealScope monthly model and pri'!K15="",0,'DealScope monthly model and pri'!K15),"")</f>
        <v/>
      </c>
      <c r="L69" t="str" s="13">
        <f>IFERROR(IF('DealScope monthly model and pri'!L33="",0,'DealScope monthly model and pri'!L33)/IF('DealScope monthly model and pri'!L15="",0,'DealScope monthly model and pri'!L15),"")</f>
        <v/>
      </c>
      <c r="M69" t="str" s="13">
        <f>IFERROR(IF('DealScope monthly model and pri'!M33="",0,'DealScope monthly model and pri'!M33)/IF('DealScope monthly model and pri'!M15="",0,'DealScope monthly model and pri'!M15),"")</f>
        <v/>
      </c>
    </row>
    <row r="70" outlineLevel="1">
      <c r="A70" t="inlineStr" s="11">
        <is>
          <t xml:space="preserve">Annual deal-team</t>
        </is>
      </c>
      <c r="B70" s="14">
        <f>IFERROR('DealScope monthly model and pri'!B34/'DealScope monthly model and pri'!B16,"")</f>
        <v>0.90535</v>
      </c>
      <c r="C70" s="14">
        <f>IFERROR('DealScope monthly model and pri'!C34/'DealScope monthly model and pri'!C16,"")</f>
        <v>0.90535</v>
      </c>
      <c r="D70" s="14">
        <f>IFERROR('DealScope monthly model and pri'!D34/'DealScope monthly model and pri'!D16,"")</f>
        <v>0.90535</v>
      </c>
      <c r="E70" s="14">
        <f>IFERROR('DealScope monthly model and pri'!E34/'DealScope monthly model and pri'!E16,"")</f>
        <v>0.90535</v>
      </c>
      <c r="F70" s="14">
        <f>IFERROR('DealScope monthly model and pri'!F34/'DealScope monthly model and pri'!F16,"")</f>
        <v>0.90535</v>
      </c>
      <c r="G70" s="14">
        <f>IFERROR('DealScope monthly model and pri'!G34/'DealScope monthly model and pri'!G16,"")</f>
        <v>0.90535</v>
      </c>
      <c r="H70" s="14">
        <f>IFERROR('DealScope monthly model and pri'!H34/'DealScope monthly model and pri'!H16,"")</f>
        <v>0.90535</v>
      </c>
      <c r="I70" s="14">
        <f>IFERROR('DealScope monthly model and pri'!I34/'DealScope monthly model and pri'!I16,"")</f>
        <v>0.90535</v>
      </c>
      <c r="J70" s="14">
        <f>IFERROR('DealScope monthly model and pri'!J34/'DealScope monthly model and pri'!J16,"")</f>
        <v>0.90535</v>
      </c>
      <c r="K70" s="14">
        <f>IFERROR('DealScope monthly model and pri'!K34/'DealScope monthly model and pri'!K16,"")</f>
        <v>0.90535</v>
      </c>
      <c r="L70" s="14">
        <f>IFERROR('DealScope monthly model and pri'!L34/'DealScope monthly model and pri'!L16,"")</f>
        <v>0.90535</v>
      </c>
      <c r="M70" s="14">
        <f>IFERROR('DealScope monthly model and pri'!M34/'DealScope monthly model and pri'!M16,"")</f>
        <v>0.90535</v>
      </c>
    </row>
    <row r="71" outlineLevel="1">
      <c r="A71" t="inlineStr" s="11">
        <is>
          <t xml:space="preserve">Hybrid</t>
        </is>
      </c>
      <c r="B71" s="14">
        <f>IFERROR('DealScope monthly model and pri'!B35/'DealScope monthly model and pri'!B17,"")</f>
        <v>0.9188714285714286</v>
      </c>
      <c r="C71" s="14">
        <f>IFERROR('DealScope monthly model and pri'!C35/'DealScope monthly model and pri'!C17,"")</f>
        <v>0.9188714285714286</v>
      </c>
      <c r="D71" s="14">
        <f>IFERROR('DealScope monthly model and pri'!D35/'DealScope monthly model and pri'!D17,"")</f>
        <v>0.9188714285714286</v>
      </c>
      <c r="E71" s="14">
        <f>IFERROR('DealScope monthly model and pri'!E35/'DealScope monthly model and pri'!E17,"")</f>
        <v>0.9188714285714286</v>
      </c>
      <c r="F71" s="14">
        <f>IFERROR('DealScope monthly model and pri'!F35/'DealScope monthly model and pri'!F17,"")</f>
        <v>0.9188714285714286</v>
      </c>
      <c r="G71" s="14">
        <f>IFERROR('DealScope monthly model and pri'!G35/'DealScope monthly model and pri'!G17,"")</f>
        <v>0.9188714285714286</v>
      </c>
      <c r="H71" s="14">
        <f>IFERROR('DealScope monthly model and pri'!H35/'DealScope monthly model and pri'!H17,"")</f>
        <v>0.9188714285714286</v>
      </c>
      <c r="I71" s="14">
        <f>IFERROR('DealScope monthly model and pri'!I35/'DealScope monthly model and pri'!I17,"")</f>
        <v>0.9188714285714286</v>
      </c>
      <c r="J71" s="14">
        <f>IFERROR('DealScope monthly model and pri'!J35/'DealScope monthly model and pri'!J17,"")</f>
        <v>0.9188714285714286</v>
      </c>
      <c r="K71" s="14">
        <f>IFERROR('DealScope monthly model and pri'!K35/'DealScope monthly model and pri'!K17,"")</f>
        <v>0.9188714285714286</v>
      </c>
      <c r="L71" s="14">
        <f>IFERROR('DealScope monthly model and pri'!L35/'DealScope monthly model and pri'!L17,"")</f>
        <v>0.9188714285714286</v>
      </c>
      <c r="M71" s="14">
        <f>IFERROR('DealScope monthly model and pri'!M35/'DealScope monthly model and pri'!M17,"")</f>
        <v>0.9188714285714286</v>
      </c>
    </row>
    <row r="72" outlineLevel="1">
      <c r="A72" t="inlineStr" s="11">
        <is>
          <t xml:space="preserve">Per audit — base</t>
        </is>
      </c>
      <c r="B72" s="14">
        <f>IFERROR('DealScope monthly model and pri'!B36/'DealScope monthly model and pri'!B18,"")</f>
        <v>0.9369</v>
      </c>
      <c r="C72" s="14">
        <f>IFERROR('DealScope monthly model and pri'!C36/'DealScope monthly model and pri'!C18,"")</f>
        <v>0.9369</v>
      </c>
      <c r="D72" s="14">
        <f>IFERROR('DealScope monthly model and pri'!D36/'DealScope monthly model and pri'!D18,"")</f>
        <v>0.9369</v>
      </c>
      <c r="E72" s="14">
        <f>IFERROR('DealScope monthly model and pri'!E36/'DealScope monthly model and pri'!E18,"")</f>
        <v>0.9369</v>
      </c>
      <c r="F72" s="14">
        <f>IFERROR('DealScope monthly model and pri'!F36/'DealScope monthly model and pri'!F18,"")</f>
        <v>0.9369</v>
      </c>
      <c r="G72" s="14">
        <f>IFERROR('DealScope monthly model and pri'!G36/'DealScope monthly model and pri'!G18,"")</f>
        <v>0.9369</v>
      </c>
      <c r="H72" s="14">
        <f>IFERROR('DealScope monthly model and pri'!H36/'DealScope monthly model and pri'!H18,"")</f>
        <v>0.9369</v>
      </c>
      <c r="I72" s="14">
        <f>IFERROR('DealScope monthly model and pri'!I36/'DealScope monthly model and pri'!I18,"")</f>
        <v>0.9369</v>
      </c>
      <c r="J72" s="14">
        <f>IFERROR('DealScope monthly model and pri'!J36/'DealScope monthly model and pri'!J18,"")</f>
        <v>0.9369</v>
      </c>
      <c r="K72" s="14">
        <f>IFERROR('DealScope monthly model and pri'!K36/'DealScope monthly model and pri'!K18,"")</f>
        <v>0.9369</v>
      </c>
      <c r="L72" s="14">
        <f>IFERROR('DealScope monthly model and pri'!L36/'DealScope monthly model and pri'!L18,"")</f>
        <v>0.9369</v>
      </c>
      <c r="M72" s="14">
        <f>IFERROR('DealScope monthly model and pri'!M36/'DealScope monthly model and pri'!M18,"")</f>
        <v>0.9369</v>
      </c>
    </row>
    <row r="73" outlineLevel="1">
      <c r="A73" t="inlineStr" s="11">
        <is>
          <t xml:space="preserve">Per audit — high</t>
        </is>
      </c>
      <c r="B73" s="14">
        <f>IFERROR('DealScope monthly model and pri'!B37/'DealScope monthly model and pri'!B19,"")</f>
        <v>0.96845</v>
      </c>
      <c r="C73" s="14">
        <f>IFERROR('DealScope monthly model and pri'!C37/'DealScope monthly model and pri'!C19,"")</f>
        <v>0.96845</v>
      </c>
      <c r="D73" s="14">
        <f>IFERROR('DealScope monthly model and pri'!D37/'DealScope monthly model and pri'!D19,"")</f>
        <v>0.96845</v>
      </c>
      <c r="E73" s="14">
        <f>IFERROR('DealScope monthly model and pri'!E37/'DealScope monthly model and pri'!E19,"")</f>
        <v>0.96845</v>
      </c>
      <c r="F73" s="14">
        <f>IFERROR('DealScope monthly model and pri'!F37/'DealScope monthly model and pri'!F19,"")</f>
        <v>0.96845</v>
      </c>
      <c r="G73" s="14">
        <f>IFERROR('DealScope monthly model and pri'!G37/'DealScope monthly model and pri'!G19,"")</f>
        <v>0.96845</v>
      </c>
      <c r="H73" s="14">
        <f>IFERROR('DealScope monthly model and pri'!H37/'DealScope monthly model and pri'!H19,"")</f>
        <v>0.96845</v>
      </c>
      <c r="I73" s="14">
        <f>IFERROR('DealScope monthly model and pri'!I37/'DealScope monthly model and pri'!I19,"")</f>
        <v>0.96845</v>
      </c>
      <c r="J73" s="14">
        <f>IFERROR('DealScope monthly model and pri'!J37/'DealScope monthly model and pri'!J19,"")</f>
        <v>0.96845</v>
      </c>
      <c r="K73" s="14">
        <f>IFERROR('DealScope monthly model and pri'!K37/'DealScope monthly model and pri'!K19,"")</f>
        <v>0.96845</v>
      </c>
      <c r="L73" s="14">
        <f>IFERROR('DealScope monthly model and pri'!L37/'DealScope monthly model and pri'!L19,"")</f>
        <v>0.96845</v>
      </c>
      <c r="M73" s="14">
        <f>IFERROR('DealScope monthly model and pri'!M37/'DealScope monthly model and pri'!M19,"")</f>
        <v>0.96845</v>
      </c>
    </row>
    <row r="74" outlineLevel="1">
      <c r="A74" t="inlineStr" s="11">
        <is>
          <t xml:space="preserve">Per audit — low</t>
        </is>
      </c>
      <c r="B74" s="14">
        <f>IFERROR('DealScope monthly model and pri'!B38/'DealScope monthly model and pri'!B20,"")</f>
        <v>0.8738</v>
      </c>
      <c r="C74" s="14">
        <f>IFERROR('DealScope monthly model and pri'!C38/'DealScope monthly model and pri'!C20,"")</f>
        <v>0.8738</v>
      </c>
      <c r="D74" s="14">
        <f>IFERROR('DealScope monthly model and pri'!D38/'DealScope monthly model and pri'!D20,"")</f>
        <v>0.8738</v>
      </c>
      <c r="E74" s="14">
        <f>IFERROR('DealScope monthly model and pri'!E38/'DealScope monthly model and pri'!E20,"")</f>
        <v>0.8738</v>
      </c>
      <c r="F74" s="14">
        <f>IFERROR('DealScope monthly model and pri'!F38/'DealScope monthly model and pri'!F20,"")</f>
        <v>0.8738</v>
      </c>
      <c r="G74" s="14">
        <f>IFERROR('DealScope monthly model and pri'!G38/'DealScope monthly model and pri'!G20,"")</f>
        <v>0.8738</v>
      </c>
      <c r="H74" s="14">
        <f>IFERROR('DealScope monthly model and pri'!H38/'DealScope monthly model and pri'!H20,"")</f>
        <v>0.8738</v>
      </c>
      <c r="I74" s="14">
        <f>IFERROR('DealScope monthly model and pri'!I38/'DealScope monthly model and pri'!I20,"")</f>
        <v>0.8738</v>
      </c>
      <c r="J74" s="14">
        <f>IFERROR('DealScope monthly model and pri'!J38/'DealScope monthly model and pri'!J20,"")</f>
        <v>0.8738</v>
      </c>
      <c r="K74" s="14">
        <f>IFERROR('DealScope monthly model and pri'!K38/'DealScope monthly model and pri'!K20,"")</f>
        <v>0.8738</v>
      </c>
      <c r="L74" s="14">
        <f>IFERROR('DealScope monthly model and pri'!L38/'DealScope monthly model and pri'!L20,"")</f>
        <v>0.8738</v>
      </c>
      <c r="M74" s="14">
        <f>IFERROR('DealScope monthly model and pri'!M38/'DealScope monthly model and pri'!M20,"")</f>
        <v>0.8738</v>
      </c>
    </row>
    <row r="75">
      <c r="A75" t="inlineStr" s="6">
        <is>
          <t xml:space="preserve">Contribution margin by pricing</t>
        </is>
      </c>
      <c r="B75" t="str" s="13">
        <f>IFERROR(IF('DealScope monthly model and pri'!B51="",0,'DealScope monthly model and pri'!B51)/IF('DealScope monthly model and pri'!B15="",0,'DealScope monthly model and pri'!B15),"")</f>
        <v/>
      </c>
      <c r="C75" t="str" s="13">
        <f>IFERROR(IF('DealScope monthly model and pri'!C51="",0,'DealScope monthly model and pri'!C51)/IF('DealScope monthly model and pri'!C15="",0,'DealScope monthly model and pri'!C15),"")</f>
        <v/>
      </c>
      <c r="D75" t="str" s="13">
        <f>IFERROR(IF('DealScope monthly model and pri'!D51="",0,'DealScope monthly model and pri'!D51)/IF('DealScope monthly model and pri'!D15="",0,'DealScope monthly model and pri'!D15),"")</f>
        <v/>
      </c>
      <c r="E75" t="str" s="13">
        <f>IFERROR(IF('DealScope monthly model and pri'!E51="",0,'DealScope monthly model and pri'!E51)/IF('DealScope monthly model and pri'!E15="",0,'DealScope monthly model and pri'!E15),"")</f>
        <v/>
      </c>
      <c r="F75" t="str" s="13">
        <f>IFERROR(IF('DealScope monthly model and pri'!F51="",0,'DealScope monthly model and pri'!F51)/IF('DealScope monthly model and pri'!F15="",0,'DealScope monthly model and pri'!F15),"")</f>
        <v/>
      </c>
      <c r="G75" t="str" s="13">
        <f>IFERROR(IF('DealScope monthly model and pri'!G51="",0,'DealScope monthly model and pri'!G51)/IF('DealScope monthly model and pri'!G15="",0,'DealScope monthly model and pri'!G15),"")</f>
        <v/>
      </c>
      <c r="H75" t="str" s="13">
        <f>IFERROR(IF('DealScope monthly model and pri'!H51="",0,'DealScope monthly model and pri'!H51)/IF('DealScope monthly model and pri'!H15="",0,'DealScope monthly model and pri'!H15),"")</f>
        <v/>
      </c>
      <c r="I75" t="str" s="13">
        <f>IFERROR(IF('DealScope monthly model and pri'!I51="",0,'DealScope monthly model and pri'!I51)/IF('DealScope monthly model and pri'!I15="",0,'DealScope monthly model and pri'!I15),"")</f>
        <v/>
      </c>
      <c r="J75" t="str" s="13">
        <f>IFERROR(IF('DealScope monthly model and pri'!J51="",0,'DealScope monthly model and pri'!J51)/IF('DealScope monthly model and pri'!J15="",0,'DealScope monthly model and pri'!J15),"")</f>
        <v/>
      </c>
      <c r="K75" t="str" s="13">
        <f>IFERROR(IF('DealScope monthly model and pri'!K51="",0,'DealScope monthly model and pri'!K51)/IF('DealScope monthly model and pri'!K15="",0,'DealScope monthly model and pri'!K15),"")</f>
        <v/>
      </c>
      <c r="L75" t="str" s="13">
        <f>IFERROR(IF('DealScope monthly model and pri'!L51="",0,'DealScope monthly model and pri'!L51)/IF('DealScope monthly model and pri'!L15="",0,'DealScope monthly model and pri'!L15),"")</f>
        <v/>
      </c>
      <c r="M75" t="str" s="13">
        <f>IFERROR(IF('DealScope monthly model and pri'!M51="",0,'DealScope monthly model and pri'!M51)/IF('DealScope monthly model and pri'!M15="",0,'DealScope monthly model and pri'!M15),"")</f>
        <v/>
      </c>
    </row>
    <row r="76" outlineLevel="1">
      <c r="A76" t="inlineStr" s="11">
        <is>
          <t xml:space="preserve">Annual deal-team</t>
        </is>
      </c>
      <c r="B76" s="14">
        <f>IFERROR('DealScope monthly model and pri'!B52/'DealScope monthly model and pri'!B16,"")</f>
        <v>0.86535</v>
      </c>
      <c r="C76" s="14">
        <f>IFERROR('DealScope monthly model and pri'!C52/'DealScope monthly model and pri'!C16,"")</f>
        <v>0.86535</v>
      </c>
      <c r="D76" s="14">
        <f>IFERROR('DealScope monthly model and pri'!D52/'DealScope monthly model and pri'!D16,"")</f>
        <v>0.86535</v>
      </c>
      <c r="E76" s="14">
        <f>IFERROR('DealScope monthly model and pri'!E52/'DealScope monthly model and pri'!E16,"")</f>
        <v>0.86535</v>
      </c>
      <c r="F76" s="14">
        <f>IFERROR('DealScope monthly model and pri'!F52/'DealScope monthly model and pri'!F16,"")</f>
        <v>0.86535</v>
      </c>
      <c r="G76" s="14">
        <f>IFERROR('DealScope monthly model and pri'!G52/'DealScope monthly model and pri'!G16,"")</f>
        <v>0.86535</v>
      </c>
      <c r="H76" s="14">
        <f>IFERROR('DealScope monthly model and pri'!H52/'DealScope monthly model and pri'!H16,"")</f>
        <v>0.86535</v>
      </c>
      <c r="I76" s="14">
        <f>IFERROR('DealScope monthly model and pri'!I52/'DealScope monthly model and pri'!I16,"")</f>
        <v>0.86535</v>
      </c>
      <c r="J76" s="14">
        <f>IFERROR('DealScope monthly model and pri'!J52/'DealScope monthly model and pri'!J16,"")</f>
        <v>0.86535</v>
      </c>
      <c r="K76" s="14">
        <f>IFERROR('DealScope monthly model and pri'!K52/'DealScope monthly model and pri'!K16,"")</f>
        <v>0.86535</v>
      </c>
      <c r="L76" s="14">
        <f>IFERROR('DealScope monthly model and pri'!L52/'DealScope monthly model and pri'!L16,"")</f>
        <v>0.86535</v>
      </c>
      <c r="M76" s="14">
        <f>IFERROR('DealScope monthly model and pri'!M52/'DealScope monthly model and pri'!M16,"")</f>
        <v>0.86535</v>
      </c>
    </row>
    <row r="77" outlineLevel="1">
      <c r="A77" t="inlineStr" s="11">
        <is>
          <t xml:space="preserve">Hybrid</t>
        </is>
      </c>
      <c r="B77" s="14">
        <f>IFERROR('DealScope monthly model and pri'!B53/'DealScope monthly model and pri'!B17,"")</f>
        <v>0.8803</v>
      </c>
      <c r="C77" s="14">
        <f>IFERROR('DealScope monthly model and pri'!C53/'DealScope monthly model and pri'!C17,"")</f>
        <v>0.8803</v>
      </c>
      <c r="D77" s="14">
        <f>IFERROR('DealScope monthly model and pri'!D53/'DealScope monthly model and pri'!D17,"")</f>
        <v>0.8803</v>
      </c>
      <c r="E77" s="14">
        <f>IFERROR('DealScope monthly model and pri'!E53/'DealScope monthly model and pri'!E17,"")</f>
        <v>0.8803</v>
      </c>
      <c r="F77" s="14">
        <f>IFERROR('DealScope monthly model and pri'!F53/'DealScope monthly model and pri'!F17,"")</f>
        <v>0.8803</v>
      </c>
      <c r="G77" s="14">
        <f>IFERROR('DealScope monthly model and pri'!G53/'DealScope monthly model and pri'!G17,"")</f>
        <v>0.8803</v>
      </c>
      <c r="H77" s="14">
        <f>IFERROR('DealScope monthly model and pri'!H53/'DealScope monthly model and pri'!H17,"")</f>
        <v>0.8803</v>
      </c>
      <c r="I77" s="14">
        <f>IFERROR('DealScope monthly model and pri'!I53/'DealScope monthly model and pri'!I17,"")</f>
        <v>0.8803</v>
      </c>
      <c r="J77" s="14">
        <f>IFERROR('DealScope monthly model and pri'!J53/'DealScope monthly model and pri'!J17,"")</f>
        <v>0.8803</v>
      </c>
      <c r="K77" s="14">
        <f>IFERROR('DealScope monthly model and pri'!K53/'DealScope monthly model and pri'!K17,"")</f>
        <v>0.8803</v>
      </c>
      <c r="L77" s="14">
        <f>IFERROR('DealScope monthly model and pri'!L53/'DealScope monthly model and pri'!L17,"")</f>
        <v>0.8803</v>
      </c>
      <c r="M77" s="14">
        <f>IFERROR('DealScope monthly model and pri'!M53/'DealScope monthly model and pri'!M17,"")</f>
        <v>0.8803</v>
      </c>
    </row>
    <row r="78" outlineLevel="1">
      <c r="A78" t="inlineStr" s="11">
        <is>
          <t xml:space="preserve">Per audit — base</t>
        </is>
      </c>
      <c r="B78" s="14">
        <f>IFERROR('DealScope monthly model and pri'!B54/'DealScope monthly model and pri'!B18,"")</f>
        <v>0.9002333333333333</v>
      </c>
      <c r="C78" s="14">
        <f>IFERROR('DealScope monthly model and pri'!C54/'DealScope monthly model and pri'!C18,"")</f>
        <v>0.9002333333333333</v>
      </c>
      <c r="D78" s="14">
        <f>IFERROR('DealScope monthly model and pri'!D54/'DealScope monthly model and pri'!D18,"")</f>
        <v>0.9002333333333333</v>
      </c>
      <c r="E78" s="14">
        <f>IFERROR('DealScope monthly model and pri'!E54/'DealScope monthly model and pri'!E18,"")</f>
        <v>0.9002333333333333</v>
      </c>
      <c r="F78" s="14">
        <f>IFERROR('DealScope monthly model and pri'!F54/'DealScope monthly model and pri'!F18,"")</f>
        <v>0.9002333333333333</v>
      </c>
      <c r="G78" s="14">
        <f>IFERROR('DealScope monthly model and pri'!G54/'DealScope monthly model and pri'!G18,"")</f>
        <v>0.9002333333333333</v>
      </c>
      <c r="H78" s="14">
        <f>IFERROR('DealScope monthly model and pri'!H54/'DealScope monthly model and pri'!H18,"")</f>
        <v>0.9002333333333333</v>
      </c>
      <c r="I78" s="14">
        <f>IFERROR('DealScope monthly model and pri'!I54/'DealScope monthly model and pri'!I18,"")</f>
        <v>0.9002333333333333</v>
      </c>
      <c r="J78" s="14">
        <f>IFERROR('DealScope monthly model and pri'!J54/'DealScope monthly model and pri'!J18,"")</f>
        <v>0.9002333333333333</v>
      </c>
      <c r="K78" s="14">
        <f>IFERROR('DealScope monthly model and pri'!K54/'DealScope monthly model and pri'!K18,"")</f>
        <v>0.9002333333333333</v>
      </c>
      <c r="L78" s="14">
        <f>IFERROR('DealScope monthly model and pri'!L54/'DealScope monthly model and pri'!L18,"")</f>
        <v>0.9002333333333333</v>
      </c>
      <c r="M78" s="14">
        <f>IFERROR('DealScope monthly model and pri'!M54/'DealScope monthly model and pri'!M18,"")</f>
        <v>0.9002333333333333</v>
      </c>
    </row>
    <row r="79" outlineLevel="1">
      <c r="A79" t="inlineStr" s="11">
        <is>
          <t xml:space="preserve">Per audit — high</t>
        </is>
      </c>
      <c r="B79" s="14">
        <f>IFERROR('DealScope monthly model and pri'!B55/'DealScope monthly model and pri'!B19,"")</f>
        <v>0.9351166666666667</v>
      </c>
      <c r="C79" s="14">
        <f>IFERROR('DealScope monthly model and pri'!C55/'DealScope monthly model and pri'!C19,"")</f>
        <v>0.9351166666666667</v>
      </c>
      <c r="D79" s="14">
        <f>IFERROR('DealScope monthly model and pri'!D55/'DealScope monthly model and pri'!D19,"")</f>
        <v>0.9351166666666667</v>
      </c>
      <c r="E79" s="14">
        <f>IFERROR('DealScope monthly model and pri'!E55/'DealScope monthly model and pri'!E19,"")</f>
        <v>0.9351166666666667</v>
      </c>
      <c r="F79" s="14">
        <f>IFERROR('DealScope monthly model and pri'!F55/'DealScope monthly model and pri'!F19,"")</f>
        <v>0.9351166666666667</v>
      </c>
      <c r="G79" s="14">
        <f>IFERROR('DealScope monthly model and pri'!G55/'DealScope monthly model and pri'!G19,"")</f>
        <v>0.9351166666666667</v>
      </c>
      <c r="H79" s="14">
        <f>IFERROR('DealScope monthly model and pri'!H55/'DealScope monthly model and pri'!H19,"")</f>
        <v>0.9351166666666667</v>
      </c>
      <c r="I79" s="14">
        <f>IFERROR('DealScope monthly model and pri'!I55/'DealScope monthly model and pri'!I19,"")</f>
        <v>0.9351166666666667</v>
      </c>
      <c r="J79" s="14">
        <f>IFERROR('DealScope monthly model and pri'!J55/'DealScope monthly model and pri'!J19,"")</f>
        <v>0.9351166666666667</v>
      </c>
      <c r="K79" s="14">
        <f>IFERROR('DealScope monthly model and pri'!K55/'DealScope monthly model and pri'!K19,"")</f>
        <v>0.9351166666666667</v>
      </c>
      <c r="L79" s="14">
        <f>IFERROR('DealScope monthly model and pri'!L55/'DealScope monthly model and pri'!L19,"")</f>
        <v>0.9351166666666667</v>
      </c>
      <c r="M79" s="14">
        <f>IFERROR('DealScope monthly model and pri'!M55/'DealScope monthly model and pri'!M19,"")</f>
        <v>0.9351166666666667</v>
      </c>
    </row>
    <row r="80" outlineLevel="1">
      <c r="A80" t="inlineStr" s="11">
        <is>
          <t xml:space="preserve">Per audit — low</t>
        </is>
      </c>
      <c r="B80" s="14">
        <f>IFERROR('DealScope monthly model and pri'!B56/'DealScope monthly model and pri'!B20,"")</f>
        <v>0.8304666666666667</v>
      </c>
      <c r="C80" s="14">
        <f>IFERROR('DealScope monthly model and pri'!C56/'DealScope monthly model and pri'!C20,"")</f>
        <v>0.8304666666666667</v>
      </c>
      <c r="D80" s="14">
        <f>IFERROR('DealScope monthly model and pri'!D56/'DealScope monthly model and pri'!D20,"")</f>
        <v>0.8304666666666667</v>
      </c>
      <c r="E80" s="14">
        <f>IFERROR('DealScope monthly model and pri'!E56/'DealScope monthly model and pri'!E20,"")</f>
        <v>0.8304666666666667</v>
      </c>
      <c r="F80" s="14">
        <f>IFERROR('DealScope monthly model and pri'!F56/'DealScope monthly model and pri'!F20,"")</f>
        <v>0.8304666666666667</v>
      </c>
      <c r="G80" s="14">
        <f>IFERROR('DealScope monthly model and pri'!G56/'DealScope monthly model and pri'!G20,"")</f>
        <v>0.8304666666666667</v>
      </c>
      <c r="H80" s="14">
        <f>IFERROR('DealScope monthly model and pri'!H56/'DealScope monthly model and pri'!H20,"")</f>
        <v>0.8304666666666667</v>
      </c>
      <c r="I80" s="14">
        <f>IFERROR('DealScope monthly model and pri'!I56/'DealScope monthly model and pri'!I20,"")</f>
        <v>0.8304666666666667</v>
      </c>
      <c r="J80" s="14">
        <f>IFERROR('DealScope monthly model and pri'!J56/'DealScope monthly model and pri'!J20,"")</f>
        <v>0.8304666666666667</v>
      </c>
      <c r="K80" s="14">
        <f>IFERROR('DealScope monthly model and pri'!K56/'DealScope monthly model and pri'!K20,"")</f>
        <v>0.8304666666666667</v>
      </c>
      <c r="L80" s="14">
        <f>IFERROR('DealScope monthly model and pri'!L56/'DealScope monthly model and pri'!L20,"")</f>
        <v>0.8304666666666667</v>
      </c>
      <c r="M80" s="14">
        <f>IFERROR('DealScope monthly model and pri'!M56/'DealScope monthly model and pri'!M20,"")</f>
        <v>0.8304666666666667</v>
      </c>
    </row>
    <row r="81">
      <c r="A81" t="inlineStr" s="8">
        <is>
          <t xml:space="preserve">Plan Audits delivered</t>
        </is>
      </c>
      <c r="B81" s="9">
        <f>IF(SUM(IF(IF('Model inputs'!B179="",0,1)="",0,IF('Model inputs'!B179="",0,1)),IF(IF('Model inputs'!B180="",0,1)="",0,IF('Model inputs'!B180="",0,1)),IF(IF('Model inputs'!B181="",0,1)="",0,IF('Model inputs'!B181="",0,1)),IF(IF('Model inputs'!B182="",0,1)="",0,IF('Model inputs'!B182="",0,1)),IF(IF('Model inputs'!B183="",0,1)="",0,IF('Model inputs'!B183="",0,1)))=0,"",SUM('Model inputs'!B179,'Model inputs'!B180,'Model inputs'!B181,'Model inputs'!B182,'Model inputs'!B183))</f>
        <v>15</v>
      </c>
      <c r="C81" s="9">
        <f>IF(SUM(IF(IF('Model inputs'!B184="",0,1)="",0,IF('Model inputs'!B184="",0,1)),IF(IF('Model inputs'!B185="",0,1)="",0,IF('Model inputs'!B185="",0,1)),IF(IF('Model inputs'!B186="",0,1)="",0,IF('Model inputs'!B186="",0,1)),IF(IF('Model inputs'!B187="",0,1)="",0,IF('Model inputs'!B187="",0,1)),IF(IF('Model inputs'!B188="",0,1)="",0,IF('Model inputs'!B188="",0,1)))=0,"",SUM('Model inputs'!B184,'Model inputs'!B185,'Model inputs'!B186,'Model inputs'!B187,'Model inputs'!B188))</f>
        <v>15</v>
      </c>
      <c r="D81" s="9">
        <f>IF(SUM(IF(IF('Model inputs'!B189="",0,1)="",0,IF('Model inputs'!B189="",0,1)),IF(IF('Model inputs'!B190="",0,1)="",0,IF('Model inputs'!B190="",0,1)),IF(IF('Model inputs'!B191="",0,1)="",0,IF('Model inputs'!B191="",0,1)),IF(IF('Model inputs'!B192="",0,1)="",0,IF('Model inputs'!B192="",0,1)),IF(IF('Model inputs'!B193="",0,1)="",0,IF('Model inputs'!B193="",0,1)))=0,"",SUM('Model inputs'!B189,'Model inputs'!B190,'Model inputs'!B191,'Model inputs'!B192,'Model inputs'!B193))</f>
        <v>15</v>
      </c>
      <c r="E81" s="9">
        <f>IF(SUM(IF(IF('Model inputs'!B194="",0,1)="",0,IF('Model inputs'!B194="",0,1)),IF(IF('Model inputs'!B195="",0,1)="",0,IF('Model inputs'!B195="",0,1)),IF(IF('Model inputs'!B196="",0,1)="",0,IF('Model inputs'!B196="",0,1)),IF(IF('Model inputs'!B197="",0,1)="",0,IF('Model inputs'!B197="",0,1)),IF(IF('Model inputs'!B198="",0,1)="",0,IF('Model inputs'!B198="",0,1)))=0,"",SUM('Model inputs'!B194,'Model inputs'!B195,'Model inputs'!B196,'Model inputs'!B197,'Model inputs'!B198))</f>
        <v>15</v>
      </c>
      <c r="F81" s="9">
        <f>IF(SUM(IF(IF('Model inputs'!B199="",0,1)="",0,IF('Model inputs'!B199="",0,1)),IF(IF('Model inputs'!B200="",0,1)="",0,IF('Model inputs'!B200="",0,1)),IF(IF('Model inputs'!B201="",0,1)="",0,IF('Model inputs'!B201="",0,1)),IF(IF('Model inputs'!B202="",0,1)="",0,IF('Model inputs'!B202="",0,1)),IF(IF('Model inputs'!B203="",0,1)="",0,IF('Model inputs'!B203="",0,1)))=0,"",SUM('Model inputs'!B199,'Model inputs'!B200,'Model inputs'!B201,'Model inputs'!B202,'Model inputs'!B203))</f>
        <v>15</v>
      </c>
      <c r="G81" s="9">
        <f>IF(SUM(IF(IF('Model inputs'!B204="",0,1)="",0,IF('Model inputs'!B204="",0,1)),IF(IF('Model inputs'!B205="",0,1)="",0,IF('Model inputs'!B205="",0,1)),IF(IF('Model inputs'!B206="",0,1)="",0,IF('Model inputs'!B206="",0,1)),IF(IF('Model inputs'!B207="",0,1)="",0,IF('Model inputs'!B207="",0,1)),IF(IF('Model inputs'!B208="",0,1)="",0,IF('Model inputs'!B208="",0,1)))=0,"",SUM('Model inputs'!B204,'Model inputs'!B205,'Model inputs'!B206,'Model inputs'!B207,'Model inputs'!B208))</f>
        <v>15</v>
      </c>
      <c r="H81" s="9">
        <f>IF(SUM(IF(IF('Model inputs'!B209="",0,1)="",0,IF('Model inputs'!B209="",0,1)),IF(IF('Model inputs'!B210="",0,1)="",0,IF('Model inputs'!B210="",0,1)),IF(IF('Model inputs'!B211="",0,1)="",0,IF('Model inputs'!B211="",0,1)),IF(IF('Model inputs'!B212="",0,1)="",0,IF('Model inputs'!B212="",0,1)),IF(IF('Model inputs'!B213="",0,1)="",0,IF('Model inputs'!B213="",0,1)))=0,"",SUM('Model inputs'!B209,'Model inputs'!B210,'Model inputs'!B211,'Model inputs'!B212,'Model inputs'!B213))</f>
        <v>15</v>
      </c>
      <c r="I81" s="9">
        <f>IF(SUM(IF(IF('Model inputs'!B214="",0,1)="",0,IF('Model inputs'!B214="",0,1)),IF(IF('Model inputs'!B215="",0,1)="",0,IF('Model inputs'!B215="",0,1)),IF(IF('Model inputs'!B216="",0,1)="",0,IF('Model inputs'!B216="",0,1)),IF(IF('Model inputs'!B217="",0,1)="",0,IF('Model inputs'!B217="",0,1)),IF(IF('Model inputs'!B218="",0,1)="",0,IF('Model inputs'!B218="",0,1)))=0,"",SUM('Model inputs'!B214,'Model inputs'!B215,'Model inputs'!B216,'Model inputs'!B217,'Model inputs'!B218))</f>
        <v>15</v>
      </c>
      <c r="J81" s="9">
        <f>IF(SUM(IF(IF('Model inputs'!B219="",0,1)="",0,IF('Model inputs'!B219="",0,1)),IF(IF('Model inputs'!B220="",0,1)="",0,IF('Model inputs'!B220="",0,1)),IF(IF('Model inputs'!B221="",0,1)="",0,IF('Model inputs'!B221="",0,1)),IF(IF('Model inputs'!B222="",0,1)="",0,IF('Model inputs'!B222="",0,1)),IF(IF('Model inputs'!B223="",0,1)="",0,IF('Model inputs'!B223="",0,1)))=0,"",SUM('Model inputs'!B219,'Model inputs'!B220,'Model inputs'!B221,'Model inputs'!B222,'Model inputs'!B223))</f>
        <v>15</v>
      </c>
      <c r="K81" s="9">
        <f>IF(SUM(IF(IF('Model inputs'!B224="",0,1)="",0,IF('Model inputs'!B224="",0,1)),IF(IF('Model inputs'!B225="",0,1)="",0,IF('Model inputs'!B225="",0,1)),IF(IF('Model inputs'!B226="",0,1)="",0,IF('Model inputs'!B226="",0,1)),IF(IF('Model inputs'!B227="",0,1)="",0,IF('Model inputs'!B227="",0,1)),IF(IF('Model inputs'!B228="",0,1)="",0,IF('Model inputs'!B228="",0,1)))=0,"",SUM('Model inputs'!B224,'Model inputs'!B225,'Model inputs'!B226,'Model inputs'!B227,'Model inputs'!B228))</f>
        <v>15</v>
      </c>
      <c r="L81" s="9">
        <f>IF(SUM(IF(IF('Model inputs'!B229="",0,1)="",0,IF('Model inputs'!B229="",0,1)),IF(IF('Model inputs'!B230="",0,1)="",0,IF('Model inputs'!B230="",0,1)),IF(IF('Model inputs'!B231="",0,1)="",0,IF('Model inputs'!B231="",0,1)),IF(IF('Model inputs'!B232="",0,1)="",0,IF('Model inputs'!B232="",0,1)),IF(IF('Model inputs'!B233="",0,1)="",0,IF('Model inputs'!B233="",0,1)))=0,"",SUM('Model inputs'!B229,'Model inputs'!B230,'Model inputs'!B231,'Model inputs'!B232,'Model inputs'!B233))</f>
        <v>15</v>
      </c>
      <c r="M81" s="9">
        <f>IF(SUM(IF(IF('Model inputs'!B234="",0,1)="",0,IF('Model inputs'!B234="",0,1)),IF(IF('Model inputs'!B235="",0,1)="",0,IF('Model inputs'!B235="",0,1)),IF(IF('Model inputs'!B236="",0,1)="",0,IF('Model inputs'!B236="",0,1)),IF(IF('Model inputs'!B237="",0,1)="",0,IF('Model inputs'!B237="",0,1)),IF(IF('Model inputs'!B238="",0,1)="",0,IF('Model inputs'!B238="",0,1)))=0,"",SUM('Model inputs'!B234,'Model inputs'!B235,'Model inputs'!B236,'Model inputs'!B237,'Model inputs'!B238))</f>
        <v>15</v>
      </c>
    </row>
    <row r="82">
      <c r="A82" t="inlineStr" s="8">
        <is>
          <t xml:space="preserve">Plan Earned revenue</t>
        </is>
      </c>
      <c r="B82" s="10">
        <f>IF(SUM(IF(IF('Model inputs'!B239="",0,1)="",0,IF('Model inputs'!B239="",0,1)),IF(IF('Model inputs'!B240="",0,1)="",0,IF('Model inputs'!B240="",0,1)),IF(IF('Model inputs'!B241="",0,1)="",0,IF('Model inputs'!B241="",0,1)),IF(IF('Model inputs'!B242="",0,1)="",0,IF('Model inputs'!B242="",0,1)),IF(IF('Model inputs'!B243="",0,1)="",0,IF('Model inputs'!B243="",0,1)))=0,"",SUM('Model inputs'!B239,'Model inputs'!B240,'Model inputs'!B241,'Model inputs'!B242,'Model inputs'!B243))</f>
        <v>22500</v>
      </c>
      <c r="C82" s="10">
        <f>IF(SUM(IF(IF('Model inputs'!B244="",0,1)="",0,IF('Model inputs'!B244="",0,1)),IF(IF('Model inputs'!B245="",0,1)="",0,IF('Model inputs'!B245="",0,1)),IF(IF('Model inputs'!B246="",0,1)="",0,IF('Model inputs'!B246="",0,1)),IF(IF('Model inputs'!B247="",0,1)="",0,IF('Model inputs'!B247="",0,1)),IF(IF('Model inputs'!B248="",0,1)="",0,IF('Model inputs'!B248="",0,1)))=0,"",SUM('Model inputs'!B244,'Model inputs'!B245,'Model inputs'!B246,'Model inputs'!B247,'Model inputs'!B248))</f>
        <v>22500</v>
      </c>
      <c r="D82" s="10">
        <f>IF(SUM(IF(IF('Model inputs'!B249="",0,1)="",0,IF('Model inputs'!B249="",0,1)),IF(IF('Model inputs'!B250="",0,1)="",0,IF('Model inputs'!B250="",0,1)),IF(IF('Model inputs'!B251="",0,1)="",0,IF('Model inputs'!B251="",0,1)),IF(IF('Model inputs'!B252="",0,1)="",0,IF('Model inputs'!B252="",0,1)),IF(IF('Model inputs'!B253="",0,1)="",0,IF('Model inputs'!B253="",0,1)))=0,"",SUM('Model inputs'!B249,'Model inputs'!B250,'Model inputs'!B251,'Model inputs'!B252,'Model inputs'!B253))</f>
        <v>22500</v>
      </c>
      <c r="E82" s="10">
        <f>IF(SUM(IF(IF('Model inputs'!B254="",0,1)="",0,IF('Model inputs'!B254="",0,1)),IF(IF('Model inputs'!B255="",0,1)="",0,IF('Model inputs'!B255="",0,1)),IF(IF('Model inputs'!B256="",0,1)="",0,IF('Model inputs'!B256="",0,1)),IF(IF('Model inputs'!B257="",0,1)="",0,IF('Model inputs'!B257="",0,1)),IF(IF('Model inputs'!B258="",0,1)="",0,IF('Model inputs'!B258="",0,1)))=0,"",SUM('Model inputs'!B254,'Model inputs'!B255,'Model inputs'!B256,'Model inputs'!B257,'Model inputs'!B258))</f>
        <v>22500</v>
      </c>
      <c r="F82" s="10">
        <f>IF(SUM(IF(IF('Model inputs'!B259="",0,1)="",0,IF('Model inputs'!B259="",0,1)),IF(IF('Model inputs'!B260="",0,1)="",0,IF('Model inputs'!B260="",0,1)),IF(IF('Model inputs'!B261="",0,1)="",0,IF('Model inputs'!B261="",0,1)),IF(IF('Model inputs'!B262="",0,1)="",0,IF('Model inputs'!B262="",0,1)),IF(IF('Model inputs'!B263="",0,1)="",0,IF('Model inputs'!B263="",0,1)))=0,"",SUM('Model inputs'!B259,'Model inputs'!B260,'Model inputs'!B261,'Model inputs'!B262,'Model inputs'!B263))</f>
        <v>22500</v>
      </c>
      <c r="G82" s="10">
        <f>IF(SUM(IF(IF('Model inputs'!B264="",0,1)="",0,IF('Model inputs'!B264="",0,1)),IF(IF('Model inputs'!B265="",0,1)="",0,IF('Model inputs'!B265="",0,1)),IF(IF('Model inputs'!B266="",0,1)="",0,IF('Model inputs'!B266="",0,1)),IF(IF('Model inputs'!B267="",0,1)="",0,IF('Model inputs'!B267="",0,1)),IF(IF('Model inputs'!B268="",0,1)="",0,IF('Model inputs'!B268="",0,1)))=0,"",SUM('Model inputs'!B264,'Model inputs'!B265,'Model inputs'!B266,'Model inputs'!B267,'Model inputs'!B268))</f>
        <v>22500</v>
      </c>
      <c r="H82" s="10">
        <f>IF(SUM(IF(IF('Model inputs'!B269="",0,1)="",0,IF('Model inputs'!B269="",0,1)),IF(IF('Model inputs'!B270="",0,1)="",0,IF('Model inputs'!B270="",0,1)),IF(IF('Model inputs'!B271="",0,1)="",0,IF('Model inputs'!B271="",0,1)),IF(IF('Model inputs'!B272="",0,1)="",0,IF('Model inputs'!B272="",0,1)),IF(IF('Model inputs'!B273="",0,1)="",0,IF('Model inputs'!B273="",0,1)))=0,"",SUM('Model inputs'!B269,'Model inputs'!B270,'Model inputs'!B271,'Model inputs'!B272,'Model inputs'!B273))</f>
        <v>22500</v>
      </c>
      <c r="I82" s="10">
        <f>IF(SUM(IF(IF('Model inputs'!B274="",0,1)="",0,IF('Model inputs'!B274="",0,1)),IF(IF('Model inputs'!B275="",0,1)="",0,IF('Model inputs'!B275="",0,1)),IF(IF('Model inputs'!B276="",0,1)="",0,IF('Model inputs'!B276="",0,1)),IF(IF('Model inputs'!B277="",0,1)="",0,IF('Model inputs'!B277="",0,1)),IF(IF('Model inputs'!B278="",0,1)="",0,IF('Model inputs'!B278="",0,1)))=0,"",SUM('Model inputs'!B274,'Model inputs'!B275,'Model inputs'!B276,'Model inputs'!B277,'Model inputs'!B278))</f>
        <v>22500</v>
      </c>
      <c r="J82" s="10">
        <f>IF(SUM(IF(IF('Model inputs'!B279="",0,1)="",0,IF('Model inputs'!B279="",0,1)),IF(IF('Model inputs'!B280="",0,1)="",0,IF('Model inputs'!B280="",0,1)),IF(IF('Model inputs'!B281="",0,1)="",0,IF('Model inputs'!B281="",0,1)),IF(IF('Model inputs'!B282="",0,1)="",0,IF('Model inputs'!B282="",0,1)),IF(IF('Model inputs'!B283="",0,1)="",0,IF('Model inputs'!B283="",0,1)))=0,"",SUM('Model inputs'!B279,'Model inputs'!B280,'Model inputs'!B281,'Model inputs'!B282,'Model inputs'!B283))</f>
        <v>22500</v>
      </c>
      <c r="K82" s="10">
        <f>IF(SUM(IF(IF('Model inputs'!B284="",0,1)="",0,IF('Model inputs'!B284="",0,1)),IF(IF('Model inputs'!B285="",0,1)="",0,IF('Model inputs'!B285="",0,1)),IF(IF('Model inputs'!B286="",0,1)="",0,IF('Model inputs'!B286="",0,1)),IF(IF('Model inputs'!B287="",0,1)="",0,IF('Model inputs'!B287="",0,1)),IF(IF('Model inputs'!B288="",0,1)="",0,IF('Model inputs'!B288="",0,1)))=0,"",SUM('Model inputs'!B284,'Model inputs'!B285,'Model inputs'!B286,'Model inputs'!B287,'Model inputs'!B288))</f>
        <v>22500</v>
      </c>
      <c r="L82" s="10">
        <f>IF(SUM(IF(IF('Model inputs'!B289="",0,1)="",0,IF('Model inputs'!B289="",0,1)),IF(IF('Model inputs'!B290="",0,1)="",0,IF('Model inputs'!B290="",0,1)),IF(IF('Model inputs'!B291="",0,1)="",0,IF('Model inputs'!B291="",0,1)),IF(IF('Model inputs'!B292="",0,1)="",0,IF('Model inputs'!B292="",0,1)),IF(IF('Model inputs'!B293="",0,1)="",0,IF('Model inputs'!B293="",0,1)))=0,"",SUM('Model inputs'!B289,'Model inputs'!B290,'Model inputs'!B291,'Model inputs'!B292,'Model inputs'!B293))</f>
        <v>22500</v>
      </c>
      <c r="M82" s="10">
        <f>IF(SUM(IF(IF('Model inputs'!B294="",0,1)="",0,IF('Model inputs'!B294="",0,1)),IF(IF('Model inputs'!B295="",0,1)="",0,IF('Model inputs'!B295="",0,1)),IF(IF('Model inputs'!B296="",0,1)="",0,IF('Model inputs'!B296="",0,1)),IF(IF('Model inputs'!B297="",0,1)="",0,IF('Model inputs'!B297="",0,1)),IF(IF('Model inputs'!B298="",0,1)="",0,IF('Model inputs'!B298="",0,1)))=0,"",SUM('Model inputs'!B294,'Model inputs'!B295,'Model inputs'!B296,'Model inputs'!B297,'Model inputs'!B298))</f>
        <v>22500</v>
      </c>
    </row>
    <row r="83">
      <c r="A83" t="inlineStr" s="8">
        <is>
          <t xml:space="preserve">Plan Cash collections</t>
        </is>
      </c>
      <c r="B83" s="10">
        <f>IF(SUM(IF(IF('Model inputs'!B299="",0,1)="",0,IF('Model inputs'!B299="",0,1)),IF(IF('Model inputs'!B300="",0,1)="",0,IF('Model inputs'!B300="",0,1)),IF(IF('Model inputs'!B301="",0,1)="",0,IF('Model inputs'!B301="",0,1)),IF(IF('Model inputs'!B302="",0,1)="",0,IF('Model inputs'!B302="",0,1)),IF(IF('Model inputs'!B303="",0,1)="",0,IF('Model inputs'!B303="",0,1)))=0,"",SUM('Model inputs'!B299,'Model inputs'!B300,'Model inputs'!B301,'Model inputs'!B302,'Model inputs'!B303))</f>
        <v>22500</v>
      </c>
      <c r="C83" s="10">
        <f>IF(SUM(IF(IF('Model inputs'!B304="",0,1)="",0,IF('Model inputs'!B304="",0,1)),IF(IF('Model inputs'!B305="",0,1)="",0,IF('Model inputs'!B305="",0,1)),IF(IF('Model inputs'!B306="",0,1)="",0,IF('Model inputs'!B306="",0,1)),IF(IF('Model inputs'!B307="",0,1)="",0,IF('Model inputs'!B307="",0,1)),IF(IF('Model inputs'!B308="",0,1)="",0,IF('Model inputs'!B308="",0,1)))=0,"",SUM('Model inputs'!B304,'Model inputs'!B305,'Model inputs'!B306,'Model inputs'!B307,'Model inputs'!B308))</f>
        <v>22500</v>
      </c>
      <c r="D83" s="10">
        <f>IF(SUM(IF(IF('Model inputs'!B309="",0,1)="",0,IF('Model inputs'!B309="",0,1)),IF(IF('Model inputs'!B310="",0,1)="",0,IF('Model inputs'!B310="",0,1)),IF(IF('Model inputs'!B311="",0,1)="",0,IF('Model inputs'!B311="",0,1)),IF(IF('Model inputs'!B312="",0,1)="",0,IF('Model inputs'!B312="",0,1)),IF(IF('Model inputs'!B313="",0,1)="",0,IF('Model inputs'!B313="",0,1)))=0,"",SUM('Model inputs'!B309,'Model inputs'!B310,'Model inputs'!B311,'Model inputs'!B312,'Model inputs'!B313))</f>
        <v>22500</v>
      </c>
      <c r="E83" s="10">
        <f>IF(SUM(IF(IF('Model inputs'!B314="",0,1)="",0,IF('Model inputs'!B314="",0,1)),IF(IF('Model inputs'!B315="",0,1)="",0,IF('Model inputs'!B315="",0,1)),IF(IF('Model inputs'!B316="",0,1)="",0,IF('Model inputs'!B316="",0,1)),IF(IF('Model inputs'!B317="",0,1)="",0,IF('Model inputs'!B317="",0,1)),IF(IF('Model inputs'!B318="",0,1)="",0,IF('Model inputs'!B318="",0,1)))=0,"",SUM('Model inputs'!B314,'Model inputs'!B315,'Model inputs'!B316,'Model inputs'!B317,'Model inputs'!B318))</f>
        <v>22500</v>
      </c>
      <c r="F83" s="10">
        <f>IF(SUM(IF(IF('Model inputs'!B319="",0,1)="",0,IF('Model inputs'!B319="",0,1)),IF(IF('Model inputs'!B320="",0,1)="",0,IF('Model inputs'!B320="",0,1)),IF(IF('Model inputs'!B321="",0,1)="",0,IF('Model inputs'!B321="",0,1)),IF(IF('Model inputs'!B322="",0,1)="",0,IF('Model inputs'!B322="",0,1)),IF(IF('Model inputs'!B323="",0,1)="",0,IF('Model inputs'!B323="",0,1)))=0,"",SUM('Model inputs'!B319,'Model inputs'!B320,'Model inputs'!B321,'Model inputs'!B322,'Model inputs'!B323))</f>
        <v>22500</v>
      </c>
      <c r="G83" s="10">
        <f>IF(SUM(IF(IF('Model inputs'!B324="",0,1)="",0,IF('Model inputs'!B324="",0,1)),IF(IF('Model inputs'!B325="",0,1)="",0,IF('Model inputs'!B325="",0,1)),IF(IF('Model inputs'!B326="",0,1)="",0,IF('Model inputs'!B326="",0,1)),IF(IF('Model inputs'!B327="",0,1)="",0,IF('Model inputs'!B327="",0,1)),IF(IF('Model inputs'!B328="",0,1)="",0,IF('Model inputs'!B328="",0,1)))=0,"",SUM('Model inputs'!B324,'Model inputs'!B325,'Model inputs'!B326,'Model inputs'!B327,'Model inputs'!B328))</f>
        <v>22500</v>
      </c>
      <c r="H83" s="10">
        <f>IF(SUM(IF(IF('Model inputs'!B329="",0,1)="",0,IF('Model inputs'!B329="",0,1)),IF(IF('Model inputs'!B330="",0,1)="",0,IF('Model inputs'!B330="",0,1)),IF(IF('Model inputs'!B331="",0,1)="",0,IF('Model inputs'!B331="",0,1)),IF(IF('Model inputs'!B332="",0,1)="",0,IF('Model inputs'!B332="",0,1)),IF(IF('Model inputs'!B333="",0,1)="",0,IF('Model inputs'!B333="",0,1)))=0,"",SUM('Model inputs'!B329,'Model inputs'!B330,'Model inputs'!B331,'Model inputs'!B332,'Model inputs'!B333))</f>
        <v>22500</v>
      </c>
      <c r="I83" s="10">
        <f>IF(SUM(IF(IF('Model inputs'!B334="",0,1)="",0,IF('Model inputs'!B334="",0,1)),IF(IF('Model inputs'!B335="",0,1)="",0,IF('Model inputs'!B335="",0,1)),IF(IF('Model inputs'!B336="",0,1)="",0,IF('Model inputs'!B336="",0,1)),IF(IF('Model inputs'!B337="",0,1)="",0,IF('Model inputs'!B337="",0,1)),IF(IF('Model inputs'!B338="",0,1)="",0,IF('Model inputs'!B338="",0,1)))=0,"",SUM('Model inputs'!B334,'Model inputs'!B335,'Model inputs'!B336,'Model inputs'!B337,'Model inputs'!B338))</f>
        <v>22500</v>
      </c>
      <c r="J83" s="10">
        <f>IF(SUM(IF(IF('Model inputs'!B339="",0,1)="",0,IF('Model inputs'!B339="",0,1)),IF(IF('Model inputs'!B340="",0,1)="",0,IF('Model inputs'!B340="",0,1)),IF(IF('Model inputs'!B341="",0,1)="",0,IF('Model inputs'!B341="",0,1)),IF(IF('Model inputs'!B342="",0,1)="",0,IF('Model inputs'!B342="",0,1)),IF(IF('Model inputs'!B343="",0,1)="",0,IF('Model inputs'!B343="",0,1)))=0,"",SUM('Model inputs'!B339,'Model inputs'!B340,'Model inputs'!B341,'Model inputs'!B342,'Model inputs'!B343))</f>
        <v>22500</v>
      </c>
      <c r="K83" s="10">
        <f>IF(SUM(IF(IF('Model inputs'!B344="",0,1)="",0,IF('Model inputs'!B344="",0,1)),IF(IF('Model inputs'!B345="",0,1)="",0,IF('Model inputs'!B345="",0,1)),IF(IF('Model inputs'!B346="",0,1)="",0,IF('Model inputs'!B346="",0,1)),IF(IF('Model inputs'!B347="",0,1)="",0,IF('Model inputs'!B347="",0,1)),IF(IF('Model inputs'!B348="",0,1)="",0,IF('Model inputs'!B348="",0,1)))=0,"",SUM('Model inputs'!B344,'Model inputs'!B345,'Model inputs'!B346,'Model inputs'!B347,'Model inputs'!B348))</f>
        <v>22500</v>
      </c>
      <c r="L83" s="10">
        <f>IF(SUM(IF(IF('Model inputs'!B349="",0,1)="",0,IF('Model inputs'!B349="",0,1)),IF(IF('Model inputs'!B350="",0,1)="",0,IF('Model inputs'!B350="",0,1)),IF(IF('Model inputs'!B351="",0,1)="",0,IF('Model inputs'!B351="",0,1)),IF(IF('Model inputs'!B352="",0,1)="",0,IF('Model inputs'!B352="",0,1)),IF(IF('Model inputs'!B353="",0,1)="",0,IF('Model inputs'!B353="",0,1)))=0,"",SUM('Model inputs'!B349,'Model inputs'!B350,'Model inputs'!B351,'Model inputs'!B352,'Model inputs'!B353))</f>
        <v>22500</v>
      </c>
      <c r="M83" s="10">
        <f>IF(SUM(IF(IF('Model inputs'!B354="",0,1)="",0,IF('Model inputs'!B354="",0,1)),IF(IF('Model inputs'!B355="",0,1)="",0,IF('Model inputs'!B355="",0,1)),IF(IF('Model inputs'!B356="",0,1)="",0,IF('Model inputs'!B356="",0,1)),IF(IF('Model inputs'!B357="",0,1)="",0,IF('Model inputs'!B357="",0,1)),IF(IF('Model inputs'!B358="",0,1)="",0,IF('Model inputs'!B358="",0,1)))=0,"",SUM('Model inputs'!B354,'Model inputs'!B355,'Model inputs'!B356,'Model inputs'!B357,'Model inputs'!B358))</f>
        <v>22500</v>
      </c>
    </row>
    <row r="84">
      <c r="A84" t="inlineStr" s="8">
        <is>
          <t xml:space="preserve">Plan Delivery COGS</t>
        </is>
      </c>
      <c r="B84" s="10">
        <f>IF(SUM(IF(IF('Model inputs'!B359="",0,1)="",0,IF('Model inputs'!B359="",0,1)),IF(IF('Model inputs'!B360="",0,1)="",0,IF('Model inputs'!B360="",0,1)),IF(IF('Model inputs'!B361="",0,1)="",0,IF('Model inputs'!B361="",0,1)),IF(IF('Model inputs'!B362="",0,1)="",0,IF('Model inputs'!B362="",0,1)),IF(IF('Model inputs'!B363="",0,1)="",0,IF('Model inputs'!B363="",0,1)))=0,"",SUM('Model inputs'!B359,'Model inputs'!B360,'Model inputs'!B361,'Model inputs'!B362,'Model inputs'!B363))</f>
        <v>1419.75</v>
      </c>
      <c r="C84" s="10">
        <f>IF(SUM(IF(IF('Model inputs'!B364="",0,1)="",0,IF('Model inputs'!B364="",0,1)),IF(IF('Model inputs'!B365="",0,1)="",0,IF('Model inputs'!B365="",0,1)),IF(IF('Model inputs'!B366="",0,1)="",0,IF('Model inputs'!B366="",0,1)),IF(IF('Model inputs'!B367="",0,1)="",0,IF('Model inputs'!B367="",0,1)),IF(IF('Model inputs'!B368="",0,1)="",0,IF('Model inputs'!B368="",0,1)))=0,"",SUM('Model inputs'!B364,'Model inputs'!B365,'Model inputs'!B366,'Model inputs'!B367,'Model inputs'!B368))</f>
        <v>1419.75</v>
      </c>
      <c r="D84" s="10">
        <f>IF(SUM(IF(IF('Model inputs'!B369="",0,1)="",0,IF('Model inputs'!B369="",0,1)),IF(IF('Model inputs'!B370="",0,1)="",0,IF('Model inputs'!B370="",0,1)),IF(IF('Model inputs'!B371="",0,1)="",0,IF('Model inputs'!B371="",0,1)),IF(IF('Model inputs'!B372="",0,1)="",0,IF('Model inputs'!B372="",0,1)),IF(IF('Model inputs'!B373="",0,1)="",0,IF('Model inputs'!B373="",0,1)))=0,"",SUM('Model inputs'!B369,'Model inputs'!B370,'Model inputs'!B371,'Model inputs'!B372,'Model inputs'!B373))</f>
        <v>1419.75</v>
      </c>
      <c r="E84" s="10">
        <f>IF(SUM(IF(IF('Model inputs'!B374="",0,1)="",0,IF('Model inputs'!B374="",0,1)),IF(IF('Model inputs'!B375="",0,1)="",0,IF('Model inputs'!B375="",0,1)),IF(IF('Model inputs'!B376="",0,1)="",0,IF('Model inputs'!B376="",0,1)),IF(IF('Model inputs'!B377="",0,1)="",0,IF('Model inputs'!B377="",0,1)),IF(IF('Model inputs'!B378="",0,1)="",0,IF('Model inputs'!B378="",0,1)))=0,"",SUM('Model inputs'!B374,'Model inputs'!B375,'Model inputs'!B376,'Model inputs'!B377,'Model inputs'!B378))</f>
        <v>1419.75</v>
      </c>
      <c r="F84" s="10">
        <f>IF(SUM(IF(IF('Model inputs'!B379="",0,1)="",0,IF('Model inputs'!B379="",0,1)),IF(IF('Model inputs'!B380="",0,1)="",0,IF('Model inputs'!B380="",0,1)),IF(IF('Model inputs'!B381="",0,1)="",0,IF('Model inputs'!B381="",0,1)),IF(IF('Model inputs'!B382="",0,1)="",0,IF('Model inputs'!B382="",0,1)),IF(IF('Model inputs'!B383="",0,1)="",0,IF('Model inputs'!B383="",0,1)))=0,"",SUM('Model inputs'!B379,'Model inputs'!B380,'Model inputs'!B381,'Model inputs'!B382,'Model inputs'!B383))</f>
        <v>1419.75</v>
      </c>
      <c r="G84" s="10">
        <f>IF(SUM(IF(IF('Model inputs'!B384="",0,1)="",0,IF('Model inputs'!B384="",0,1)),IF(IF('Model inputs'!B385="",0,1)="",0,IF('Model inputs'!B385="",0,1)),IF(IF('Model inputs'!B386="",0,1)="",0,IF('Model inputs'!B386="",0,1)),IF(IF('Model inputs'!B387="",0,1)="",0,IF('Model inputs'!B387="",0,1)),IF(IF('Model inputs'!B388="",0,1)="",0,IF('Model inputs'!B388="",0,1)))=0,"",SUM('Model inputs'!B384,'Model inputs'!B385,'Model inputs'!B386,'Model inputs'!B387,'Model inputs'!B388))</f>
        <v>1419.75</v>
      </c>
      <c r="H84" s="10">
        <f>IF(SUM(IF(IF('Model inputs'!B389="",0,1)="",0,IF('Model inputs'!B389="",0,1)),IF(IF('Model inputs'!B390="",0,1)="",0,IF('Model inputs'!B390="",0,1)),IF(IF('Model inputs'!B391="",0,1)="",0,IF('Model inputs'!B391="",0,1)),IF(IF('Model inputs'!B392="",0,1)="",0,IF('Model inputs'!B392="",0,1)),IF(IF('Model inputs'!B393="",0,1)="",0,IF('Model inputs'!B393="",0,1)))=0,"",SUM('Model inputs'!B389,'Model inputs'!B390,'Model inputs'!B391,'Model inputs'!B392,'Model inputs'!B393))</f>
        <v>1419.75</v>
      </c>
      <c r="I84" s="10">
        <f>IF(SUM(IF(IF('Model inputs'!B394="",0,1)="",0,IF('Model inputs'!B394="",0,1)),IF(IF('Model inputs'!B395="",0,1)="",0,IF('Model inputs'!B395="",0,1)),IF(IF('Model inputs'!B396="",0,1)="",0,IF('Model inputs'!B396="",0,1)),IF(IF('Model inputs'!B397="",0,1)="",0,IF('Model inputs'!B397="",0,1)),IF(IF('Model inputs'!B398="",0,1)="",0,IF('Model inputs'!B398="",0,1)))=0,"",SUM('Model inputs'!B394,'Model inputs'!B395,'Model inputs'!B396,'Model inputs'!B397,'Model inputs'!B398))</f>
        <v>1419.75</v>
      </c>
      <c r="J84" s="10">
        <f>IF(SUM(IF(IF('Model inputs'!B399="",0,1)="",0,IF('Model inputs'!B399="",0,1)),IF(IF('Model inputs'!B400="",0,1)="",0,IF('Model inputs'!B400="",0,1)),IF(IF('Model inputs'!B401="",0,1)="",0,IF('Model inputs'!B401="",0,1)),IF(IF('Model inputs'!B402="",0,1)="",0,IF('Model inputs'!B402="",0,1)),IF(IF('Model inputs'!B403="",0,1)="",0,IF('Model inputs'!B403="",0,1)))=0,"",SUM('Model inputs'!B399,'Model inputs'!B400,'Model inputs'!B401,'Model inputs'!B402,'Model inputs'!B403))</f>
        <v>1419.75</v>
      </c>
      <c r="K84" s="10">
        <f>IF(SUM(IF(IF('Model inputs'!B404="",0,1)="",0,IF('Model inputs'!B404="",0,1)),IF(IF('Model inputs'!B405="",0,1)="",0,IF('Model inputs'!B405="",0,1)),IF(IF('Model inputs'!B406="",0,1)="",0,IF('Model inputs'!B406="",0,1)),IF(IF('Model inputs'!B407="",0,1)="",0,IF('Model inputs'!B407="",0,1)),IF(IF('Model inputs'!B408="",0,1)="",0,IF('Model inputs'!B408="",0,1)))=0,"",SUM('Model inputs'!B404,'Model inputs'!B405,'Model inputs'!B406,'Model inputs'!B407,'Model inputs'!B408))</f>
        <v>1419.75</v>
      </c>
      <c r="L84" s="10">
        <f>IF(SUM(IF(IF('Model inputs'!B409="",0,1)="",0,IF('Model inputs'!B409="",0,1)),IF(IF('Model inputs'!B410="",0,1)="",0,IF('Model inputs'!B410="",0,1)),IF(IF('Model inputs'!B411="",0,1)="",0,IF('Model inputs'!B411="",0,1)),IF(IF('Model inputs'!B412="",0,1)="",0,IF('Model inputs'!B412="",0,1)),IF(IF('Model inputs'!B413="",0,1)="",0,IF('Model inputs'!B413="",0,1)))=0,"",SUM('Model inputs'!B409,'Model inputs'!B410,'Model inputs'!B411,'Model inputs'!B412,'Model inputs'!B413))</f>
        <v>1419.75</v>
      </c>
      <c r="M84" s="10">
        <f>IF(SUM(IF(IF('Model inputs'!B414="",0,1)="",0,IF('Model inputs'!B414="",0,1)),IF(IF('Model inputs'!B415="",0,1)="",0,IF('Model inputs'!B415="",0,1)),IF(IF('Model inputs'!B416="",0,1)="",0,IF('Model inputs'!B416="",0,1)),IF(IF('Model inputs'!B417="",0,1)="",0,IF('Model inputs'!B417="",0,1)),IF(IF('Model inputs'!B418="",0,1)="",0,IF('Model inputs'!B418="",0,1)))=0,"",SUM('Model inputs'!B414,'Model inputs'!B415,'Model inputs'!B416,'Model inputs'!B417,'Model inputs'!B418))</f>
        <v>1419.75</v>
      </c>
    </row>
    <row r="85">
      <c r="A85" t="inlineStr" s="8">
        <is>
          <t xml:space="preserve">Plan Gross profit</t>
        </is>
      </c>
      <c r="B85" s="10">
        <f>IF(SUM(IF(IF('Model inputs'!B419="",0,1)="",0,IF('Model inputs'!B419="",0,1)),IF(IF('Model inputs'!B420="",0,1)="",0,IF('Model inputs'!B420="",0,1)),IF(IF('Model inputs'!B421="",0,1)="",0,IF('Model inputs'!B421="",0,1)),IF(IF('Model inputs'!B422="",0,1)="",0,IF('Model inputs'!B422="",0,1)),IF(IF('Model inputs'!B423="",0,1)="",0,IF('Model inputs'!B423="",0,1)))=0,"",SUM('Model inputs'!B419,'Model inputs'!B420,'Model inputs'!B421,'Model inputs'!B422,'Model inputs'!B423))</f>
        <v>21080.25</v>
      </c>
      <c r="C85" s="10">
        <f>IF(SUM(IF(IF('Model inputs'!B424="",0,1)="",0,IF('Model inputs'!B424="",0,1)),IF(IF('Model inputs'!B425="",0,1)="",0,IF('Model inputs'!B425="",0,1)),IF(IF('Model inputs'!B426="",0,1)="",0,IF('Model inputs'!B426="",0,1)),IF(IF('Model inputs'!B427="",0,1)="",0,IF('Model inputs'!B427="",0,1)),IF(IF('Model inputs'!B428="",0,1)="",0,IF('Model inputs'!B428="",0,1)))=0,"",SUM('Model inputs'!B424,'Model inputs'!B425,'Model inputs'!B426,'Model inputs'!B427,'Model inputs'!B428))</f>
        <v>21080.25</v>
      </c>
      <c r="D85" s="10">
        <f>IF(SUM(IF(IF('Model inputs'!B429="",0,1)="",0,IF('Model inputs'!B429="",0,1)),IF(IF('Model inputs'!B430="",0,1)="",0,IF('Model inputs'!B430="",0,1)),IF(IF('Model inputs'!B431="",0,1)="",0,IF('Model inputs'!B431="",0,1)),IF(IF('Model inputs'!B432="",0,1)="",0,IF('Model inputs'!B432="",0,1)),IF(IF('Model inputs'!B433="",0,1)="",0,IF('Model inputs'!B433="",0,1)))=0,"",SUM('Model inputs'!B429,'Model inputs'!B430,'Model inputs'!B431,'Model inputs'!B432,'Model inputs'!B433))</f>
        <v>21080.25</v>
      </c>
      <c r="E85" s="10">
        <f>IF(SUM(IF(IF('Model inputs'!B434="",0,1)="",0,IF('Model inputs'!B434="",0,1)),IF(IF('Model inputs'!B435="",0,1)="",0,IF('Model inputs'!B435="",0,1)),IF(IF('Model inputs'!B436="",0,1)="",0,IF('Model inputs'!B436="",0,1)),IF(IF('Model inputs'!B437="",0,1)="",0,IF('Model inputs'!B437="",0,1)),IF(IF('Model inputs'!B438="",0,1)="",0,IF('Model inputs'!B438="",0,1)))=0,"",SUM('Model inputs'!B434,'Model inputs'!B435,'Model inputs'!B436,'Model inputs'!B437,'Model inputs'!B438))</f>
        <v>21080.25</v>
      </c>
      <c r="F85" s="10">
        <f>IF(SUM(IF(IF('Model inputs'!B439="",0,1)="",0,IF('Model inputs'!B439="",0,1)),IF(IF('Model inputs'!B440="",0,1)="",0,IF('Model inputs'!B440="",0,1)),IF(IF('Model inputs'!B441="",0,1)="",0,IF('Model inputs'!B441="",0,1)),IF(IF('Model inputs'!B442="",0,1)="",0,IF('Model inputs'!B442="",0,1)),IF(IF('Model inputs'!B443="",0,1)="",0,IF('Model inputs'!B443="",0,1)))=0,"",SUM('Model inputs'!B439,'Model inputs'!B440,'Model inputs'!B441,'Model inputs'!B442,'Model inputs'!B443))</f>
        <v>21080.25</v>
      </c>
      <c r="G85" s="10">
        <f>IF(SUM(IF(IF('Model inputs'!B444="",0,1)="",0,IF('Model inputs'!B444="",0,1)),IF(IF('Model inputs'!B445="",0,1)="",0,IF('Model inputs'!B445="",0,1)),IF(IF('Model inputs'!B446="",0,1)="",0,IF('Model inputs'!B446="",0,1)),IF(IF('Model inputs'!B447="",0,1)="",0,IF('Model inputs'!B447="",0,1)),IF(IF('Model inputs'!B448="",0,1)="",0,IF('Model inputs'!B448="",0,1)))=0,"",SUM('Model inputs'!B444,'Model inputs'!B445,'Model inputs'!B446,'Model inputs'!B447,'Model inputs'!B448))</f>
        <v>21080.25</v>
      </c>
      <c r="H85" s="10">
        <f>IF(SUM(IF(IF('Model inputs'!B449="",0,1)="",0,IF('Model inputs'!B449="",0,1)),IF(IF('Model inputs'!B450="",0,1)="",0,IF('Model inputs'!B450="",0,1)),IF(IF('Model inputs'!B451="",0,1)="",0,IF('Model inputs'!B451="",0,1)),IF(IF('Model inputs'!B452="",0,1)="",0,IF('Model inputs'!B452="",0,1)),IF(IF('Model inputs'!B453="",0,1)="",0,IF('Model inputs'!B453="",0,1)))=0,"",SUM('Model inputs'!B449,'Model inputs'!B450,'Model inputs'!B451,'Model inputs'!B452,'Model inputs'!B453))</f>
        <v>21080.25</v>
      </c>
      <c r="I85" s="10">
        <f>IF(SUM(IF(IF('Model inputs'!B454="",0,1)="",0,IF('Model inputs'!B454="",0,1)),IF(IF('Model inputs'!B455="",0,1)="",0,IF('Model inputs'!B455="",0,1)),IF(IF('Model inputs'!B456="",0,1)="",0,IF('Model inputs'!B456="",0,1)),IF(IF('Model inputs'!B457="",0,1)="",0,IF('Model inputs'!B457="",0,1)),IF(IF('Model inputs'!B458="",0,1)="",0,IF('Model inputs'!B458="",0,1)))=0,"",SUM('Model inputs'!B454,'Model inputs'!B455,'Model inputs'!B456,'Model inputs'!B457,'Model inputs'!B458))</f>
        <v>21080.25</v>
      </c>
      <c r="J85" s="10">
        <f>IF(SUM(IF(IF('Model inputs'!B459="",0,1)="",0,IF('Model inputs'!B459="",0,1)),IF(IF('Model inputs'!B460="",0,1)="",0,IF('Model inputs'!B460="",0,1)),IF(IF('Model inputs'!B461="",0,1)="",0,IF('Model inputs'!B461="",0,1)),IF(IF('Model inputs'!B462="",0,1)="",0,IF('Model inputs'!B462="",0,1)),IF(IF('Model inputs'!B463="",0,1)="",0,IF('Model inputs'!B463="",0,1)))=0,"",SUM('Model inputs'!B459,'Model inputs'!B460,'Model inputs'!B461,'Model inputs'!B462,'Model inputs'!B463))</f>
        <v>21080.25</v>
      </c>
      <c r="K85" s="10">
        <f>IF(SUM(IF(IF('Model inputs'!B464="",0,1)="",0,IF('Model inputs'!B464="",0,1)),IF(IF('Model inputs'!B465="",0,1)="",0,IF('Model inputs'!B465="",0,1)),IF(IF('Model inputs'!B466="",0,1)="",0,IF('Model inputs'!B466="",0,1)),IF(IF('Model inputs'!B467="",0,1)="",0,IF('Model inputs'!B467="",0,1)),IF(IF('Model inputs'!B468="",0,1)="",0,IF('Model inputs'!B468="",0,1)))=0,"",SUM('Model inputs'!B464,'Model inputs'!B465,'Model inputs'!B466,'Model inputs'!B467,'Model inputs'!B468))</f>
        <v>21080.25</v>
      </c>
      <c r="L85" s="10">
        <f>IF(SUM(IF(IF('Model inputs'!B469="",0,1)="",0,IF('Model inputs'!B469="",0,1)),IF(IF('Model inputs'!B470="",0,1)="",0,IF('Model inputs'!B470="",0,1)),IF(IF('Model inputs'!B471="",0,1)="",0,IF('Model inputs'!B471="",0,1)),IF(IF('Model inputs'!B472="",0,1)="",0,IF('Model inputs'!B472="",0,1)),IF(IF('Model inputs'!B473="",0,1)="",0,IF('Model inputs'!B473="",0,1)))=0,"",SUM('Model inputs'!B469,'Model inputs'!B470,'Model inputs'!B471,'Model inputs'!B472,'Model inputs'!B473))</f>
        <v>21080.25</v>
      </c>
      <c r="M85" s="10">
        <f>IF(SUM(IF(IF('Model inputs'!B474="",0,1)="",0,IF('Model inputs'!B474="",0,1)),IF(IF('Model inputs'!B475="",0,1)="",0,IF('Model inputs'!B475="",0,1)),IF(IF('Model inputs'!B476="",0,1)="",0,IF('Model inputs'!B476="",0,1)),IF(IF('Model inputs'!B477="",0,1)="",0,IF('Model inputs'!B477="",0,1)),IF(IF('Model inputs'!B478="",0,1)="",0,IF('Model inputs'!B478="",0,1)))=0,"",SUM('Model inputs'!B474,'Model inputs'!B475,'Model inputs'!B476,'Model inputs'!B477,'Model inputs'!B478))</f>
        <v>21080.25</v>
      </c>
    </row>
    <row r="86">
      <c r="A86" t="inlineStr" s="8">
        <is>
          <t xml:space="preserve">Plan Payment fees</t>
        </is>
      </c>
      <c r="B86" s="10">
        <f>IF(SUM(IF(IF('Model inputs'!B479="",0,1)="",0,IF('Model inputs'!B479="",0,1)),IF(IF('Model inputs'!B480="",0,1)="",0,IF('Model inputs'!B480="",0,1)),IF(IF('Model inputs'!B481="",0,1)="",0,IF('Model inputs'!B481="",0,1)),IF(IF('Model inputs'!B482="",0,1)="",0,IF('Model inputs'!B482="",0,1)),IF(IF('Model inputs'!B483="",0,1)="",0,IF('Model inputs'!B483="",0,1)))=0,"",SUM('Model inputs'!B479,'Model inputs'!B480,'Model inputs'!B481,'Model inputs'!B482,'Model inputs'!B483))</f>
        <v>675</v>
      </c>
      <c r="C86" s="10">
        <f>IF(SUM(IF(IF('Model inputs'!B484="",0,1)="",0,IF('Model inputs'!B484="",0,1)),IF(IF('Model inputs'!B485="",0,1)="",0,IF('Model inputs'!B485="",0,1)),IF(IF('Model inputs'!B486="",0,1)="",0,IF('Model inputs'!B486="",0,1)),IF(IF('Model inputs'!B487="",0,1)="",0,IF('Model inputs'!B487="",0,1)),IF(IF('Model inputs'!B488="",0,1)="",0,IF('Model inputs'!B488="",0,1)))=0,"",SUM('Model inputs'!B484,'Model inputs'!B485,'Model inputs'!B486,'Model inputs'!B487,'Model inputs'!B488))</f>
        <v>675</v>
      </c>
      <c r="D86" s="10">
        <f>IF(SUM(IF(IF('Model inputs'!B489="",0,1)="",0,IF('Model inputs'!B489="",0,1)),IF(IF('Model inputs'!B490="",0,1)="",0,IF('Model inputs'!B490="",0,1)),IF(IF('Model inputs'!B491="",0,1)="",0,IF('Model inputs'!B491="",0,1)),IF(IF('Model inputs'!B492="",0,1)="",0,IF('Model inputs'!B492="",0,1)),IF(IF('Model inputs'!B493="",0,1)="",0,IF('Model inputs'!B493="",0,1)))=0,"",SUM('Model inputs'!B489,'Model inputs'!B490,'Model inputs'!B491,'Model inputs'!B492,'Model inputs'!B493))</f>
        <v>675</v>
      </c>
      <c r="E86" s="10">
        <f>IF(SUM(IF(IF('Model inputs'!B494="",0,1)="",0,IF('Model inputs'!B494="",0,1)),IF(IF('Model inputs'!B495="",0,1)="",0,IF('Model inputs'!B495="",0,1)),IF(IF('Model inputs'!B496="",0,1)="",0,IF('Model inputs'!B496="",0,1)),IF(IF('Model inputs'!B497="",0,1)="",0,IF('Model inputs'!B497="",0,1)),IF(IF('Model inputs'!B498="",0,1)="",0,IF('Model inputs'!B498="",0,1)))=0,"",SUM('Model inputs'!B494,'Model inputs'!B495,'Model inputs'!B496,'Model inputs'!B497,'Model inputs'!B498))</f>
        <v>675</v>
      </c>
      <c r="F86" s="10">
        <f>IF(SUM(IF(IF('Model inputs'!B499="",0,1)="",0,IF('Model inputs'!B499="",0,1)),IF(IF('Model inputs'!B500="",0,1)="",0,IF('Model inputs'!B500="",0,1)),IF(IF('Model inputs'!B501="",0,1)="",0,IF('Model inputs'!B501="",0,1)),IF(IF('Model inputs'!B502="",0,1)="",0,IF('Model inputs'!B502="",0,1)),IF(IF('Model inputs'!B503="",0,1)="",0,IF('Model inputs'!B503="",0,1)))=0,"",SUM('Model inputs'!B499,'Model inputs'!B500,'Model inputs'!B501,'Model inputs'!B502,'Model inputs'!B503))</f>
        <v>675</v>
      </c>
      <c r="G86" s="10">
        <f>IF(SUM(IF(IF('Model inputs'!B504="",0,1)="",0,IF('Model inputs'!B504="",0,1)),IF(IF('Model inputs'!B505="",0,1)="",0,IF('Model inputs'!B505="",0,1)),IF(IF('Model inputs'!B506="",0,1)="",0,IF('Model inputs'!B506="",0,1)),IF(IF('Model inputs'!B507="",0,1)="",0,IF('Model inputs'!B507="",0,1)),IF(IF('Model inputs'!B508="",0,1)="",0,IF('Model inputs'!B508="",0,1)))=0,"",SUM('Model inputs'!B504,'Model inputs'!B505,'Model inputs'!B506,'Model inputs'!B507,'Model inputs'!B508))</f>
        <v>675</v>
      </c>
      <c r="H86" s="10">
        <f>IF(SUM(IF(IF('Model inputs'!B509="",0,1)="",0,IF('Model inputs'!B509="",0,1)),IF(IF('Model inputs'!B510="",0,1)="",0,IF('Model inputs'!B510="",0,1)),IF(IF('Model inputs'!B511="",0,1)="",0,IF('Model inputs'!B511="",0,1)),IF(IF('Model inputs'!B512="",0,1)="",0,IF('Model inputs'!B512="",0,1)),IF(IF('Model inputs'!B513="",0,1)="",0,IF('Model inputs'!B513="",0,1)))=0,"",SUM('Model inputs'!B509,'Model inputs'!B510,'Model inputs'!B511,'Model inputs'!B512,'Model inputs'!B513))</f>
        <v>675</v>
      </c>
      <c r="I86" s="10">
        <f>IF(SUM(IF(IF('Model inputs'!B514="",0,1)="",0,IF('Model inputs'!B514="",0,1)),IF(IF('Model inputs'!B515="",0,1)="",0,IF('Model inputs'!B515="",0,1)),IF(IF('Model inputs'!B516="",0,1)="",0,IF('Model inputs'!B516="",0,1)),IF(IF('Model inputs'!B517="",0,1)="",0,IF('Model inputs'!B517="",0,1)),IF(IF('Model inputs'!B518="",0,1)="",0,IF('Model inputs'!B518="",0,1)))=0,"",SUM('Model inputs'!B514,'Model inputs'!B515,'Model inputs'!B516,'Model inputs'!B517,'Model inputs'!B518))</f>
        <v>675</v>
      </c>
      <c r="J86" s="10">
        <f>IF(SUM(IF(IF('Model inputs'!B519="",0,1)="",0,IF('Model inputs'!B519="",0,1)),IF(IF('Model inputs'!B520="",0,1)="",0,IF('Model inputs'!B520="",0,1)),IF(IF('Model inputs'!B521="",0,1)="",0,IF('Model inputs'!B521="",0,1)),IF(IF('Model inputs'!B522="",0,1)="",0,IF('Model inputs'!B522="",0,1)),IF(IF('Model inputs'!B523="",0,1)="",0,IF('Model inputs'!B523="",0,1)))=0,"",SUM('Model inputs'!B519,'Model inputs'!B520,'Model inputs'!B521,'Model inputs'!B522,'Model inputs'!B523))</f>
        <v>675</v>
      </c>
      <c r="K86" s="10">
        <f>IF(SUM(IF(IF('Model inputs'!B524="",0,1)="",0,IF('Model inputs'!B524="",0,1)),IF(IF('Model inputs'!B525="",0,1)="",0,IF('Model inputs'!B525="",0,1)),IF(IF('Model inputs'!B526="",0,1)="",0,IF('Model inputs'!B526="",0,1)),IF(IF('Model inputs'!B527="",0,1)="",0,IF('Model inputs'!B527="",0,1)),IF(IF('Model inputs'!B528="",0,1)="",0,IF('Model inputs'!B528="",0,1)))=0,"",SUM('Model inputs'!B524,'Model inputs'!B525,'Model inputs'!B526,'Model inputs'!B527,'Model inputs'!B528))</f>
        <v>675</v>
      </c>
      <c r="L86" s="10">
        <f>IF(SUM(IF(IF('Model inputs'!B529="",0,1)="",0,IF('Model inputs'!B529="",0,1)),IF(IF('Model inputs'!B530="",0,1)="",0,IF('Model inputs'!B530="",0,1)),IF(IF('Model inputs'!B531="",0,1)="",0,IF('Model inputs'!B531="",0,1)),IF(IF('Model inputs'!B532="",0,1)="",0,IF('Model inputs'!B532="",0,1)),IF(IF('Model inputs'!B533="",0,1)="",0,IF('Model inputs'!B533="",0,1)))=0,"",SUM('Model inputs'!B529,'Model inputs'!B530,'Model inputs'!B531,'Model inputs'!B532,'Model inputs'!B533))</f>
        <v>675</v>
      </c>
      <c r="M86" s="10">
        <f>IF(SUM(IF(IF('Model inputs'!B534="",0,1)="",0,IF('Model inputs'!B534="",0,1)),IF(IF('Model inputs'!B535="",0,1)="",0,IF('Model inputs'!B535="",0,1)),IF(IF('Model inputs'!B536="",0,1)="",0,IF('Model inputs'!B536="",0,1)),IF(IF('Model inputs'!B537="",0,1)="",0,IF('Model inputs'!B537="",0,1)),IF(IF('Model inputs'!B538="",0,1)="",0,IF('Model inputs'!B538="",0,1)))=0,"",SUM('Model inputs'!B534,'Model inputs'!B535,'Model inputs'!B536,'Model inputs'!B537,'Model inputs'!B538))</f>
        <v>675</v>
      </c>
    </row>
    <row r="87">
      <c r="A87" t="inlineStr" s="8">
        <is>
          <t xml:space="preserve">Plan Account support cost</t>
        </is>
      </c>
      <c r="B87" s="10">
        <f>IF(SUM(IF(IF('Model inputs'!B539="",0,1)="",0,IF('Model inputs'!B539="",0,1)),IF(IF('Model inputs'!B540="",0,1)="",0,IF('Model inputs'!B540="",0,1)),IF(IF('Model inputs'!B541="",0,1)="",0,IF('Model inputs'!B541="",0,1)),IF(IF('Model inputs'!B542="",0,1)="",0,IF('Model inputs'!B542="",0,1)),IF(IF('Model inputs'!B543="",0,1)="",0,IF('Model inputs'!B543="",0,1)))=0,"",SUM('Model inputs'!B539,'Model inputs'!B540,'Model inputs'!B541,'Model inputs'!B542,'Model inputs'!B543))</f>
        <v>150</v>
      </c>
      <c r="C87" s="10">
        <f>IF(SUM(IF(IF('Model inputs'!B544="",0,1)="",0,IF('Model inputs'!B544="",0,1)),IF(IF('Model inputs'!B545="",0,1)="",0,IF('Model inputs'!B545="",0,1)),IF(IF('Model inputs'!B546="",0,1)="",0,IF('Model inputs'!B546="",0,1)),IF(IF('Model inputs'!B547="",0,1)="",0,IF('Model inputs'!B547="",0,1)),IF(IF('Model inputs'!B548="",0,1)="",0,IF('Model inputs'!B548="",0,1)))=0,"",SUM('Model inputs'!B544,'Model inputs'!B545,'Model inputs'!B546,'Model inputs'!B547,'Model inputs'!B548))</f>
        <v>150</v>
      </c>
      <c r="D87" s="10">
        <f>IF(SUM(IF(IF('Model inputs'!B549="",0,1)="",0,IF('Model inputs'!B549="",0,1)),IF(IF('Model inputs'!B550="",0,1)="",0,IF('Model inputs'!B550="",0,1)),IF(IF('Model inputs'!B551="",0,1)="",0,IF('Model inputs'!B551="",0,1)),IF(IF('Model inputs'!B552="",0,1)="",0,IF('Model inputs'!B552="",0,1)),IF(IF('Model inputs'!B553="",0,1)="",0,IF('Model inputs'!B553="",0,1)))=0,"",SUM('Model inputs'!B549,'Model inputs'!B550,'Model inputs'!B551,'Model inputs'!B552,'Model inputs'!B553))</f>
        <v>150</v>
      </c>
      <c r="E87" s="10">
        <f>IF(SUM(IF(IF('Model inputs'!B554="",0,1)="",0,IF('Model inputs'!B554="",0,1)),IF(IF('Model inputs'!B555="",0,1)="",0,IF('Model inputs'!B555="",0,1)),IF(IF('Model inputs'!B556="",0,1)="",0,IF('Model inputs'!B556="",0,1)),IF(IF('Model inputs'!B557="",0,1)="",0,IF('Model inputs'!B557="",0,1)),IF(IF('Model inputs'!B558="",0,1)="",0,IF('Model inputs'!B558="",0,1)))=0,"",SUM('Model inputs'!B554,'Model inputs'!B555,'Model inputs'!B556,'Model inputs'!B557,'Model inputs'!B558))</f>
        <v>150</v>
      </c>
      <c r="F87" s="10">
        <f>IF(SUM(IF(IF('Model inputs'!B559="",0,1)="",0,IF('Model inputs'!B559="",0,1)),IF(IF('Model inputs'!B560="",0,1)="",0,IF('Model inputs'!B560="",0,1)),IF(IF('Model inputs'!B561="",0,1)="",0,IF('Model inputs'!B561="",0,1)),IF(IF('Model inputs'!B562="",0,1)="",0,IF('Model inputs'!B562="",0,1)),IF(IF('Model inputs'!B563="",0,1)="",0,IF('Model inputs'!B563="",0,1)))=0,"",SUM('Model inputs'!B559,'Model inputs'!B560,'Model inputs'!B561,'Model inputs'!B562,'Model inputs'!B563))</f>
        <v>150</v>
      </c>
      <c r="G87" s="10">
        <f>IF(SUM(IF(IF('Model inputs'!B564="",0,1)="",0,IF('Model inputs'!B564="",0,1)),IF(IF('Model inputs'!B565="",0,1)="",0,IF('Model inputs'!B565="",0,1)),IF(IF('Model inputs'!B566="",0,1)="",0,IF('Model inputs'!B566="",0,1)),IF(IF('Model inputs'!B567="",0,1)="",0,IF('Model inputs'!B567="",0,1)),IF(IF('Model inputs'!B568="",0,1)="",0,IF('Model inputs'!B568="",0,1)))=0,"",SUM('Model inputs'!B564,'Model inputs'!B565,'Model inputs'!B566,'Model inputs'!B567,'Model inputs'!B568))</f>
        <v>150</v>
      </c>
      <c r="H87" s="10">
        <f>IF(SUM(IF(IF('Model inputs'!B569="",0,1)="",0,IF('Model inputs'!B569="",0,1)),IF(IF('Model inputs'!B570="",0,1)="",0,IF('Model inputs'!B570="",0,1)),IF(IF('Model inputs'!B571="",0,1)="",0,IF('Model inputs'!B571="",0,1)),IF(IF('Model inputs'!B572="",0,1)="",0,IF('Model inputs'!B572="",0,1)),IF(IF('Model inputs'!B573="",0,1)="",0,IF('Model inputs'!B573="",0,1)))=0,"",SUM('Model inputs'!B569,'Model inputs'!B570,'Model inputs'!B571,'Model inputs'!B572,'Model inputs'!B573))</f>
        <v>150</v>
      </c>
      <c r="I87" s="10">
        <f>IF(SUM(IF(IF('Model inputs'!B574="",0,1)="",0,IF('Model inputs'!B574="",0,1)),IF(IF('Model inputs'!B575="",0,1)="",0,IF('Model inputs'!B575="",0,1)),IF(IF('Model inputs'!B576="",0,1)="",0,IF('Model inputs'!B576="",0,1)),IF(IF('Model inputs'!B577="",0,1)="",0,IF('Model inputs'!B577="",0,1)),IF(IF('Model inputs'!B578="",0,1)="",0,IF('Model inputs'!B578="",0,1)))=0,"",SUM('Model inputs'!B574,'Model inputs'!B575,'Model inputs'!B576,'Model inputs'!B577,'Model inputs'!B578))</f>
        <v>150</v>
      </c>
      <c r="J87" s="10">
        <f>IF(SUM(IF(IF('Model inputs'!B579="",0,1)="",0,IF('Model inputs'!B579="",0,1)),IF(IF('Model inputs'!B580="",0,1)="",0,IF('Model inputs'!B580="",0,1)),IF(IF('Model inputs'!B581="",0,1)="",0,IF('Model inputs'!B581="",0,1)),IF(IF('Model inputs'!B582="",0,1)="",0,IF('Model inputs'!B582="",0,1)),IF(IF('Model inputs'!B583="",0,1)="",0,IF('Model inputs'!B583="",0,1)))=0,"",SUM('Model inputs'!B579,'Model inputs'!B580,'Model inputs'!B581,'Model inputs'!B582,'Model inputs'!B583))</f>
        <v>150</v>
      </c>
      <c r="K87" s="10">
        <f>IF(SUM(IF(IF('Model inputs'!B584="",0,1)="",0,IF('Model inputs'!B584="",0,1)),IF(IF('Model inputs'!B585="",0,1)="",0,IF('Model inputs'!B585="",0,1)),IF(IF('Model inputs'!B586="",0,1)="",0,IF('Model inputs'!B586="",0,1)),IF(IF('Model inputs'!B587="",0,1)="",0,IF('Model inputs'!B587="",0,1)),IF(IF('Model inputs'!B588="",0,1)="",0,IF('Model inputs'!B588="",0,1)))=0,"",SUM('Model inputs'!B584,'Model inputs'!B585,'Model inputs'!B586,'Model inputs'!B587,'Model inputs'!B588))</f>
        <v>150</v>
      </c>
      <c r="L87" s="10">
        <f>IF(SUM(IF(IF('Model inputs'!B589="",0,1)="",0,IF('Model inputs'!B589="",0,1)),IF(IF('Model inputs'!B590="",0,1)="",0,IF('Model inputs'!B590="",0,1)),IF(IF('Model inputs'!B591="",0,1)="",0,IF('Model inputs'!B591="",0,1)),IF(IF('Model inputs'!B592="",0,1)="",0,IF('Model inputs'!B592="",0,1)),IF(IF('Model inputs'!B593="",0,1)="",0,IF('Model inputs'!B593="",0,1)))=0,"",SUM('Model inputs'!B589,'Model inputs'!B590,'Model inputs'!B591,'Model inputs'!B592,'Model inputs'!B593))</f>
        <v>150</v>
      </c>
      <c r="M87" s="10">
        <f>IF(SUM(IF(IF('Model inputs'!B594="",0,1)="",0,IF('Model inputs'!B594="",0,1)),IF(IF('Model inputs'!B595="",0,1)="",0,IF('Model inputs'!B595="",0,1)),IF(IF('Model inputs'!B596="",0,1)="",0,IF('Model inputs'!B596="",0,1)),IF(IF('Model inputs'!B597="",0,1)="",0,IF('Model inputs'!B597="",0,1)),IF(IF('Model inputs'!B598="",0,1)="",0,IF('Model inputs'!B598="",0,1)))=0,"",SUM('Model inputs'!B594,'Model inputs'!B595,'Model inputs'!B596,'Model inputs'!B597,'Model inputs'!B598))</f>
        <v>150</v>
      </c>
    </row>
    <row r="88">
      <c r="A88" t="inlineStr" s="8">
        <is>
          <t xml:space="preserve">Plan Contribution profit</t>
        </is>
      </c>
      <c r="B88" s="10">
        <f>IF(SUM(IF(IF('Model inputs'!B599="",0,1)="",0,IF('Model inputs'!B599="",0,1)),IF(IF('Model inputs'!B600="",0,1)="",0,IF('Model inputs'!B600="",0,1)),IF(IF('Model inputs'!B601="",0,1)="",0,IF('Model inputs'!B601="",0,1)),IF(IF('Model inputs'!B602="",0,1)="",0,IF('Model inputs'!B602="",0,1)),IF(IF('Model inputs'!B603="",0,1)="",0,IF('Model inputs'!B603="",0,1)))=0,"",SUM('Model inputs'!B599,'Model inputs'!B600,'Model inputs'!B601,'Model inputs'!B602,'Model inputs'!B603))</f>
        <v>20255.25</v>
      </c>
      <c r="C88" s="10">
        <f>IF(SUM(IF(IF('Model inputs'!B604="",0,1)="",0,IF('Model inputs'!B604="",0,1)),IF(IF('Model inputs'!B605="",0,1)="",0,IF('Model inputs'!B605="",0,1)),IF(IF('Model inputs'!B606="",0,1)="",0,IF('Model inputs'!B606="",0,1)),IF(IF('Model inputs'!B607="",0,1)="",0,IF('Model inputs'!B607="",0,1)),IF(IF('Model inputs'!B608="",0,1)="",0,IF('Model inputs'!B608="",0,1)))=0,"",SUM('Model inputs'!B604,'Model inputs'!B605,'Model inputs'!B606,'Model inputs'!B607,'Model inputs'!B608))</f>
        <v>20255.25</v>
      </c>
      <c r="D88" s="10">
        <f>IF(SUM(IF(IF('Model inputs'!B609="",0,1)="",0,IF('Model inputs'!B609="",0,1)),IF(IF('Model inputs'!B610="",0,1)="",0,IF('Model inputs'!B610="",0,1)),IF(IF('Model inputs'!B611="",0,1)="",0,IF('Model inputs'!B611="",0,1)),IF(IF('Model inputs'!B612="",0,1)="",0,IF('Model inputs'!B612="",0,1)),IF(IF('Model inputs'!B613="",0,1)="",0,IF('Model inputs'!B613="",0,1)))=0,"",SUM('Model inputs'!B609,'Model inputs'!B610,'Model inputs'!B611,'Model inputs'!B612,'Model inputs'!B613))</f>
        <v>20255.25</v>
      </c>
      <c r="E88" s="10">
        <f>IF(SUM(IF(IF('Model inputs'!B614="",0,1)="",0,IF('Model inputs'!B614="",0,1)),IF(IF('Model inputs'!B615="",0,1)="",0,IF('Model inputs'!B615="",0,1)),IF(IF('Model inputs'!B616="",0,1)="",0,IF('Model inputs'!B616="",0,1)),IF(IF('Model inputs'!B617="",0,1)="",0,IF('Model inputs'!B617="",0,1)),IF(IF('Model inputs'!B618="",0,1)="",0,IF('Model inputs'!B618="",0,1)))=0,"",SUM('Model inputs'!B614,'Model inputs'!B615,'Model inputs'!B616,'Model inputs'!B617,'Model inputs'!B618))</f>
        <v>20255.25</v>
      </c>
      <c r="F88" s="10">
        <f>IF(SUM(IF(IF('Model inputs'!B619="",0,1)="",0,IF('Model inputs'!B619="",0,1)),IF(IF('Model inputs'!B620="",0,1)="",0,IF('Model inputs'!B620="",0,1)),IF(IF('Model inputs'!B621="",0,1)="",0,IF('Model inputs'!B621="",0,1)),IF(IF('Model inputs'!B622="",0,1)="",0,IF('Model inputs'!B622="",0,1)),IF(IF('Model inputs'!B623="",0,1)="",0,IF('Model inputs'!B623="",0,1)))=0,"",SUM('Model inputs'!B619,'Model inputs'!B620,'Model inputs'!B621,'Model inputs'!B622,'Model inputs'!B623))</f>
        <v>20255.25</v>
      </c>
      <c r="G88" s="10">
        <f>IF(SUM(IF(IF('Model inputs'!B624="",0,1)="",0,IF('Model inputs'!B624="",0,1)),IF(IF('Model inputs'!B625="",0,1)="",0,IF('Model inputs'!B625="",0,1)),IF(IF('Model inputs'!B626="",0,1)="",0,IF('Model inputs'!B626="",0,1)),IF(IF('Model inputs'!B627="",0,1)="",0,IF('Model inputs'!B627="",0,1)),IF(IF('Model inputs'!B628="",0,1)="",0,IF('Model inputs'!B628="",0,1)))=0,"",SUM('Model inputs'!B624,'Model inputs'!B625,'Model inputs'!B626,'Model inputs'!B627,'Model inputs'!B628))</f>
        <v>20255.25</v>
      </c>
      <c r="H88" s="10">
        <f>IF(SUM(IF(IF('Model inputs'!B629="",0,1)="",0,IF('Model inputs'!B629="",0,1)),IF(IF('Model inputs'!B630="",0,1)="",0,IF('Model inputs'!B630="",0,1)),IF(IF('Model inputs'!B631="",0,1)="",0,IF('Model inputs'!B631="",0,1)),IF(IF('Model inputs'!B632="",0,1)="",0,IF('Model inputs'!B632="",0,1)),IF(IF('Model inputs'!B633="",0,1)="",0,IF('Model inputs'!B633="",0,1)))=0,"",SUM('Model inputs'!B629,'Model inputs'!B630,'Model inputs'!B631,'Model inputs'!B632,'Model inputs'!B633))</f>
        <v>20255.25</v>
      </c>
      <c r="I88" s="10">
        <f>IF(SUM(IF(IF('Model inputs'!B634="",0,1)="",0,IF('Model inputs'!B634="",0,1)),IF(IF('Model inputs'!B635="",0,1)="",0,IF('Model inputs'!B635="",0,1)),IF(IF('Model inputs'!B636="",0,1)="",0,IF('Model inputs'!B636="",0,1)),IF(IF('Model inputs'!B637="",0,1)="",0,IF('Model inputs'!B637="",0,1)),IF(IF('Model inputs'!B638="",0,1)="",0,IF('Model inputs'!B638="",0,1)))=0,"",SUM('Model inputs'!B634,'Model inputs'!B635,'Model inputs'!B636,'Model inputs'!B637,'Model inputs'!B638))</f>
        <v>20255.25</v>
      </c>
      <c r="J88" s="10">
        <f>IF(SUM(IF(IF('Model inputs'!B639="",0,1)="",0,IF('Model inputs'!B639="",0,1)),IF(IF('Model inputs'!B640="",0,1)="",0,IF('Model inputs'!B640="",0,1)),IF(IF('Model inputs'!B641="",0,1)="",0,IF('Model inputs'!B641="",0,1)),IF(IF('Model inputs'!B642="",0,1)="",0,IF('Model inputs'!B642="",0,1)),IF(IF('Model inputs'!B643="",0,1)="",0,IF('Model inputs'!B643="",0,1)))=0,"",SUM('Model inputs'!B639,'Model inputs'!B640,'Model inputs'!B641,'Model inputs'!B642,'Model inputs'!B643))</f>
        <v>20255.25</v>
      </c>
      <c r="K88" s="10">
        <f>IF(SUM(IF(IF('Model inputs'!B644="",0,1)="",0,IF('Model inputs'!B644="",0,1)),IF(IF('Model inputs'!B645="",0,1)="",0,IF('Model inputs'!B645="",0,1)),IF(IF('Model inputs'!B646="",0,1)="",0,IF('Model inputs'!B646="",0,1)),IF(IF('Model inputs'!B647="",0,1)="",0,IF('Model inputs'!B647="",0,1)),IF(IF('Model inputs'!B648="",0,1)="",0,IF('Model inputs'!B648="",0,1)))=0,"",SUM('Model inputs'!B644,'Model inputs'!B645,'Model inputs'!B646,'Model inputs'!B647,'Model inputs'!B648))</f>
        <v>20255.25</v>
      </c>
      <c r="L88" s="10">
        <f>IF(SUM(IF(IF('Model inputs'!B649="",0,1)="",0,IF('Model inputs'!B649="",0,1)),IF(IF('Model inputs'!B650="",0,1)="",0,IF('Model inputs'!B650="",0,1)),IF(IF('Model inputs'!B651="",0,1)="",0,IF('Model inputs'!B651="",0,1)),IF(IF('Model inputs'!B652="",0,1)="",0,IF('Model inputs'!B652="",0,1)),IF(IF('Model inputs'!B653="",0,1)="",0,IF('Model inputs'!B653="",0,1)))=0,"",SUM('Model inputs'!B649,'Model inputs'!B650,'Model inputs'!B651,'Model inputs'!B652,'Model inputs'!B653))</f>
        <v>20255.25</v>
      </c>
      <c r="M88" s="10">
        <f>IF(SUM(IF(IF('Model inputs'!B654="",0,1)="",0,IF('Model inputs'!B654="",0,1)),IF(IF('Model inputs'!B655="",0,1)="",0,IF('Model inputs'!B655="",0,1)),IF(IF('Model inputs'!B656="",0,1)="",0,IF('Model inputs'!B656="",0,1)),IF(IF('Model inputs'!B657="",0,1)="",0,IF('Model inputs'!B657="",0,1)),IF(IF('Model inputs'!B658="",0,1)="",0,IF('Model inputs'!B658="",0,1)))=0,"",SUM('Model inputs'!B654,'Model inputs'!B655,'Model inputs'!B656,'Model inputs'!B657,'Model inputs'!B658))</f>
        <v>20255.25</v>
      </c>
    </row>
    <row r="89">
      <c r="A89" t="inlineStr" s="8">
        <is>
          <t xml:space="preserve">Plan Operating profit</t>
        </is>
      </c>
      <c r="B89" s="10">
        <f>IF(SUM(IF(IF('Model inputs'!B659="",0,1)="",0,IF('Model inputs'!B659="",0,1)),IF(IF('Model inputs'!B660="",0,1)="",0,IF('Model inputs'!B660="",0,1)),IF(IF('Model inputs'!B661="",0,1)="",0,IF('Model inputs'!B661="",0,1)),IF(IF('Model inputs'!B662="",0,1)="",0,IF('Model inputs'!B662="",0,1)),IF(IF('Model inputs'!B663="",0,1)="",0,IF('Model inputs'!B663="",0,1)))=0,"",SUM('Model inputs'!B659,'Model inputs'!B660,'Model inputs'!B661,'Model inputs'!B662,'Model inputs'!B663))</f>
        <v>19505.25</v>
      </c>
      <c r="C89" s="10">
        <f>IF(SUM(IF(IF('Model inputs'!B664="",0,1)="",0,IF('Model inputs'!B664="",0,1)),IF(IF('Model inputs'!B665="",0,1)="",0,IF('Model inputs'!B665="",0,1)),IF(IF('Model inputs'!B666="",0,1)="",0,IF('Model inputs'!B666="",0,1)),IF(IF('Model inputs'!B667="",0,1)="",0,IF('Model inputs'!B667="",0,1)),IF(IF('Model inputs'!B668="",0,1)="",0,IF('Model inputs'!B668="",0,1)))=0,"",SUM('Model inputs'!B664,'Model inputs'!B665,'Model inputs'!B666,'Model inputs'!B667,'Model inputs'!B668))</f>
        <v>19505.25</v>
      </c>
      <c r="D89" s="10">
        <f>IF(SUM(IF(IF('Model inputs'!B669="",0,1)="",0,IF('Model inputs'!B669="",0,1)),IF(IF('Model inputs'!B670="",0,1)="",0,IF('Model inputs'!B670="",0,1)),IF(IF('Model inputs'!B671="",0,1)="",0,IF('Model inputs'!B671="",0,1)),IF(IF('Model inputs'!B672="",0,1)="",0,IF('Model inputs'!B672="",0,1)),IF(IF('Model inputs'!B673="",0,1)="",0,IF('Model inputs'!B673="",0,1)))=0,"",SUM('Model inputs'!B669,'Model inputs'!B670,'Model inputs'!B671,'Model inputs'!B672,'Model inputs'!B673))</f>
        <v>19505.25</v>
      </c>
      <c r="E89" s="10">
        <f>IF(SUM(IF(IF('Model inputs'!B674="",0,1)="",0,IF('Model inputs'!B674="",0,1)),IF(IF('Model inputs'!B675="",0,1)="",0,IF('Model inputs'!B675="",0,1)),IF(IF('Model inputs'!B676="",0,1)="",0,IF('Model inputs'!B676="",0,1)),IF(IF('Model inputs'!B677="",0,1)="",0,IF('Model inputs'!B677="",0,1)),IF(IF('Model inputs'!B678="",0,1)="",0,IF('Model inputs'!B678="",0,1)))=0,"",SUM('Model inputs'!B674,'Model inputs'!B675,'Model inputs'!B676,'Model inputs'!B677,'Model inputs'!B678))</f>
        <v>19505.25</v>
      </c>
      <c r="F89" s="10">
        <f>IF(SUM(IF(IF('Model inputs'!B679="",0,1)="",0,IF('Model inputs'!B679="",0,1)),IF(IF('Model inputs'!B680="",0,1)="",0,IF('Model inputs'!B680="",0,1)),IF(IF('Model inputs'!B681="",0,1)="",0,IF('Model inputs'!B681="",0,1)),IF(IF('Model inputs'!B682="",0,1)="",0,IF('Model inputs'!B682="",0,1)),IF(IF('Model inputs'!B683="",0,1)="",0,IF('Model inputs'!B683="",0,1)))=0,"",SUM('Model inputs'!B679,'Model inputs'!B680,'Model inputs'!B681,'Model inputs'!B682,'Model inputs'!B683))</f>
        <v>19505.25</v>
      </c>
      <c r="G89" s="10">
        <f>IF(SUM(IF(IF('Model inputs'!B684="",0,1)="",0,IF('Model inputs'!B684="",0,1)),IF(IF('Model inputs'!B685="",0,1)="",0,IF('Model inputs'!B685="",0,1)),IF(IF('Model inputs'!B686="",0,1)="",0,IF('Model inputs'!B686="",0,1)),IF(IF('Model inputs'!B687="",0,1)="",0,IF('Model inputs'!B687="",0,1)),IF(IF('Model inputs'!B688="",0,1)="",0,IF('Model inputs'!B688="",0,1)))=0,"",SUM('Model inputs'!B684,'Model inputs'!B685,'Model inputs'!B686,'Model inputs'!B687,'Model inputs'!B688))</f>
        <v>19005.25</v>
      </c>
      <c r="H89" s="10">
        <f>IF(SUM(IF(IF('Model inputs'!B689="",0,1)="",0,IF('Model inputs'!B689="",0,1)),IF(IF('Model inputs'!B690="",0,1)="",0,IF('Model inputs'!B690="",0,1)),IF(IF('Model inputs'!B691="",0,1)="",0,IF('Model inputs'!B691="",0,1)),IF(IF('Model inputs'!B692="",0,1)="",0,IF('Model inputs'!B692="",0,1)),IF(IF('Model inputs'!B693="",0,1)="",0,IF('Model inputs'!B693="",0,1)))=0,"",SUM('Model inputs'!B689,'Model inputs'!B690,'Model inputs'!B691,'Model inputs'!B692,'Model inputs'!B693))</f>
        <v>19005.25</v>
      </c>
      <c r="I89" s="10">
        <f>IF(SUM(IF(IF('Model inputs'!B694="",0,1)="",0,IF('Model inputs'!B694="",0,1)),IF(IF('Model inputs'!B695="",0,1)="",0,IF('Model inputs'!B695="",0,1)),IF(IF('Model inputs'!B696="",0,1)="",0,IF('Model inputs'!B696="",0,1)),IF(IF('Model inputs'!B697="",0,1)="",0,IF('Model inputs'!B697="",0,1)),IF(IF('Model inputs'!B698="",0,1)="",0,IF('Model inputs'!B698="",0,1)))=0,"",SUM('Model inputs'!B694,'Model inputs'!B695,'Model inputs'!B696,'Model inputs'!B697,'Model inputs'!B698))</f>
        <v>19005.25</v>
      </c>
      <c r="J89" s="10">
        <f>IF(SUM(IF(IF('Model inputs'!B699="",0,1)="",0,IF('Model inputs'!B699="",0,1)),IF(IF('Model inputs'!B700="",0,1)="",0,IF('Model inputs'!B700="",0,1)),IF(IF('Model inputs'!B701="",0,1)="",0,IF('Model inputs'!B701="",0,1)),IF(IF('Model inputs'!B702="",0,1)="",0,IF('Model inputs'!B702="",0,1)),IF(IF('Model inputs'!B703="",0,1)="",0,IF('Model inputs'!B703="",0,1)))=0,"",SUM('Model inputs'!B699,'Model inputs'!B700,'Model inputs'!B701,'Model inputs'!B702,'Model inputs'!B703))</f>
        <v>19005.25</v>
      </c>
      <c r="K89" s="10">
        <f>IF(SUM(IF(IF('Model inputs'!B704="",0,1)="",0,IF('Model inputs'!B704="",0,1)),IF(IF('Model inputs'!B705="",0,1)="",0,IF('Model inputs'!B705="",0,1)),IF(IF('Model inputs'!B706="",0,1)="",0,IF('Model inputs'!B706="",0,1)),IF(IF('Model inputs'!B707="",0,1)="",0,IF('Model inputs'!B707="",0,1)),IF(IF('Model inputs'!B708="",0,1)="",0,IF('Model inputs'!B708="",0,1)))=0,"",SUM('Model inputs'!B704,'Model inputs'!B705,'Model inputs'!B706,'Model inputs'!B707,'Model inputs'!B708))</f>
        <v>19005.25</v>
      </c>
      <c r="L89" s="10">
        <f>IF(SUM(IF(IF('Model inputs'!B709="",0,1)="",0,IF('Model inputs'!B709="",0,1)),IF(IF('Model inputs'!B710="",0,1)="",0,IF('Model inputs'!B710="",0,1)),IF(IF('Model inputs'!B711="",0,1)="",0,IF('Model inputs'!B711="",0,1)),IF(IF('Model inputs'!B712="",0,1)="",0,IF('Model inputs'!B712="",0,1)),IF(IF('Model inputs'!B713="",0,1)="",0,IF('Model inputs'!B713="",0,1)))=0,"",SUM('Model inputs'!B709,'Model inputs'!B710,'Model inputs'!B711,'Model inputs'!B712,'Model inputs'!B713))</f>
        <v>19005.25</v>
      </c>
      <c r="M89" s="10">
        <f>IF(SUM(IF(IF('Model inputs'!B714="",0,1)="",0,IF('Model inputs'!B714="",0,1)),IF(IF('Model inputs'!B715="",0,1)="",0,IF('Model inputs'!B715="",0,1)),IF(IF('Model inputs'!B716="",0,1)="",0,IF('Model inputs'!B716="",0,1)),IF(IF('Model inputs'!B717="",0,1)="",0,IF('Model inputs'!B717="",0,1)),IF(IF('Model inputs'!B718="",0,1)="",0,IF('Model inputs'!B718="",0,1)))=0,"",SUM('Model inputs'!B714,'Model inputs'!B715,'Model inputs'!B716,'Model inputs'!B717,'Model inputs'!B718))</f>
        <v>19005.25</v>
      </c>
    </row>
    <row r="90">
      <c r="A90" t="inlineStr" s="8">
        <is>
          <t xml:space="preserve">Plan Net cash burn</t>
        </is>
      </c>
      <c r="B90" s="10">
        <f>IF(SUM(IF(IF('Model inputs'!B719="",0,1)="",0,IF('Model inputs'!B719="",0,1)),IF(IF('Model inputs'!B720="",0,1)="",0,IF('Model inputs'!B720="",0,1)),IF(IF('Model inputs'!B721="",0,1)="",0,IF('Model inputs'!B721="",0,1)),IF(IF('Model inputs'!B722="",0,1)="",0,IF('Model inputs'!B722="",0,1)),IF(IF('Model inputs'!B723="",0,1)="",0,IF('Model inputs'!B723="",0,1)))=0,"",SUM('Model inputs'!B719,'Model inputs'!B720,'Model inputs'!B721,'Model inputs'!B722,'Model inputs'!B723))</f>
        <v>-19505.25</v>
      </c>
      <c r="C90" s="10">
        <f>IF(SUM(IF(IF('Model inputs'!B724="",0,1)="",0,IF('Model inputs'!B724="",0,1)),IF(IF('Model inputs'!B725="",0,1)="",0,IF('Model inputs'!B725="",0,1)),IF(IF('Model inputs'!B726="",0,1)="",0,IF('Model inputs'!B726="",0,1)),IF(IF('Model inputs'!B727="",0,1)="",0,IF('Model inputs'!B727="",0,1)),IF(IF('Model inputs'!B728="",0,1)="",0,IF('Model inputs'!B728="",0,1)))=0,"",SUM('Model inputs'!B724,'Model inputs'!B725,'Model inputs'!B726,'Model inputs'!B727,'Model inputs'!B728))</f>
        <v>-19505.25</v>
      </c>
      <c r="D90" s="10">
        <f>IF(SUM(IF(IF('Model inputs'!B729="",0,1)="",0,IF('Model inputs'!B729="",0,1)),IF(IF('Model inputs'!B730="",0,1)="",0,IF('Model inputs'!B730="",0,1)),IF(IF('Model inputs'!B731="",0,1)="",0,IF('Model inputs'!B731="",0,1)),IF(IF('Model inputs'!B732="",0,1)="",0,IF('Model inputs'!B732="",0,1)),IF(IF('Model inputs'!B733="",0,1)="",0,IF('Model inputs'!B733="",0,1)))=0,"",SUM('Model inputs'!B729,'Model inputs'!B730,'Model inputs'!B731,'Model inputs'!B732,'Model inputs'!B733))</f>
        <v>-19505.25</v>
      </c>
      <c r="E90" s="10">
        <f>IF(SUM(IF(IF('Model inputs'!B734="",0,1)="",0,IF('Model inputs'!B734="",0,1)),IF(IF('Model inputs'!B735="",0,1)="",0,IF('Model inputs'!B735="",0,1)),IF(IF('Model inputs'!B736="",0,1)="",0,IF('Model inputs'!B736="",0,1)),IF(IF('Model inputs'!B737="",0,1)="",0,IF('Model inputs'!B737="",0,1)),IF(IF('Model inputs'!B738="",0,1)="",0,IF('Model inputs'!B738="",0,1)))=0,"",SUM('Model inputs'!B734,'Model inputs'!B735,'Model inputs'!B736,'Model inputs'!B737,'Model inputs'!B738))</f>
        <v>-19505.25</v>
      </c>
      <c r="F90" s="10">
        <f>IF(SUM(IF(IF('Model inputs'!B739="",0,1)="",0,IF('Model inputs'!B739="",0,1)),IF(IF('Model inputs'!B740="",0,1)="",0,IF('Model inputs'!B740="",0,1)),IF(IF('Model inputs'!B741="",0,1)="",0,IF('Model inputs'!B741="",0,1)),IF(IF('Model inputs'!B742="",0,1)="",0,IF('Model inputs'!B742="",0,1)),IF(IF('Model inputs'!B743="",0,1)="",0,IF('Model inputs'!B743="",0,1)))=0,"",SUM('Model inputs'!B739,'Model inputs'!B740,'Model inputs'!B741,'Model inputs'!B742,'Model inputs'!B743))</f>
        <v>-19505.25</v>
      </c>
      <c r="G90" s="10">
        <f>IF(SUM(IF(IF('Model inputs'!B744="",0,1)="",0,IF('Model inputs'!B744="",0,1)),IF(IF('Model inputs'!B745="",0,1)="",0,IF('Model inputs'!B745="",0,1)),IF(IF('Model inputs'!B746="",0,1)="",0,IF('Model inputs'!B746="",0,1)),IF(IF('Model inputs'!B747="",0,1)="",0,IF('Model inputs'!B747="",0,1)),IF(IF('Model inputs'!B748="",0,1)="",0,IF('Model inputs'!B748="",0,1)))=0,"",SUM('Model inputs'!B744,'Model inputs'!B745,'Model inputs'!B746,'Model inputs'!B747,'Model inputs'!B748))</f>
        <v>-19005.25</v>
      </c>
      <c r="H90" s="10">
        <f>IF(SUM(IF(IF('Model inputs'!B749="",0,1)="",0,IF('Model inputs'!B749="",0,1)),IF(IF('Model inputs'!B750="",0,1)="",0,IF('Model inputs'!B750="",0,1)),IF(IF('Model inputs'!B751="",0,1)="",0,IF('Model inputs'!B751="",0,1)),IF(IF('Model inputs'!B752="",0,1)="",0,IF('Model inputs'!B752="",0,1)),IF(IF('Model inputs'!B753="",0,1)="",0,IF('Model inputs'!B753="",0,1)))=0,"",SUM('Model inputs'!B749,'Model inputs'!B750,'Model inputs'!B751,'Model inputs'!B752,'Model inputs'!B753))</f>
        <v>-19005.25</v>
      </c>
      <c r="I90" s="10">
        <f>IF(SUM(IF(IF('Model inputs'!B754="",0,1)="",0,IF('Model inputs'!B754="",0,1)),IF(IF('Model inputs'!B755="",0,1)="",0,IF('Model inputs'!B755="",0,1)),IF(IF('Model inputs'!B756="",0,1)="",0,IF('Model inputs'!B756="",0,1)),IF(IF('Model inputs'!B757="",0,1)="",0,IF('Model inputs'!B757="",0,1)),IF(IF('Model inputs'!B758="",0,1)="",0,IF('Model inputs'!B758="",0,1)))=0,"",SUM('Model inputs'!B754,'Model inputs'!B755,'Model inputs'!B756,'Model inputs'!B757,'Model inputs'!B758))</f>
        <v>-19005.25</v>
      </c>
      <c r="J90" s="10">
        <f>IF(SUM(IF(IF('Model inputs'!B759="",0,1)="",0,IF('Model inputs'!B759="",0,1)),IF(IF('Model inputs'!B760="",0,1)="",0,IF('Model inputs'!B760="",0,1)),IF(IF('Model inputs'!B761="",0,1)="",0,IF('Model inputs'!B761="",0,1)),IF(IF('Model inputs'!B762="",0,1)="",0,IF('Model inputs'!B762="",0,1)),IF(IF('Model inputs'!B763="",0,1)="",0,IF('Model inputs'!B763="",0,1)))=0,"",SUM('Model inputs'!B759,'Model inputs'!B760,'Model inputs'!B761,'Model inputs'!B762,'Model inputs'!B763))</f>
        <v>-19005.25</v>
      </c>
      <c r="K90" s="10">
        <f>IF(SUM(IF(IF('Model inputs'!B764="",0,1)="",0,IF('Model inputs'!B764="",0,1)),IF(IF('Model inputs'!B765="",0,1)="",0,IF('Model inputs'!B765="",0,1)),IF(IF('Model inputs'!B766="",0,1)="",0,IF('Model inputs'!B766="",0,1)),IF(IF('Model inputs'!B767="",0,1)="",0,IF('Model inputs'!B767="",0,1)),IF(IF('Model inputs'!B768="",0,1)="",0,IF('Model inputs'!B768="",0,1)))=0,"",SUM('Model inputs'!B764,'Model inputs'!B765,'Model inputs'!B766,'Model inputs'!B767,'Model inputs'!B768))</f>
        <v>-19005.25</v>
      </c>
      <c r="L90" s="10">
        <f>IF(SUM(IF(IF('Model inputs'!B769="",0,1)="",0,IF('Model inputs'!B769="",0,1)),IF(IF('Model inputs'!B770="",0,1)="",0,IF('Model inputs'!B770="",0,1)),IF(IF('Model inputs'!B771="",0,1)="",0,IF('Model inputs'!B771="",0,1)),IF(IF('Model inputs'!B772="",0,1)="",0,IF('Model inputs'!B772="",0,1)),IF(IF('Model inputs'!B773="",0,1)="",0,IF('Model inputs'!B773="",0,1)))=0,"",SUM('Model inputs'!B769,'Model inputs'!B770,'Model inputs'!B771,'Model inputs'!B772,'Model inputs'!B773))</f>
        <v>-19005.25</v>
      </c>
      <c r="M90" s="10">
        <f>IF(SUM(IF(IF('Model inputs'!B774="",0,1)="",0,IF('Model inputs'!B774="",0,1)),IF(IF('Model inputs'!B775="",0,1)="",0,IF('Model inputs'!B775="",0,1)),IF(IF('Model inputs'!B776="",0,1)="",0,IF('Model inputs'!B776="",0,1)),IF(IF('Model inputs'!B777="",0,1)="",0,IF('Model inputs'!B777="",0,1)),IF(IF('Model inputs'!B778="",0,1)="",0,IF('Model inputs'!B778="",0,1)))=0,"",SUM('Model inputs'!B774,'Model inputs'!B775,'Model inputs'!B776,'Model inputs'!B777,'Model inputs'!B778))</f>
        <v>-19005.25</v>
      </c>
    </row>
    <row r="91">
      <c r="A91" t="inlineStr" s="8">
        <is>
          <t xml:space="preserve">Plan Gross margin by pricing</t>
        </is>
      </c>
      <c r="B91" s="14">
        <f>IF(SUM(IF(IF('Model inputs'!B779="",0,1)="",0,IF('Model inputs'!B779="",0,1)),IF(IF('Model inputs'!B780="",0,1)="",0,IF('Model inputs'!B780="",0,1)),IF(IF('Model inputs'!B781="",0,1)="",0,IF('Model inputs'!B781="",0,1)),IF(IF('Model inputs'!B782="",0,1)="",0,IF('Model inputs'!B782="",0,1)),IF(IF('Model inputs'!B783="",0,1)="",0,IF('Model inputs'!B783="",0,1)))=0,"",SUM('Model inputs'!B779,'Model inputs'!B780,'Model inputs'!B781,'Model inputs'!B782,'Model inputs'!B783))</f>
        <v>0.9369</v>
      </c>
      <c r="C91" s="14">
        <f>IF(SUM(IF(IF('Model inputs'!B784="",0,1)="",0,IF('Model inputs'!B784="",0,1)),IF(IF('Model inputs'!B785="",0,1)="",0,IF('Model inputs'!B785="",0,1)),IF(IF('Model inputs'!B786="",0,1)="",0,IF('Model inputs'!B786="",0,1)),IF(IF('Model inputs'!B787="",0,1)="",0,IF('Model inputs'!B787="",0,1)),IF(IF('Model inputs'!B788="",0,1)="",0,IF('Model inputs'!B788="",0,1)))=0,"",SUM('Model inputs'!B784,'Model inputs'!B785,'Model inputs'!B786,'Model inputs'!B787,'Model inputs'!B788))</f>
        <v>0.9369</v>
      </c>
      <c r="D91" s="14">
        <f>IF(SUM(IF(IF('Model inputs'!B789="",0,1)="",0,IF('Model inputs'!B789="",0,1)),IF(IF('Model inputs'!B790="",0,1)="",0,IF('Model inputs'!B790="",0,1)),IF(IF('Model inputs'!B791="",0,1)="",0,IF('Model inputs'!B791="",0,1)),IF(IF('Model inputs'!B792="",0,1)="",0,IF('Model inputs'!B792="",0,1)),IF(IF('Model inputs'!B793="",0,1)="",0,IF('Model inputs'!B793="",0,1)))=0,"",SUM('Model inputs'!B789,'Model inputs'!B790,'Model inputs'!B791,'Model inputs'!B792,'Model inputs'!B793))</f>
        <v>0.9369</v>
      </c>
      <c r="E91" s="14">
        <f>IF(SUM(IF(IF('Model inputs'!B794="",0,1)="",0,IF('Model inputs'!B794="",0,1)),IF(IF('Model inputs'!B795="",0,1)="",0,IF('Model inputs'!B795="",0,1)),IF(IF('Model inputs'!B796="",0,1)="",0,IF('Model inputs'!B796="",0,1)),IF(IF('Model inputs'!B797="",0,1)="",0,IF('Model inputs'!B797="",0,1)),IF(IF('Model inputs'!B798="",0,1)="",0,IF('Model inputs'!B798="",0,1)))=0,"",SUM('Model inputs'!B794,'Model inputs'!B795,'Model inputs'!B796,'Model inputs'!B797,'Model inputs'!B798))</f>
        <v>0.9369</v>
      </c>
      <c r="F91" s="14">
        <f>IF(SUM(IF(IF('Model inputs'!B799="",0,1)="",0,IF('Model inputs'!B799="",0,1)),IF(IF('Model inputs'!B800="",0,1)="",0,IF('Model inputs'!B800="",0,1)),IF(IF('Model inputs'!B801="",0,1)="",0,IF('Model inputs'!B801="",0,1)),IF(IF('Model inputs'!B802="",0,1)="",0,IF('Model inputs'!B802="",0,1)),IF(IF('Model inputs'!B803="",0,1)="",0,IF('Model inputs'!B803="",0,1)))=0,"",SUM('Model inputs'!B799,'Model inputs'!B800,'Model inputs'!B801,'Model inputs'!B802,'Model inputs'!B803))</f>
        <v>0.9369</v>
      </c>
      <c r="G91" s="14">
        <f>IF(SUM(IF(IF('Model inputs'!B804="",0,1)="",0,IF('Model inputs'!B804="",0,1)),IF(IF('Model inputs'!B805="",0,1)="",0,IF('Model inputs'!B805="",0,1)),IF(IF('Model inputs'!B806="",0,1)="",0,IF('Model inputs'!B806="",0,1)),IF(IF('Model inputs'!B807="",0,1)="",0,IF('Model inputs'!B807="",0,1)),IF(IF('Model inputs'!B808="",0,1)="",0,IF('Model inputs'!B808="",0,1)))=0,"",SUM('Model inputs'!B804,'Model inputs'!B805,'Model inputs'!B806,'Model inputs'!B807,'Model inputs'!B808))</f>
        <v>0.9369</v>
      </c>
      <c r="H91" s="14">
        <f>IF(SUM(IF(IF('Model inputs'!B809="",0,1)="",0,IF('Model inputs'!B809="",0,1)),IF(IF('Model inputs'!B810="",0,1)="",0,IF('Model inputs'!B810="",0,1)),IF(IF('Model inputs'!B811="",0,1)="",0,IF('Model inputs'!B811="",0,1)),IF(IF('Model inputs'!B812="",0,1)="",0,IF('Model inputs'!B812="",0,1)),IF(IF('Model inputs'!B813="",0,1)="",0,IF('Model inputs'!B813="",0,1)))=0,"",SUM('Model inputs'!B809,'Model inputs'!B810,'Model inputs'!B811,'Model inputs'!B812,'Model inputs'!B813))</f>
        <v>0.9369</v>
      </c>
      <c r="I91" s="14">
        <f>IF(SUM(IF(IF('Model inputs'!B814="",0,1)="",0,IF('Model inputs'!B814="",0,1)),IF(IF('Model inputs'!B815="",0,1)="",0,IF('Model inputs'!B815="",0,1)),IF(IF('Model inputs'!B816="",0,1)="",0,IF('Model inputs'!B816="",0,1)),IF(IF('Model inputs'!B817="",0,1)="",0,IF('Model inputs'!B817="",0,1)),IF(IF('Model inputs'!B818="",0,1)="",0,IF('Model inputs'!B818="",0,1)))=0,"",SUM('Model inputs'!B814,'Model inputs'!B815,'Model inputs'!B816,'Model inputs'!B817,'Model inputs'!B818))</f>
        <v>0.9369</v>
      </c>
      <c r="J91" s="14">
        <f>IF(SUM(IF(IF('Model inputs'!B819="",0,1)="",0,IF('Model inputs'!B819="",0,1)),IF(IF('Model inputs'!B820="",0,1)="",0,IF('Model inputs'!B820="",0,1)),IF(IF('Model inputs'!B821="",0,1)="",0,IF('Model inputs'!B821="",0,1)),IF(IF('Model inputs'!B822="",0,1)="",0,IF('Model inputs'!B822="",0,1)),IF(IF('Model inputs'!B823="",0,1)="",0,IF('Model inputs'!B823="",0,1)))=0,"",SUM('Model inputs'!B819,'Model inputs'!B820,'Model inputs'!B821,'Model inputs'!B822,'Model inputs'!B823))</f>
        <v>0.9369</v>
      </c>
      <c r="K91" s="14">
        <f>IF(SUM(IF(IF('Model inputs'!B824="",0,1)="",0,IF('Model inputs'!B824="",0,1)),IF(IF('Model inputs'!B825="",0,1)="",0,IF('Model inputs'!B825="",0,1)),IF(IF('Model inputs'!B826="",0,1)="",0,IF('Model inputs'!B826="",0,1)),IF(IF('Model inputs'!B827="",0,1)="",0,IF('Model inputs'!B827="",0,1)),IF(IF('Model inputs'!B828="",0,1)="",0,IF('Model inputs'!B828="",0,1)))=0,"",SUM('Model inputs'!B824,'Model inputs'!B825,'Model inputs'!B826,'Model inputs'!B827,'Model inputs'!B828))</f>
        <v>0.9369</v>
      </c>
      <c r="L91" s="14">
        <f>IF(SUM(IF(IF('Model inputs'!B829="",0,1)="",0,IF('Model inputs'!B829="",0,1)),IF(IF('Model inputs'!B830="",0,1)="",0,IF('Model inputs'!B830="",0,1)),IF(IF('Model inputs'!B831="",0,1)="",0,IF('Model inputs'!B831="",0,1)),IF(IF('Model inputs'!B832="",0,1)="",0,IF('Model inputs'!B832="",0,1)),IF(IF('Model inputs'!B833="",0,1)="",0,IF('Model inputs'!B833="",0,1)))=0,"",SUM('Model inputs'!B829,'Model inputs'!B830,'Model inputs'!B831,'Model inputs'!B832,'Model inputs'!B833))</f>
        <v>0.9369</v>
      </c>
      <c r="M91" s="14">
        <f>IF(SUM(IF(IF('Model inputs'!B834="",0,1)="",0,IF('Model inputs'!B834="",0,1)),IF(IF('Model inputs'!B835="",0,1)="",0,IF('Model inputs'!B835="",0,1)),IF(IF('Model inputs'!B836="",0,1)="",0,IF('Model inputs'!B836="",0,1)),IF(IF('Model inputs'!B837="",0,1)="",0,IF('Model inputs'!B837="",0,1)),IF(IF('Model inputs'!B838="",0,1)="",0,IF('Model inputs'!B838="",0,1)))=0,"",SUM('Model inputs'!B834,'Model inputs'!B835,'Model inputs'!B836,'Model inputs'!B837,'Model inputs'!B838))</f>
        <v>0.9369</v>
      </c>
    </row>
    <row r="92">
      <c r="A92" t="inlineStr" s="8">
        <is>
          <t xml:space="preserve">Plan Contribution margin by pricing</t>
        </is>
      </c>
      <c r="B92" s="14">
        <f>IF(SUM(IF(IF('Model inputs'!B839="",0,1)="",0,IF('Model inputs'!B839="",0,1)),IF(IF('Model inputs'!B840="",0,1)="",0,IF('Model inputs'!B840="",0,1)),IF(IF('Model inputs'!B841="",0,1)="",0,IF('Model inputs'!B841="",0,1)),IF(IF('Model inputs'!B842="",0,1)="",0,IF('Model inputs'!B842="",0,1)),IF(IF('Model inputs'!B843="",0,1)="",0,IF('Model inputs'!B843="",0,1)))=0,"",SUM('Model inputs'!B839,'Model inputs'!B840,'Model inputs'!B841,'Model inputs'!B842,'Model inputs'!B843))</f>
        <v>0.9002333333333333</v>
      </c>
      <c r="C92" s="14">
        <f>IF(SUM(IF(IF('Model inputs'!B844="",0,1)="",0,IF('Model inputs'!B844="",0,1)),IF(IF('Model inputs'!B845="",0,1)="",0,IF('Model inputs'!B845="",0,1)),IF(IF('Model inputs'!B846="",0,1)="",0,IF('Model inputs'!B846="",0,1)),IF(IF('Model inputs'!B847="",0,1)="",0,IF('Model inputs'!B847="",0,1)),IF(IF('Model inputs'!B848="",0,1)="",0,IF('Model inputs'!B848="",0,1)))=0,"",SUM('Model inputs'!B844,'Model inputs'!B845,'Model inputs'!B846,'Model inputs'!B847,'Model inputs'!B848))</f>
        <v>0.9002333333333333</v>
      </c>
      <c r="D92" s="14">
        <f>IF(SUM(IF(IF('Model inputs'!B849="",0,1)="",0,IF('Model inputs'!B849="",0,1)),IF(IF('Model inputs'!B850="",0,1)="",0,IF('Model inputs'!B850="",0,1)),IF(IF('Model inputs'!B851="",0,1)="",0,IF('Model inputs'!B851="",0,1)),IF(IF('Model inputs'!B852="",0,1)="",0,IF('Model inputs'!B852="",0,1)),IF(IF('Model inputs'!B853="",0,1)="",0,IF('Model inputs'!B853="",0,1)))=0,"",SUM('Model inputs'!B849,'Model inputs'!B850,'Model inputs'!B851,'Model inputs'!B852,'Model inputs'!B853))</f>
        <v>0.9002333333333333</v>
      </c>
      <c r="E92" s="14">
        <f>IF(SUM(IF(IF('Model inputs'!B854="",0,1)="",0,IF('Model inputs'!B854="",0,1)),IF(IF('Model inputs'!B855="",0,1)="",0,IF('Model inputs'!B855="",0,1)),IF(IF('Model inputs'!B856="",0,1)="",0,IF('Model inputs'!B856="",0,1)),IF(IF('Model inputs'!B857="",0,1)="",0,IF('Model inputs'!B857="",0,1)),IF(IF('Model inputs'!B858="",0,1)="",0,IF('Model inputs'!B858="",0,1)))=0,"",SUM('Model inputs'!B854,'Model inputs'!B855,'Model inputs'!B856,'Model inputs'!B857,'Model inputs'!B858))</f>
        <v>0.9002333333333333</v>
      </c>
      <c r="F92" s="14">
        <f>IF(SUM(IF(IF('Model inputs'!B859="",0,1)="",0,IF('Model inputs'!B859="",0,1)),IF(IF('Model inputs'!B860="",0,1)="",0,IF('Model inputs'!B860="",0,1)),IF(IF('Model inputs'!B861="",0,1)="",0,IF('Model inputs'!B861="",0,1)),IF(IF('Model inputs'!B862="",0,1)="",0,IF('Model inputs'!B862="",0,1)),IF(IF('Model inputs'!B863="",0,1)="",0,IF('Model inputs'!B863="",0,1)))=0,"",SUM('Model inputs'!B859,'Model inputs'!B860,'Model inputs'!B861,'Model inputs'!B862,'Model inputs'!B863))</f>
        <v>0.9002333333333333</v>
      </c>
      <c r="G92" s="14">
        <f>IF(SUM(IF(IF('Model inputs'!B864="",0,1)="",0,IF('Model inputs'!B864="",0,1)),IF(IF('Model inputs'!B865="",0,1)="",0,IF('Model inputs'!B865="",0,1)),IF(IF('Model inputs'!B866="",0,1)="",0,IF('Model inputs'!B866="",0,1)),IF(IF('Model inputs'!B867="",0,1)="",0,IF('Model inputs'!B867="",0,1)),IF(IF('Model inputs'!B868="",0,1)="",0,IF('Model inputs'!B868="",0,1)))=0,"",SUM('Model inputs'!B864,'Model inputs'!B865,'Model inputs'!B866,'Model inputs'!B867,'Model inputs'!B868))</f>
        <v>0.9002333333333333</v>
      </c>
      <c r="H92" s="14">
        <f>IF(SUM(IF(IF('Model inputs'!B869="",0,1)="",0,IF('Model inputs'!B869="",0,1)),IF(IF('Model inputs'!B870="",0,1)="",0,IF('Model inputs'!B870="",0,1)),IF(IF('Model inputs'!B871="",0,1)="",0,IF('Model inputs'!B871="",0,1)),IF(IF('Model inputs'!B872="",0,1)="",0,IF('Model inputs'!B872="",0,1)),IF(IF('Model inputs'!B873="",0,1)="",0,IF('Model inputs'!B873="",0,1)))=0,"",SUM('Model inputs'!B869,'Model inputs'!B870,'Model inputs'!B871,'Model inputs'!B872,'Model inputs'!B873))</f>
        <v>0.9002333333333333</v>
      </c>
      <c r="I92" s="14">
        <f>IF(SUM(IF(IF('Model inputs'!B874="",0,1)="",0,IF('Model inputs'!B874="",0,1)),IF(IF('Model inputs'!B875="",0,1)="",0,IF('Model inputs'!B875="",0,1)),IF(IF('Model inputs'!B876="",0,1)="",0,IF('Model inputs'!B876="",0,1)),IF(IF('Model inputs'!B877="",0,1)="",0,IF('Model inputs'!B877="",0,1)),IF(IF('Model inputs'!B878="",0,1)="",0,IF('Model inputs'!B878="",0,1)))=0,"",SUM('Model inputs'!B874,'Model inputs'!B875,'Model inputs'!B876,'Model inputs'!B877,'Model inputs'!B878))</f>
        <v>0.9002333333333333</v>
      </c>
      <c r="J92" s="14">
        <f>IF(SUM(IF(IF('Model inputs'!B879="",0,1)="",0,IF('Model inputs'!B879="",0,1)),IF(IF('Model inputs'!B880="",0,1)="",0,IF('Model inputs'!B880="",0,1)),IF(IF('Model inputs'!B881="",0,1)="",0,IF('Model inputs'!B881="",0,1)),IF(IF('Model inputs'!B882="",0,1)="",0,IF('Model inputs'!B882="",0,1)),IF(IF('Model inputs'!B883="",0,1)="",0,IF('Model inputs'!B883="",0,1)))=0,"",SUM('Model inputs'!B879,'Model inputs'!B880,'Model inputs'!B881,'Model inputs'!B882,'Model inputs'!B883))</f>
        <v>0.9002333333333333</v>
      </c>
      <c r="K92" s="14">
        <f>IF(SUM(IF(IF('Model inputs'!B884="",0,1)="",0,IF('Model inputs'!B884="",0,1)),IF(IF('Model inputs'!B885="",0,1)="",0,IF('Model inputs'!B885="",0,1)),IF(IF('Model inputs'!B886="",0,1)="",0,IF('Model inputs'!B886="",0,1)),IF(IF('Model inputs'!B887="",0,1)="",0,IF('Model inputs'!B887="",0,1)),IF(IF('Model inputs'!B888="",0,1)="",0,IF('Model inputs'!B888="",0,1)))=0,"",SUM('Model inputs'!B884,'Model inputs'!B885,'Model inputs'!B886,'Model inputs'!B887,'Model inputs'!B888))</f>
        <v>0.9002333333333333</v>
      </c>
      <c r="L92" s="14">
        <f>IF(SUM(IF(IF('Model inputs'!B889="",0,1)="",0,IF('Model inputs'!B889="",0,1)),IF(IF('Model inputs'!B890="",0,1)="",0,IF('Model inputs'!B890="",0,1)),IF(IF('Model inputs'!B891="",0,1)="",0,IF('Model inputs'!B891="",0,1)),IF(IF('Model inputs'!B892="",0,1)="",0,IF('Model inputs'!B892="",0,1)),IF(IF('Model inputs'!B893="",0,1)="",0,IF('Model inputs'!B893="",0,1)))=0,"",SUM('Model inputs'!B889,'Model inputs'!B890,'Model inputs'!B891,'Model inputs'!B892,'Model inputs'!B893))</f>
        <v>0.9002333333333333</v>
      </c>
      <c r="M92" s="14">
        <f>IF(SUM(IF(IF('Model inputs'!B894="",0,1)="",0,IF('Model inputs'!B894="",0,1)),IF(IF('Model inputs'!B895="",0,1)="",0,IF('Model inputs'!B895="",0,1)),IF(IF('Model inputs'!B896="",0,1)="",0,IF('Model inputs'!B896="",0,1)),IF(IF('Model inputs'!B897="",0,1)="",0,IF('Model inputs'!B897="",0,1)),IF(IF('Model inputs'!B898="",0,1)="",0,IF('Model inputs'!B898="",0,1)))=0,"",SUM('Model inputs'!B894,'Model inputs'!B895,'Model inputs'!B896,'Model inputs'!B897,'Model inputs'!B898))</f>
        <v>0.9002333333333333</v>
      </c>
    </row>
    <row r="93">
      <c r="A93" t="inlineStr" s="8">
        <is>
          <t xml:space="preserve">Monthly operating burn</t>
        </is>
      </c>
      <c r="B93" s="10">
        <f>-'DealScope monthly model and pri'!B89</f>
        <v>-19505.25</v>
      </c>
      <c r="C93" s="10">
        <f>-'DealScope monthly model and pri'!C89</f>
        <v>-19505.25</v>
      </c>
      <c r="D93" s="10">
        <f>-'DealScope monthly model and pri'!D89</f>
        <v>-19505.25</v>
      </c>
      <c r="E93" s="10">
        <f>-'DealScope monthly model and pri'!E89</f>
        <v>-19505.25</v>
      </c>
      <c r="F93" s="10">
        <f>-'DealScope monthly model and pri'!F89</f>
        <v>-19505.25</v>
      </c>
      <c r="G93" s="10">
        <f>-'DealScope monthly model and pri'!G89</f>
        <v>-19005.25</v>
      </c>
      <c r="H93" s="10">
        <f>-'DealScope monthly model and pri'!H89</f>
        <v>-19005.25</v>
      </c>
      <c r="I93" s="10">
        <f>-'DealScope monthly model and pri'!I89</f>
        <v>-19005.25</v>
      </c>
      <c r="J93" s="10">
        <f>-'DealScope monthly model and pri'!J89</f>
        <v>-19005.25</v>
      </c>
      <c r="K93" s="10">
        <f>-'DealScope monthly model and pri'!K89</f>
        <v>-19005.25</v>
      </c>
      <c r="L93" s="10">
        <f>-'DealScope monthly model and pri'!L89</f>
        <v>-19005.25</v>
      </c>
      <c r="M93" s="10">
        <f>-'DealScope monthly model and pri'!M89</f>
        <v>-19005.25</v>
      </c>
    </row>
    <row r="94">
      <c r="A94" t="inlineStr" s="8">
        <is>
          <t xml:space="preserve">Cumulative funding gap</t>
        </is>
      </c>
      <c r="B94" s="10">
        <f>MAX(IF(IF(IF(IF(ISERROR('DealScope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inputs'!B29="","",'Model inputs'!B29))="",0,IF(IF(IF(ISERROR('DealScope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inputs'!B29="","",'Model inputs'!B29)))+'DealScope monthly model and pri'!B90,0)</f>
        <v>0</v>
      </c>
      <c r="C94" s="10">
        <f>MAX(IF(IF(IF(IF(ISERROR('DealScope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pri'!B95="","",'DealScope monthly model and pri'!B95))="",0,IF(IF(IF(ISERROR('DealScope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pri'!B95="","",'DealScope monthly model and pri'!B95)))+'DealScope monthly model and pri'!C90,0)</f>
        <v>0</v>
      </c>
      <c r="D94" s="10">
        <f>MAX(IF(IF(IF(IF(ISERROR('DealScope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pri'!C95="","",'DealScope monthly model and pri'!C95))="",0,IF(IF(IF(ISERROR('DealScope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pri'!C95="","",'DealScope monthly model and pri'!C95)))+'DealScope monthly model and pri'!D90,0)</f>
        <v>0</v>
      </c>
      <c r="E94" s="10">
        <f>MAX(IF(IF(IF(IF(ISERROR('DealScope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pri'!D95="","",'DealScope monthly model and pri'!D95))="",0,IF(IF(IF(ISERROR('DealScope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pri'!D95="","",'DealScope monthly model and pri'!D95)))+'DealScope monthly model and pri'!E90,0)</f>
        <v>0</v>
      </c>
      <c r="F94" s="10">
        <f>MAX(IF(IF(IF(IF(ISERROR('DealScope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pri'!E95="","",'DealScope monthly model and pri'!E95))="",0,IF(IF(IF(ISERROR('DealScope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pri'!E95="","",'DealScope monthly model and pri'!E95)))+'DealScope monthly model and pri'!F90,0)</f>
        <v>0</v>
      </c>
      <c r="G94" s="10">
        <f>MAX(IF(IF(IF(IF(ISERROR('DealScope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pri'!F95="","",'DealScope monthly model and pri'!F95))="",0,IF(IF(IF(ISERROR('DealScope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pri'!F95="","",'DealScope monthly model and pri'!F95)))+'DealScope monthly model and pri'!G90,0)</f>
        <v>0</v>
      </c>
      <c r="H94" s="10">
        <f>MAX(IF(IF(IF(IF(ISERROR('DealScope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pri'!G95="","",'DealScope monthly model and pri'!G95))="",0,IF(IF(IF(ISERROR('DealScope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pri'!G95="","",'DealScope monthly model and pri'!G95)))+'DealScope monthly model and pri'!H90,0)</f>
        <v>0</v>
      </c>
      <c r="I94" s="10">
        <f>MAX(IF(IF(IF(IF(ISERROR('DealScope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pri'!H95="","",'DealScope monthly model and pri'!H95))="",0,IF(IF(IF(ISERROR('DealScope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pri'!H95="","",'DealScope monthly model and pri'!H95)))+'DealScope monthly model and pri'!I90,0)</f>
        <v>0</v>
      </c>
      <c r="J94" s="10">
        <f>MAX(IF(IF(IF(IF(ISERROR('DealScope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pri'!I95="","",'DealScope monthly model and pri'!I95))="",0,IF(IF(IF(ISERROR('DealScope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pri'!I95="","",'DealScope monthly model and pri'!I95)))+'DealScope monthly model and pri'!J90,0)</f>
        <v>0</v>
      </c>
      <c r="K94" s="10">
        <f>MAX(IF(IF(IF(IF(ISERROR('DealScope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pri'!J95="","",'DealScope monthly model and pri'!J95))="",0,IF(IF(IF(ISERROR('DealScope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pri'!J95="","",'DealScope monthly model and pri'!J95)))+'DealScope monthly model and pri'!K90,0)</f>
        <v>0</v>
      </c>
      <c r="L94" s="10">
        <f>MAX(IF(IF(IF(IF(ISERROR('DealScope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pri'!K95="","",'DealScope monthly model and pri'!K95))="",0,IF(IF(IF(ISERROR('DealScope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pri'!K95="","",'DealScope monthly model and pri'!K95)))+'DealScope monthly model and pri'!L90,0)</f>
        <v>0</v>
      </c>
      <c r="M94" s="10">
        <f>MAX(IF(IF(IF(IF(ISERROR('DealScope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pri'!L95="","",'DealScope monthly model and pri'!L95))="",0,IF(IF(IF(ISERROR('DealScope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pri'!L95="","",'DealScope monthly model and pri'!L95)))+'DealScope monthly model and pri'!M90,0)</f>
        <v>0</v>
      </c>
    </row>
    <row r="95">
      <c r="A95" t="inlineStr" s="8">
        <is>
          <t xml:space="preserve">Cumulative net cash burn</t>
        </is>
      </c>
      <c r="B95" s="10">
        <f>IF(IF(IF(IF(ISERROR('DealScope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inputs'!B29="","",'Model inputs'!B29))="",0,IF(IF(IF(ISERROR('DealScope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inputs'!B29="","",'Model inputs'!B29)))+'DealScope monthly model and pri'!B90</f>
        <v>-19505.25</v>
      </c>
      <c r="C95" s="10">
        <f>IF(IF(IF(IF(ISERROR('DealScope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pri'!B95="","",'DealScope monthly model and pri'!B95))="",0,IF(IF(IF(ISERROR('DealScope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pri'!B95="","",'DealScope monthly model and pri'!B95)))+'DealScope monthly model and pri'!C90</f>
        <v>-39010.5</v>
      </c>
      <c r="D95" s="10">
        <f>IF(IF(IF(IF(ISERROR('DealScope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pri'!C95="","",'DealScope monthly model and pri'!C95))="",0,IF(IF(IF(ISERROR('DealScope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pri'!C95="","",'DealScope monthly model and pri'!C95)))+'DealScope monthly model and pri'!D90</f>
        <v>-58515.75</v>
      </c>
      <c r="E95" s="10">
        <f>IF(IF(IF(IF(ISERROR('DealScope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pri'!D95="","",'DealScope monthly model and pri'!D95))="",0,IF(IF(IF(ISERROR('DealScope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pri'!D95="","",'DealScope monthly model and pri'!D95)))+'DealScope monthly model and pri'!E90</f>
        <v>-78021</v>
      </c>
      <c r="F95" s="10">
        <f>IF(IF(IF(IF(ISERROR('DealScope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pri'!E95="","",'DealScope monthly model and pri'!E95))="",0,IF(IF(IF(ISERROR('DealScope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pri'!E95="","",'DealScope monthly model and pri'!E95)))+'DealScope monthly model and pri'!F90</f>
        <v>-97526.25</v>
      </c>
      <c r="G95" s="10">
        <f>IF(IF(IF(IF(ISERROR('DealScope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pri'!F95="","",'DealScope monthly model and pri'!F95))="",0,IF(IF(IF(ISERROR('DealScope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pri'!F95="","",'DealScope monthly model and pri'!F95)))+'DealScope monthly model and pri'!G90</f>
        <v>-116531.5</v>
      </c>
      <c r="H95" s="10">
        <f>IF(IF(IF(IF(ISERROR('DealScope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pri'!G95="","",'DealScope monthly model and pri'!G95))="",0,IF(IF(IF(ISERROR('DealScope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pri'!G95="","",'DealScope monthly model and pri'!G95)))+'DealScope monthly model and pri'!H90</f>
        <v>-135536.75</v>
      </c>
      <c r="I95" s="10">
        <f>IF(IF(IF(IF(ISERROR('DealScope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pri'!H95="","",'DealScope monthly model and pri'!H95))="",0,IF(IF(IF(ISERROR('DealScope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pri'!H95="","",'DealScope monthly model and pri'!H95)))+'DealScope monthly model and pri'!I90</f>
        <v>-154542</v>
      </c>
      <c r="J95" s="10">
        <f>IF(IF(IF(IF(ISERROR('DealScope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pri'!I95="","",'DealScope monthly model and pri'!I95))="",0,IF(IF(IF(ISERROR('DealScope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pri'!I95="","",'DealScope monthly model and pri'!I95)))+'DealScope monthly model and pri'!J90</f>
        <v>-173547.25</v>
      </c>
      <c r="K95" s="10">
        <f>IF(IF(IF(IF(ISERROR('DealScope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pri'!J95="","",'DealScope monthly model and pri'!J95))="",0,IF(IF(IF(ISERROR('DealScope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pri'!J95="","",'DealScope monthly model and pri'!J95)))+'DealScope monthly model and pri'!K90</f>
        <v>-192552.5</v>
      </c>
      <c r="L95" s="10">
        <f>IF(IF(IF(IF(ISERROR('DealScope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pri'!K95="","",'DealScope monthly model and pri'!K95))="",0,IF(IF(IF(ISERROR('DealScope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pri'!K95="","",'DealScope monthly model and pri'!K95)))+'DealScope monthly model and pri'!L90</f>
        <v>-211557.75</v>
      </c>
      <c r="M95" s="10">
        <f>IF(IF(IF(IF(ISERROR('DealScope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pri'!L95="","",'DealScope monthly model and pri'!L95))="",0,IF(IF(IF(ISERROR('DealScope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pri'!L95="","",'DealScope monthly model and pri'!L95)))+'DealScope monthly model and pri'!M90</f>
        <v>-230563</v>
      </c>
    </row>
    <row r="96">
      <c r="A96" t="inlineStr" s="8">
        <is>
          <t xml:space="preserve">Conditional cash balance</t>
        </is>
      </c>
      <c r="B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pri'!B95,"")</f>
        <v/>
      </c>
      <c r="C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pri'!C95,"")</f>
        <v/>
      </c>
      <c r="D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pri'!D95,"")</f>
        <v/>
      </c>
      <c r="E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pri'!E95,"")</f>
        <v/>
      </c>
      <c r="F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pri'!F95,"")</f>
        <v/>
      </c>
      <c r="G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pri'!G95,"")</f>
        <v/>
      </c>
      <c r="H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pri'!H95,"")</f>
        <v/>
      </c>
      <c r="I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pri'!I95,"")</f>
        <v/>
      </c>
      <c r="J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pri'!J95,"")</f>
        <v/>
      </c>
      <c r="K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pri'!K95,"")</f>
        <v/>
      </c>
      <c r="L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pri'!L95,"")</f>
        <v/>
      </c>
      <c r="M96" t="str" s="10">
        <f>IF(IF(IF(ISERROR('Model inputs'!O25=1),'Model inputs'!O25=1,IF('Model inputs'!O25="","",'Model inputs'!O25=1))="",FALSE,IF(ISERROR('Model inputs'!O25=1),'Model inputs'!O25=1,IF('Model inputs'!O25="","",'Model inputs'!O25=1))),IF('Model inputs'!O18="",0,'Model inputs'!O18)-'DealScope monthly model and pri'!M95,"")</f>
        <v/>
      </c>
    </row>
    <row r="97">
      <c r="A97" t="inlineStr" s="8">
        <is>
          <t xml:space="preserve">QA hours required</t>
        </is>
      </c>
      <c r="B97" s="9">
        <f>'DealScope monthly model and pri'!B81*'Model inputs'!O81</f>
        <v>22.5</v>
      </c>
      <c r="C97" s="9">
        <f>'DealScope monthly model and pri'!C81*'Model inputs'!O81</f>
        <v>22.5</v>
      </c>
      <c r="D97" s="9">
        <f>'DealScope monthly model and pri'!D81*'Model inputs'!O81</f>
        <v>22.5</v>
      </c>
      <c r="E97" s="9">
        <f>'DealScope monthly model and pri'!E81*'Model inputs'!O81</f>
        <v>22.5</v>
      </c>
      <c r="F97" s="9">
        <f>'DealScope monthly model and pri'!F81*'Model inputs'!O81</f>
        <v>22.5</v>
      </c>
      <c r="G97" s="9">
        <f>'DealScope monthly model and pri'!G81*'Model inputs'!O81</f>
        <v>22.5</v>
      </c>
      <c r="H97" s="9">
        <f>'DealScope monthly model and pri'!H81*'Model inputs'!O81</f>
        <v>22.5</v>
      </c>
      <c r="I97" s="9">
        <f>'DealScope monthly model and pri'!I81*'Model inputs'!O81</f>
        <v>22.5</v>
      </c>
      <c r="J97" s="9">
        <f>'DealScope monthly model and pri'!J81*'Model inputs'!O81</f>
        <v>22.5</v>
      </c>
      <c r="K97" s="9">
        <f>'DealScope monthly model and pri'!K81*'Model inputs'!O81</f>
        <v>22.5</v>
      </c>
      <c r="L97" s="9">
        <f>'DealScope monthly model and pri'!L81*'Model inputs'!O81</f>
        <v>22.5</v>
      </c>
      <c r="M97" s="9">
        <f>'DealScope monthly model and pri'!M81*'Model inputs'!O81</f>
        <v>22.5</v>
      </c>
    </row>
    <row r="98">
      <c r="A98" t="inlineStr" s="8">
        <is>
          <t xml:space="preserve">Support hours required</t>
        </is>
      </c>
      <c r="B98" s="9">
        <f>'DealScope monthly model and pri'!B6*'Model inputs'!O86</f>
        <v>2.5</v>
      </c>
      <c r="C98" s="9">
        <f>'DealScope monthly model and pri'!C6*'Model inputs'!O86</f>
        <v>2.5</v>
      </c>
      <c r="D98" s="9">
        <f>'DealScope monthly model and pri'!D6*'Model inputs'!O86</f>
        <v>2.5</v>
      </c>
      <c r="E98" s="9">
        <f>'DealScope monthly model and pri'!E6*'Model inputs'!O86</f>
        <v>2.5</v>
      </c>
      <c r="F98" s="9">
        <f>'DealScope monthly model and pri'!F6*'Model inputs'!O86</f>
        <v>2.5</v>
      </c>
      <c r="G98" s="9">
        <f>'DealScope monthly model and pri'!G6*'Model inputs'!O86</f>
        <v>2.5</v>
      </c>
      <c r="H98" s="9">
        <f>'DealScope monthly model and pri'!H6*'Model inputs'!O86</f>
        <v>2.5</v>
      </c>
      <c r="I98" s="9">
        <f>'DealScope monthly model and pri'!I6*'Model inputs'!O86</f>
        <v>2.5</v>
      </c>
      <c r="J98" s="9">
        <f>'DealScope monthly model and pri'!J6*'Model inputs'!O86</f>
        <v>2.5</v>
      </c>
      <c r="K98" s="9">
        <f>'DealScope monthly model and pri'!K6*'Model inputs'!O86</f>
        <v>2.5</v>
      </c>
      <c r="L98" s="9">
        <f>'DealScope monthly model and pri'!L6*'Model inputs'!O86</f>
        <v>2.5</v>
      </c>
      <c r="M98" s="9">
        <f>'DealScope monthly model and pri'!M6*'Model inputs'!O86</f>
        <v>2.5</v>
      </c>
    </row>
    <row r="99">
      <c r="A99" t="inlineStr" s="8">
        <is>
          <t xml:space="preserve">Credits required</t>
        </is>
      </c>
      <c r="B99" s="9">
        <f>'DealScope monthly model and pri'!B81*'Model inputs'!O28</f>
        <v>390</v>
      </c>
      <c r="C99" s="9">
        <f>'DealScope monthly model and pri'!C81*'Model inputs'!O28</f>
        <v>390</v>
      </c>
      <c r="D99" s="9">
        <f>'DealScope monthly model and pri'!D81*'Model inputs'!O28</f>
        <v>390</v>
      </c>
      <c r="E99" s="9">
        <f>'DealScope monthly model and pri'!E81*'Model inputs'!O28</f>
        <v>390</v>
      </c>
      <c r="F99" s="9">
        <f>'DealScope monthly model and pri'!F81*'Model inputs'!O28</f>
        <v>390</v>
      </c>
      <c r="G99" s="9">
        <f>'DealScope monthly model and pri'!G81*'Model inputs'!O28</f>
        <v>390</v>
      </c>
      <c r="H99" s="9">
        <f>'DealScope monthly model and pri'!H81*'Model inputs'!O28</f>
        <v>390</v>
      </c>
      <c r="I99" s="9">
        <f>'DealScope monthly model and pri'!I81*'Model inputs'!O28</f>
        <v>390</v>
      </c>
      <c r="J99" s="9">
        <f>'DealScope monthly model and pri'!J81*'Model inputs'!O28</f>
        <v>390</v>
      </c>
      <c r="K99" s="9">
        <f>'DealScope monthly model and pri'!K81*'Model inputs'!O28</f>
        <v>390</v>
      </c>
      <c r="L99" s="9">
        <f>'DealScope monthly model and pri'!L81*'Model inputs'!O28</f>
        <v>390</v>
      </c>
      <c r="M99" s="9">
        <f>'DealScope monthly model and pri'!M81*'Model inputs'!O28</f>
        <v>390</v>
      </c>
    </row>
    <row r="100">
      <c r="A100" t="inlineStr" s="6">
        <is>
          <t xml:space="preserve">Deferred subscription revenue</t>
        </is>
      </c>
      <c r="B100" s="12">
        <f>IF(IF(IF(IF(ISERROR('DealScope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inputs'!B43="","",'Model inputs'!B43))="",0,IF(IF(IF(ISERROR('DealScope monthly model and pri'!B5=1),'DealScope monthly model and pri'!B5=1,IF('DealScope monthly model and pri'!B5="","",'DealScope monthly model and pri'!B5=1))="",FALSE,IF(ISERROR('DealScope monthly model and pri'!B5=1),'DealScope monthly model and pri'!B5=1,IF('DealScope monthly model and pri'!B5="","",'DealScope monthly model and pri'!B5=1))),0,IF('Model inputs'!B43="","",'Model inputs'!B43)))+'DealScope monthly model and pri'!B83-'DealScope monthly model and pri'!B82</f>
        <v>0</v>
      </c>
      <c r="C100" s="12">
        <f>IF(IF(IF(IF(ISERROR('DealScope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pri'!B100="","",'DealScope monthly model and pri'!B100))="",0,IF(IF(IF(ISERROR('DealScope monthly model and pri'!C5=1),'DealScope monthly model and pri'!C5=1,IF('DealScope monthly model and pri'!C5="","",'DealScope monthly model and pri'!C5=1))="",FALSE,IF(ISERROR('DealScope monthly model and pri'!C5=1),'DealScope monthly model and pri'!C5=1,IF('DealScope monthly model and pri'!C5="","",'DealScope monthly model and pri'!C5=1))),0,IF('DealScope monthly model and pri'!B100="","",'DealScope monthly model and pri'!B100)))+'DealScope monthly model and pri'!C83-'DealScope monthly model and pri'!C82</f>
        <v>0</v>
      </c>
      <c r="D100" s="12">
        <f>IF(IF(IF(IF(ISERROR('DealScope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pri'!C100="","",'DealScope monthly model and pri'!C100))="",0,IF(IF(IF(ISERROR('DealScope monthly model and pri'!D5=1),'DealScope monthly model and pri'!D5=1,IF('DealScope monthly model and pri'!D5="","",'DealScope monthly model and pri'!D5=1))="",FALSE,IF(ISERROR('DealScope monthly model and pri'!D5=1),'DealScope monthly model and pri'!D5=1,IF('DealScope monthly model and pri'!D5="","",'DealScope monthly model and pri'!D5=1))),0,IF('DealScope monthly model and pri'!C100="","",'DealScope monthly model and pri'!C100)))+'DealScope monthly model and pri'!D83-'DealScope monthly model and pri'!D82</f>
        <v>0</v>
      </c>
      <c r="E100" s="12">
        <f>IF(IF(IF(IF(ISERROR('DealScope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pri'!D100="","",'DealScope monthly model and pri'!D100))="",0,IF(IF(IF(ISERROR('DealScope monthly model and pri'!E5=1),'DealScope monthly model and pri'!E5=1,IF('DealScope monthly model and pri'!E5="","",'DealScope monthly model and pri'!E5=1))="",FALSE,IF(ISERROR('DealScope monthly model and pri'!E5=1),'DealScope monthly model and pri'!E5=1,IF('DealScope monthly model and pri'!E5="","",'DealScope monthly model and pri'!E5=1))),0,IF('DealScope monthly model and pri'!D100="","",'DealScope monthly model and pri'!D100)))+'DealScope monthly model and pri'!E83-'DealScope monthly model and pri'!E82</f>
        <v>0</v>
      </c>
      <c r="F100" s="12">
        <f>IF(IF(IF(IF(ISERROR('DealScope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pri'!E100="","",'DealScope monthly model and pri'!E100))="",0,IF(IF(IF(ISERROR('DealScope monthly model and pri'!F5=1),'DealScope monthly model and pri'!F5=1,IF('DealScope monthly model and pri'!F5="","",'DealScope monthly model and pri'!F5=1))="",FALSE,IF(ISERROR('DealScope monthly model and pri'!F5=1),'DealScope monthly model and pri'!F5=1,IF('DealScope monthly model and pri'!F5="","",'DealScope monthly model and pri'!F5=1))),0,IF('DealScope monthly model and pri'!E100="","",'DealScope monthly model and pri'!E100)))+'DealScope monthly model and pri'!F83-'DealScope monthly model and pri'!F82</f>
        <v>0</v>
      </c>
      <c r="G100" s="12">
        <f>IF(IF(IF(IF(ISERROR('DealScope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pri'!F100="","",'DealScope monthly model and pri'!F100))="",0,IF(IF(IF(ISERROR('DealScope monthly model and pri'!G5=1),'DealScope monthly model and pri'!G5=1,IF('DealScope monthly model and pri'!G5="","",'DealScope monthly model and pri'!G5=1))="",FALSE,IF(ISERROR('DealScope monthly model and pri'!G5=1),'DealScope monthly model and pri'!G5=1,IF('DealScope monthly model and pri'!G5="","",'DealScope monthly model and pri'!G5=1))),0,IF('DealScope monthly model and pri'!F100="","",'DealScope monthly model and pri'!F100)))+'DealScope monthly model and pri'!G83-'DealScope monthly model and pri'!G82</f>
        <v>0</v>
      </c>
      <c r="H100" s="12">
        <f>IF(IF(IF(IF(ISERROR('DealScope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pri'!G100="","",'DealScope monthly model and pri'!G100))="",0,IF(IF(IF(ISERROR('DealScope monthly model and pri'!H5=1),'DealScope monthly model and pri'!H5=1,IF('DealScope monthly model and pri'!H5="","",'DealScope monthly model and pri'!H5=1))="",FALSE,IF(ISERROR('DealScope monthly model and pri'!H5=1),'DealScope monthly model and pri'!H5=1,IF('DealScope monthly model and pri'!H5="","",'DealScope monthly model and pri'!H5=1))),0,IF('DealScope monthly model and pri'!G100="","",'DealScope monthly model and pri'!G100)))+'DealScope monthly model and pri'!H83-'DealScope monthly model and pri'!H82</f>
        <v>0</v>
      </c>
      <c r="I100" s="12">
        <f>IF(IF(IF(IF(ISERROR('DealScope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pri'!H100="","",'DealScope monthly model and pri'!H100))="",0,IF(IF(IF(ISERROR('DealScope monthly model and pri'!I5=1),'DealScope monthly model and pri'!I5=1,IF('DealScope monthly model and pri'!I5="","",'DealScope monthly model and pri'!I5=1))="",FALSE,IF(ISERROR('DealScope monthly model and pri'!I5=1),'DealScope monthly model and pri'!I5=1,IF('DealScope monthly model and pri'!I5="","",'DealScope monthly model and pri'!I5=1))),0,IF('DealScope monthly model and pri'!H100="","",'DealScope monthly model and pri'!H100)))+'DealScope monthly model and pri'!I83-'DealScope monthly model and pri'!I82</f>
        <v>0</v>
      </c>
      <c r="J100" s="12">
        <f>IF(IF(IF(IF(ISERROR('DealScope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pri'!I100="","",'DealScope monthly model and pri'!I100))="",0,IF(IF(IF(ISERROR('DealScope monthly model and pri'!J5=1),'DealScope monthly model and pri'!J5=1,IF('DealScope monthly model and pri'!J5="","",'DealScope monthly model and pri'!J5=1))="",FALSE,IF(ISERROR('DealScope monthly model and pri'!J5=1),'DealScope monthly model and pri'!J5=1,IF('DealScope monthly model and pri'!J5="","",'DealScope monthly model and pri'!J5=1))),0,IF('DealScope monthly model and pri'!I100="","",'DealScope monthly model and pri'!I100)))+'DealScope monthly model and pri'!J83-'DealScope monthly model and pri'!J82</f>
        <v>0</v>
      </c>
      <c r="K100" s="12">
        <f>IF(IF(IF(IF(ISERROR('DealScope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pri'!J100="","",'DealScope monthly model and pri'!J100))="",0,IF(IF(IF(ISERROR('DealScope monthly model and pri'!K5=1),'DealScope monthly model and pri'!K5=1,IF('DealScope monthly model and pri'!K5="","",'DealScope monthly model and pri'!K5=1))="",FALSE,IF(ISERROR('DealScope monthly model and pri'!K5=1),'DealScope monthly model and pri'!K5=1,IF('DealScope monthly model and pri'!K5="","",'DealScope monthly model and pri'!K5=1))),0,IF('DealScope monthly model and pri'!J100="","",'DealScope monthly model and pri'!J100)))+'DealScope monthly model and pri'!K83-'DealScope monthly model and pri'!K82</f>
        <v>0</v>
      </c>
      <c r="L100" s="12">
        <f>IF(IF(IF(IF(ISERROR('DealScope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pri'!K100="","",'DealScope monthly model and pri'!K100))="",0,IF(IF(IF(ISERROR('DealScope monthly model and pri'!L5=1),'DealScope monthly model and pri'!L5=1,IF('DealScope monthly model and pri'!L5="","",'DealScope monthly model and pri'!L5=1))="",FALSE,IF(ISERROR('DealScope monthly model and pri'!L5=1),'DealScope monthly model and pri'!L5=1,IF('DealScope monthly model and pri'!L5="","",'DealScope monthly model and pri'!L5=1))),0,IF('DealScope monthly model and pri'!K100="","",'DealScope monthly model and pri'!K100)))+'DealScope monthly model and pri'!L83-'DealScope monthly model and pri'!L82</f>
        <v>0</v>
      </c>
      <c r="M100" s="12">
        <f>IF(IF(IF(IF(ISERROR('DealScope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pri'!L100="","",'DealScope monthly model and pri'!L100))="",0,IF(IF(IF(ISERROR('DealScope monthly model and pri'!M5=1),'DealScope monthly model and pri'!M5=1,IF('DealScope monthly model and pri'!M5="","",'DealScope monthly model and pri'!M5=1))="",FALSE,IF(ISERROR('DealScope monthly model and pri'!M5=1),'DealScope monthly model and pri'!M5=1,IF('DealScope monthly model and pri'!M5="","",'DealScope monthly model and pri'!M5=1))),0,IF('DealScope monthly model and pri'!L100="","",'DealScope monthly model and pri'!L100)))+'DealScope monthly model and pri'!M83-'DealScope monthly model and pri'!M82</f>
        <v>0</v>
      </c>
    </row>
  </sheetData>
  <mergeCells count="1">
    <mergeCell ref="A1:M1"/>
  </mergeCells>
</worksheet>
</file>

<file path=xl/worksheets/sheet2.xml><?xml version="1.0" encoding="utf-8"?>
<worksheet xmlns="http://schemas.openxmlformats.org/spreadsheetml/2006/main">
  <dimension ref="A1:P107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5">
        <is>
          <t xml:space="preserve">Value</t>
        </is>
      </c>
      <c r="P5" t="inlineStr" s="5">
        <is>
          <t xml:space="preserve">2026-08</t>
        </is>
      </c>
    </row>
    <row r="6">
      <c r="A6" t="inlineStr" s="16">
        <is>
          <t xml:space="preserve">Account support cost</t>
        </is>
      </c>
      <c r="B6" s="12">
        <f>SUM('Model inputs'!B7,'Model inputs'!B8,'Model inputs'!B9,'Model inputs'!B10,'Model inputs'!B11)</f>
        <v>0</v>
      </c>
      <c r="C6" t="str" s="12">
        <f>""</f>
        <v/>
      </c>
      <c r="D6" t="str" s="12">
        <f>""</f>
        <v/>
      </c>
      <c r="E6" t="str" s="12">
        <f>""</f>
        <v/>
      </c>
      <c r="F6" t="str" s="12">
        <f>""</f>
        <v/>
      </c>
      <c r="G6" t="str" s="12">
        <f>""</f>
        <v/>
      </c>
      <c r="H6" t="str" s="12">
        <f>""</f>
        <v/>
      </c>
      <c r="I6" t="str" s="12">
        <f>""</f>
        <v/>
      </c>
      <c r="J6" t="str" s="12">
        <f>""</f>
        <v/>
      </c>
      <c r="K6" t="str" s="12">
        <f>""</f>
        <v/>
      </c>
      <c r="L6" t="str" s="12">
        <f>""</f>
        <v/>
      </c>
      <c r="M6" t="str" s="12">
        <f>""</f>
        <v/>
      </c>
      <c r="N6" t="str" s="12">
        <f>""</f>
        <v/>
      </c>
    </row>
    <row r="7" outlineLevel="1">
      <c r="A7" t="inlineStr" s="17">
        <is>
          <t xml:space="preserve">Account support cost &gt; Annual deal-team</t>
        </is>
      </c>
      <c r="B7" s="10">
        <f>0</f>
        <v>0</v>
      </c>
      <c r="C7" s="10">
        <f>'Model inputs'!C68*'Model inputs'!O86*'Model inputs'!O85</f>
        <v>150</v>
      </c>
      <c r="D7" s="10">
        <f>'Model inputs'!D68*'Model inputs'!O86*'Model inputs'!O85</f>
        <v>150</v>
      </c>
      <c r="E7" s="10">
        <f>'Model inputs'!E68*'Model inputs'!O86*'Model inputs'!O85</f>
        <v>150</v>
      </c>
      <c r="F7" s="10">
        <f>'Model inputs'!F68*'Model inputs'!O86*'Model inputs'!O85</f>
        <v>150</v>
      </c>
      <c r="G7" s="10">
        <f>'Model inputs'!G68*'Model inputs'!O86*'Model inputs'!O85</f>
        <v>150</v>
      </c>
      <c r="H7" s="10">
        <f>'Model inputs'!H68*'Model inputs'!O86*'Model inputs'!O85</f>
        <v>150</v>
      </c>
      <c r="I7" s="10">
        <f>'Model inputs'!I68*'Model inputs'!O86*'Model inputs'!O85</f>
        <v>150</v>
      </c>
      <c r="J7" s="10">
        <f>'Model inputs'!J68*'Model inputs'!O86*'Model inputs'!O85</f>
        <v>150</v>
      </c>
      <c r="K7" s="10">
        <f>'Model inputs'!K68*'Model inputs'!O86*'Model inputs'!O85</f>
        <v>150</v>
      </c>
      <c r="L7" s="10">
        <f>'Model inputs'!L68*'Model inputs'!O86*'Model inputs'!O85</f>
        <v>150</v>
      </c>
      <c r="M7" s="10">
        <f>'Model inputs'!M68*'Model inputs'!O86*'Model inputs'!O85</f>
        <v>150</v>
      </c>
      <c r="N7" s="10">
        <f>'Model inputs'!N68*'Model inputs'!O86*'Model inputs'!O85</f>
        <v>150</v>
      </c>
    </row>
    <row r="8" outlineLevel="1">
      <c r="A8" t="inlineStr" s="17">
        <is>
          <t xml:space="preserve">Account support cost &gt; Hybrid</t>
        </is>
      </c>
      <c r="B8" s="10">
        <f>0</f>
        <v>0</v>
      </c>
      <c r="C8" s="10">
        <f>'Model inputs'!C68*'Model inputs'!O86*'Model inputs'!O85</f>
        <v>150</v>
      </c>
      <c r="D8" s="10">
        <f>'Model inputs'!D68*'Model inputs'!O86*'Model inputs'!O85</f>
        <v>150</v>
      </c>
      <c r="E8" s="10">
        <f>'Model inputs'!E68*'Model inputs'!O86*'Model inputs'!O85</f>
        <v>150</v>
      </c>
      <c r="F8" s="10">
        <f>'Model inputs'!F68*'Model inputs'!O86*'Model inputs'!O85</f>
        <v>150</v>
      </c>
      <c r="G8" s="10">
        <f>'Model inputs'!G68*'Model inputs'!O86*'Model inputs'!O85</f>
        <v>150</v>
      </c>
      <c r="H8" s="10">
        <f>'Model inputs'!H68*'Model inputs'!O86*'Model inputs'!O85</f>
        <v>150</v>
      </c>
      <c r="I8" s="10">
        <f>'Model inputs'!I68*'Model inputs'!O86*'Model inputs'!O85</f>
        <v>150</v>
      </c>
      <c r="J8" s="10">
        <f>'Model inputs'!J68*'Model inputs'!O86*'Model inputs'!O85</f>
        <v>150</v>
      </c>
      <c r="K8" s="10">
        <f>'Model inputs'!K68*'Model inputs'!O86*'Model inputs'!O85</f>
        <v>150</v>
      </c>
      <c r="L8" s="10">
        <f>'Model inputs'!L68*'Model inputs'!O86*'Model inputs'!O85</f>
        <v>150</v>
      </c>
      <c r="M8" s="10">
        <f>'Model inputs'!M68*'Model inputs'!O86*'Model inputs'!O85</f>
        <v>150</v>
      </c>
      <c r="N8" s="10">
        <f>'Model inputs'!N68*'Model inputs'!O86*'Model inputs'!O85</f>
        <v>150</v>
      </c>
    </row>
    <row r="9" outlineLevel="1">
      <c r="A9" t="inlineStr" s="17">
        <is>
          <t xml:space="preserve">Account support cost &gt; Per audit — base</t>
        </is>
      </c>
      <c r="B9" s="10">
        <f>0</f>
        <v>0</v>
      </c>
      <c r="C9" s="10">
        <f>'Model inputs'!C68*'Model inputs'!O86*'Model inputs'!O85</f>
        <v>150</v>
      </c>
      <c r="D9" s="10">
        <f>'Model inputs'!D68*'Model inputs'!O86*'Model inputs'!O85</f>
        <v>150</v>
      </c>
      <c r="E9" s="10">
        <f>'Model inputs'!E68*'Model inputs'!O86*'Model inputs'!O85</f>
        <v>150</v>
      </c>
      <c r="F9" s="10">
        <f>'Model inputs'!F68*'Model inputs'!O86*'Model inputs'!O85</f>
        <v>150</v>
      </c>
      <c r="G9" s="10">
        <f>'Model inputs'!G68*'Model inputs'!O86*'Model inputs'!O85</f>
        <v>150</v>
      </c>
      <c r="H9" s="10">
        <f>'Model inputs'!H68*'Model inputs'!O86*'Model inputs'!O85</f>
        <v>150</v>
      </c>
      <c r="I9" s="10">
        <f>'Model inputs'!I68*'Model inputs'!O86*'Model inputs'!O85</f>
        <v>150</v>
      </c>
      <c r="J9" s="10">
        <f>'Model inputs'!J68*'Model inputs'!O86*'Model inputs'!O85</f>
        <v>150</v>
      </c>
      <c r="K9" s="10">
        <f>'Model inputs'!K68*'Model inputs'!O86*'Model inputs'!O85</f>
        <v>150</v>
      </c>
      <c r="L9" s="10">
        <f>'Model inputs'!L68*'Model inputs'!O86*'Model inputs'!O85</f>
        <v>150</v>
      </c>
      <c r="M9" s="10">
        <f>'Model inputs'!M68*'Model inputs'!O86*'Model inputs'!O85</f>
        <v>150</v>
      </c>
      <c r="N9" s="10">
        <f>'Model inputs'!N68*'Model inputs'!O86*'Model inputs'!O85</f>
        <v>150</v>
      </c>
    </row>
    <row r="10" outlineLevel="1">
      <c r="A10" t="inlineStr" s="17">
        <is>
          <t xml:space="preserve">Account support cost &gt; Per audit — high</t>
        </is>
      </c>
      <c r="B10" s="10">
        <f>0</f>
        <v>0</v>
      </c>
      <c r="C10" s="10">
        <f>'Model inputs'!C68*'Model inputs'!O86*'Model inputs'!O85</f>
        <v>150</v>
      </c>
      <c r="D10" s="10">
        <f>'Model inputs'!D68*'Model inputs'!O86*'Model inputs'!O85</f>
        <v>150</v>
      </c>
      <c r="E10" s="10">
        <f>'Model inputs'!E68*'Model inputs'!O86*'Model inputs'!O85</f>
        <v>150</v>
      </c>
      <c r="F10" s="10">
        <f>'Model inputs'!F68*'Model inputs'!O86*'Model inputs'!O85</f>
        <v>150</v>
      </c>
      <c r="G10" s="10">
        <f>'Model inputs'!G68*'Model inputs'!O86*'Model inputs'!O85</f>
        <v>150</v>
      </c>
      <c r="H10" s="10">
        <f>'Model inputs'!H68*'Model inputs'!O86*'Model inputs'!O85</f>
        <v>150</v>
      </c>
      <c r="I10" s="10">
        <f>'Model inputs'!I68*'Model inputs'!O86*'Model inputs'!O85</f>
        <v>150</v>
      </c>
      <c r="J10" s="10">
        <f>'Model inputs'!J68*'Model inputs'!O86*'Model inputs'!O85</f>
        <v>150</v>
      </c>
      <c r="K10" s="10">
        <f>'Model inputs'!K68*'Model inputs'!O86*'Model inputs'!O85</f>
        <v>150</v>
      </c>
      <c r="L10" s="10">
        <f>'Model inputs'!L68*'Model inputs'!O86*'Model inputs'!O85</f>
        <v>150</v>
      </c>
      <c r="M10" s="10">
        <f>'Model inputs'!M68*'Model inputs'!O86*'Model inputs'!O85</f>
        <v>150</v>
      </c>
      <c r="N10" s="10">
        <f>'Model inputs'!N68*'Model inputs'!O86*'Model inputs'!O85</f>
        <v>150</v>
      </c>
    </row>
    <row r="11" outlineLevel="1">
      <c r="A11" t="inlineStr" s="17">
        <is>
          <t xml:space="preserve">Account support cost &gt; Per audit — low</t>
        </is>
      </c>
      <c r="B11" s="10">
        <f>0</f>
        <v>0</v>
      </c>
      <c r="C11" s="10">
        <f>'Model inputs'!C68*'Model inputs'!O86*'Model inputs'!O85</f>
        <v>150</v>
      </c>
      <c r="D11" s="10">
        <f>'Model inputs'!D68*'Model inputs'!O86*'Model inputs'!O85</f>
        <v>150</v>
      </c>
      <c r="E11" s="10">
        <f>'Model inputs'!E68*'Model inputs'!O86*'Model inputs'!O85</f>
        <v>150</v>
      </c>
      <c r="F11" s="10">
        <f>'Model inputs'!F68*'Model inputs'!O86*'Model inputs'!O85</f>
        <v>150</v>
      </c>
      <c r="G11" s="10">
        <f>'Model inputs'!G68*'Model inputs'!O86*'Model inputs'!O85</f>
        <v>150</v>
      </c>
      <c r="H11" s="10">
        <f>'Model inputs'!H68*'Model inputs'!O86*'Model inputs'!O85</f>
        <v>150</v>
      </c>
      <c r="I11" s="10">
        <f>'Model inputs'!I68*'Model inputs'!O86*'Model inputs'!O85</f>
        <v>150</v>
      </c>
      <c r="J11" s="10">
        <f>'Model inputs'!J68*'Model inputs'!O86*'Model inputs'!O85</f>
        <v>150</v>
      </c>
      <c r="K11" s="10">
        <f>'Model inputs'!K68*'Model inputs'!O86*'Model inputs'!O85</f>
        <v>150</v>
      </c>
      <c r="L11" s="10">
        <f>'Model inputs'!L68*'Model inputs'!O86*'Model inputs'!O85</f>
        <v>150</v>
      </c>
      <c r="M11" s="10">
        <f>'Model inputs'!M68*'Model inputs'!O86*'Model inputs'!O85</f>
        <v>150</v>
      </c>
      <c r="N11" s="10">
        <f>'Model inputs'!N68*'Model inputs'!O86*'Model inputs'!O85</f>
        <v>150</v>
      </c>
    </row>
    <row r="12">
      <c r="A12" t="inlineStr" s="16">
        <is>
          <t xml:space="preserve">Audits delivered</t>
        </is>
      </c>
      <c r="B12" s="7">
        <f>SUM('Model inputs'!B13,'Model inputs'!B14,'Model inputs'!B15,'Model inputs'!B16,'Model inputs'!B17)</f>
        <v>0</v>
      </c>
      <c r="C12" t="str" s="7">
        <f>""</f>
        <v/>
      </c>
      <c r="D12" t="str" s="7">
        <f>""</f>
        <v/>
      </c>
      <c r="E12" t="str" s="7">
        <f>""</f>
        <v/>
      </c>
      <c r="F12" t="str" s="7">
        <f>""</f>
        <v/>
      </c>
      <c r="G12" t="str" s="7">
        <f>""</f>
        <v/>
      </c>
      <c r="H12" t="str" s="7">
        <f>""</f>
        <v/>
      </c>
      <c r="I12" t="str" s="7">
        <f>""</f>
        <v/>
      </c>
      <c r="J12" t="str" s="7">
        <f>""</f>
        <v/>
      </c>
      <c r="K12" t="str" s="7">
        <f>""</f>
        <v/>
      </c>
      <c r="L12" t="str" s="7">
        <f>""</f>
        <v/>
      </c>
      <c r="M12" t="str" s="7">
        <f>""</f>
        <v/>
      </c>
      <c r="N12" t="str" s="7">
        <f>""</f>
        <v/>
      </c>
    </row>
    <row r="13" outlineLevel="1">
      <c r="A13" t="inlineStr" s="17">
        <is>
          <t xml:space="preserve">Audits delivered &gt; Annual deal-team</t>
        </is>
      </c>
      <c r="B13" s="9">
        <f>0</f>
        <v>0</v>
      </c>
      <c r="C13" s="9">
        <f>'Model inputs'!C68*'Model inputs'!O31</f>
        <v>15</v>
      </c>
      <c r="D13" s="9">
        <f>'Model inputs'!D68*'Model inputs'!O31</f>
        <v>15</v>
      </c>
      <c r="E13" s="9">
        <f>'Model inputs'!E68*'Model inputs'!O31</f>
        <v>15</v>
      </c>
      <c r="F13" s="9">
        <f>'Model inputs'!F68*'Model inputs'!O31</f>
        <v>15</v>
      </c>
      <c r="G13" s="9">
        <f>'Model inputs'!G68*'Model inputs'!O31</f>
        <v>15</v>
      </c>
      <c r="H13" s="9">
        <f>'Model inputs'!H68*'Model inputs'!O31</f>
        <v>15</v>
      </c>
      <c r="I13" s="9">
        <f>'Model inputs'!I68*'Model inputs'!O31</f>
        <v>15</v>
      </c>
      <c r="J13" s="9">
        <f>'Model inputs'!J68*'Model inputs'!O31</f>
        <v>15</v>
      </c>
      <c r="K13" s="9">
        <f>'Model inputs'!K68*'Model inputs'!O31</f>
        <v>15</v>
      </c>
      <c r="L13" s="9">
        <f>'Model inputs'!L68*'Model inputs'!O31</f>
        <v>15</v>
      </c>
      <c r="M13" s="9">
        <f>'Model inputs'!M68*'Model inputs'!O31</f>
        <v>15</v>
      </c>
      <c r="N13" s="9">
        <f>'Model inputs'!N68*'Model inputs'!O31</f>
        <v>15</v>
      </c>
    </row>
    <row r="14" outlineLevel="1">
      <c r="A14" t="inlineStr" s="17">
        <is>
          <t xml:space="preserve">Audits delivered &gt; Hybrid</t>
        </is>
      </c>
      <c r="B14" s="9">
        <f>0</f>
        <v>0</v>
      </c>
      <c r="C14" s="9">
        <f>'Model inputs'!C68*'Model inputs'!O32</f>
        <v>15</v>
      </c>
      <c r="D14" s="9">
        <f>'Model inputs'!D68*'Model inputs'!O32</f>
        <v>15</v>
      </c>
      <c r="E14" s="9">
        <f>'Model inputs'!E68*'Model inputs'!O32</f>
        <v>15</v>
      </c>
      <c r="F14" s="9">
        <f>'Model inputs'!F68*'Model inputs'!O32</f>
        <v>15</v>
      </c>
      <c r="G14" s="9">
        <f>'Model inputs'!G68*'Model inputs'!O32</f>
        <v>15</v>
      </c>
      <c r="H14" s="9">
        <f>'Model inputs'!H68*'Model inputs'!O32</f>
        <v>15</v>
      </c>
      <c r="I14" s="9">
        <f>'Model inputs'!I68*'Model inputs'!O32</f>
        <v>15</v>
      </c>
      <c r="J14" s="9">
        <f>'Model inputs'!J68*'Model inputs'!O32</f>
        <v>15</v>
      </c>
      <c r="K14" s="9">
        <f>'Model inputs'!K68*'Model inputs'!O32</f>
        <v>15</v>
      </c>
      <c r="L14" s="9">
        <f>'Model inputs'!L68*'Model inputs'!O32</f>
        <v>15</v>
      </c>
      <c r="M14" s="9">
        <f>'Model inputs'!M68*'Model inputs'!O32</f>
        <v>15</v>
      </c>
      <c r="N14" s="9">
        <f>'Model inputs'!N68*'Model inputs'!O32</f>
        <v>15</v>
      </c>
    </row>
    <row r="15" outlineLevel="1">
      <c r="A15" t="inlineStr" s="17">
        <is>
          <t xml:space="preserve">Audits delivered &gt; Per audit — base</t>
        </is>
      </c>
      <c r="B15" s="9">
        <f>0</f>
        <v>0</v>
      </c>
      <c r="C15" s="9">
        <f>'Model inputs'!C68*'Model inputs'!O33</f>
        <v>15</v>
      </c>
      <c r="D15" s="9">
        <f>'Model inputs'!D68*'Model inputs'!O33</f>
        <v>15</v>
      </c>
      <c r="E15" s="9">
        <f>'Model inputs'!E68*'Model inputs'!O33</f>
        <v>15</v>
      </c>
      <c r="F15" s="9">
        <f>'Model inputs'!F68*'Model inputs'!O33</f>
        <v>15</v>
      </c>
      <c r="G15" s="9">
        <f>'Model inputs'!G68*'Model inputs'!O33</f>
        <v>15</v>
      </c>
      <c r="H15" s="9">
        <f>'Model inputs'!H68*'Model inputs'!O33</f>
        <v>15</v>
      </c>
      <c r="I15" s="9">
        <f>'Model inputs'!I68*'Model inputs'!O33</f>
        <v>15</v>
      </c>
      <c r="J15" s="9">
        <f>'Model inputs'!J68*'Model inputs'!O33</f>
        <v>15</v>
      </c>
      <c r="K15" s="9">
        <f>'Model inputs'!K68*'Model inputs'!O33</f>
        <v>15</v>
      </c>
      <c r="L15" s="9">
        <f>'Model inputs'!L68*'Model inputs'!O33</f>
        <v>15</v>
      </c>
      <c r="M15" s="9">
        <f>'Model inputs'!M68*'Model inputs'!O33</f>
        <v>15</v>
      </c>
      <c r="N15" s="9">
        <f>'Model inputs'!N68*'Model inputs'!O33</f>
        <v>15</v>
      </c>
    </row>
    <row r="16" outlineLevel="1">
      <c r="A16" t="inlineStr" s="17">
        <is>
          <t xml:space="preserve">Audits delivered &gt; Per audit — high</t>
        </is>
      </c>
      <c r="B16" s="9">
        <f>0</f>
        <v>0</v>
      </c>
      <c r="C16" s="9">
        <f>'Model inputs'!C68*'Model inputs'!O34</f>
        <v>15</v>
      </c>
      <c r="D16" s="9">
        <f>'Model inputs'!D68*'Model inputs'!O34</f>
        <v>15</v>
      </c>
      <c r="E16" s="9">
        <f>'Model inputs'!E68*'Model inputs'!O34</f>
        <v>15</v>
      </c>
      <c r="F16" s="9">
        <f>'Model inputs'!F68*'Model inputs'!O34</f>
        <v>15</v>
      </c>
      <c r="G16" s="9">
        <f>'Model inputs'!G68*'Model inputs'!O34</f>
        <v>15</v>
      </c>
      <c r="H16" s="9">
        <f>'Model inputs'!H68*'Model inputs'!O34</f>
        <v>15</v>
      </c>
      <c r="I16" s="9">
        <f>'Model inputs'!I68*'Model inputs'!O34</f>
        <v>15</v>
      </c>
      <c r="J16" s="9">
        <f>'Model inputs'!J68*'Model inputs'!O34</f>
        <v>15</v>
      </c>
      <c r="K16" s="9">
        <f>'Model inputs'!K68*'Model inputs'!O34</f>
        <v>15</v>
      </c>
      <c r="L16" s="9">
        <f>'Model inputs'!L68*'Model inputs'!O34</f>
        <v>15</v>
      </c>
      <c r="M16" s="9">
        <f>'Model inputs'!M68*'Model inputs'!O34</f>
        <v>15</v>
      </c>
      <c r="N16" s="9">
        <f>'Model inputs'!N68*'Model inputs'!O34</f>
        <v>15</v>
      </c>
    </row>
    <row r="17" outlineLevel="1">
      <c r="A17" t="inlineStr" s="17">
        <is>
          <t xml:space="preserve">Audits delivered &gt; Per audit — low</t>
        </is>
      </c>
      <c r="B17" s="9">
        <f>0</f>
        <v>0</v>
      </c>
      <c r="C17" s="9">
        <f>'Model inputs'!C68*'Model inputs'!O35</f>
        <v>15</v>
      </c>
      <c r="D17" s="9">
        <f>'Model inputs'!D68*'Model inputs'!O35</f>
        <v>15</v>
      </c>
      <c r="E17" s="9">
        <f>'Model inputs'!E68*'Model inputs'!O35</f>
        <v>15</v>
      </c>
      <c r="F17" s="9">
        <f>'Model inputs'!F68*'Model inputs'!O35</f>
        <v>15</v>
      </c>
      <c r="G17" s="9">
        <f>'Model inputs'!G68*'Model inputs'!O35</f>
        <v>15</v>
      </c>
      <c r="H17" s="9">
        <f>'Model inputs'!H68*'Model inputs'!O35</f>
        <v>15</v>
      </c>
      <c r="I17" s="9">
        <f>'Model inputs'!I68*'Model inputs'!O35</f>
        <v>15</v>
      </c>
      <c r="J17" s="9">
        <f>'Model inputs'!J68*'Model inputs'!O35</f>
        <v>15</v>
      </c>
      <c r="K17" s="9">
        <f>'Model inputs'!K68*'Model inputs'!O35</f>
        <v>15</v>
      </c>
      <c r="L17" s="9">
        <f>'Model inputs'!L68*'Model inputs'!O35</f>
        <v>15</v>
      </c>
      <c r="M17" s="9">
        <f>'Model inputs'!M68*'Model inputs'!O35</f>
        <v>15</v>
      </c>
      <c r="N17" s="9">
        <f>'Model inputs'!N68*'Model inputs'!O35</f>
        <v>15</v>
      </c>
    </row>
    <row r="18">
      <c r="A18" t="inlineStr" s="16">
        <is>
          <t xml:space="preserve">Available opening cash</t>
        </is>
      </c>
      <c r="O18" t="str" s="10">
        <f>""</f>
        <v/>
      </c>
    </row>
    <row r="19">
      <c r="A19" t="inlineStr" s="16">
        <is>
          <t xml:space="preserve">Cash collections</t>
        </is>
      </c>
      <c r="B19" s="12">
        <f>SUM('Model inputs'!B20,'Model inputs'!B21,'Model inputs'!B22,'Model inputs'!B23,'Model inputs'!B24)</f>
        <v>0</v>
      </c>
      <c r="C19" t="str" s="12">
        <f>""</f>
        <v/>
      </c>
      <c r="D19" t="str" s="12">
        <f>""</f>
        <v/>
      </c>
      <c r="E19" t="str" s="12">
        <f>""</f>
        <v/>
      </c>
      <c r="F19" t="str" s="12">
        <f>""</f>
        <v/>
      </c>
      <c r="G19" t="str" s="12">
        <f>""</f>
        <v/>
      </c>
      <c r="H19" t="str" s="12">
        <f>""</f>
        <v/>
      </c>
      <c r="I19" t="str" s="12">
        <f>""</f>
        <v/>
      </c>
      <c r="J19" t="str" s="12">
        <f>""</f>
        <v/>
      </c>
      <c r="K19" t="str" s="12">
        <f>""</f>
        <v/>
      </c>
      <c r="L19" t="str" s="12">
        <f>""</f>
        <v/>
      </c>
      <c r="M19" t="str" s="12">
        <f>""</f>
        <v/>
      </c>
      <c r="N19" t="str" s="12">
        <f>""</f>
        <v/>
      </c>
    </row>
    <row r="20" outlineLevel="1">
      <c r="A20" t="inlineStr" s="17">
        <is>
          <t xml:space="preserve">Cash collections &gt; Annual deal-team</t>
        </is>
      </c>
      <c r="B20" s="10">
        <f>0</f>
        <v>0</v>
      </c>
      <c r="C20" s="10">
        <f>'Model inputs'!C67*'Model inputs'!O88*(1-'Model inputs'!O78)+'Model inputs'!C52-'Model inputs'!C68*'Model inputs'!O88/12*(1-'Model inputs'!O78)</f>
        <v>125000</v>
      </c>
      <c r="D20" s="10">
        <f>'Model inputs'!D67*'Model inputs'!O88*(1-'Model inputs'!O78)+'Model inputs'!D52-'Model inputs'!D68*'Model inputs'!O88/12*(1-'Model inputs'!O78)</f>
        <v>5000</v>
      </c>
      <c r="E20" s="10">
        <f>'Model inputs'!E67*'Model inputs'!O88*(1-'Model inputs'!O78)+'Model inputs'!E52-'Model inputs'!E68*'Model inputs'!O88/12*(1-'Model inputs'!O78)</f>
        <v>5000</v>
      </c>
      <c r="F20" s="10">
        <f>'Model inputs'!F67*'Model inputs'!O88*(1-'Model inputs'!O78)+'Model inputs'!F52-'Model inputs'!F68*'Model inputs'!O88/12*(1-'Model inputs'!O78)</f>
        <v>5000</v>
      </c>
      <c r="G20" s="10">
        <f>'Model inputs'!G67*'Model inputs'!O88*(1-'Model inputs'!O78)+'Model inputs'!G52-'Model inputs'!G68*'Model inputs'!O88/12*(1-'Model inputs'!O78)</f>
        <v>5000</v>
      </c>
      <c r="H20" s="10">
        <f>'Model inputs'!H67*'Model inputs'!O88*(1-'Model inputs'!O78)+'Model inputs'!H52-'Model inputs'!H68*'Model inputs'!O88/12*(1-'Model inputs'!O78)</f>
        <v>5000</v>
      </c>
      <c r="I20" s="10">
        <f>'Model inputs'!I67*'Model inputs'!O88*(1-'Model inputs'!O78)+'Model inputs'!I52-'Model inputs'!I68*'Model inputs'!O88/12*(1-'Model inputs'!O78)</f>
        <v>5000</v>
      </c>
      <c r="J20" s="10">
        <f>'Model inputs'!J67*'Model inputs'!O88*(1-'Model inputs'!O78)+'Model inputs'!J52-'Model inputs'!J68*'Model inputs'!O88/12*(1-'Model inputs'!O78)</f>
        <v>5000</v>
      </c>
      <c r="K20" s="10">
        <f>'Model inputs'!K67*'Model inputs'!O88*(1-'Model inputs'!O78)+'Model inputs'!K52-'Model inputs'!K68*'Model inputs'!O88/12*(1-'Model inputs'!O78)</f>
        <v>5000</v>
      </c>
      <c r="L20" s="10">
        <f>'Model inputs'!L67*'Model inputs'!O88*(1-'Model inputs'!O78)+'Model inputs'!L52-'Model inputs'!L68*'Model inputs'!O88/12*(1-'Model inputs'!O78)</f>
        <v>5000</v>
      </c>
      <c r="M20" s="10">
        <f>'Model inputs'!M67*'Model inputs'!O88*(1-'Model inputs'!O78)+'Model inputs'!M52-'Model inputs'!M68*'Model inputs'!O88/12*(1-'Model inputs'!O78)</f>
        <v>5000</v>
      </c>
      <c r="N20" s="10">
        <f>'Model inputs'!N67*'Model inputs'!O88*(1-'Model inputs'!O78)+'Model inputs'!N52-'Model inputs'!N68*'Model inputs'!O88/12*(1-'Model inputs'!O78)</f>
        <v>5000</v>
      </c>
    </row>
    <row r="21" outlineLevel="1">
      <c r="A21" t="inlineStr" s="17">
        <is>
          <t xml:space="preserve">Cash collections &gt; Hybrid</t>
        </is>
      </c>
      <c r="B21" s="10">
        <f>0</f>
        <v>0</v>
      </c>
      <c r="C21" s="10">
        <f>'Model inputs'!C67*'Model inputs'!O89*(1-'Model inputs'!O78)+'Model inputs'!C53-'Model inputs'!C68*'Model inputs'!O89/12*(1-'Model inputs'!O78)</f>
        <v>45000</v>
      </c>
      <c r="D21" s="10">
        <f>'Model inputs'!D67*'Model inputs'!O89*(1-'Model inputs'!O78)+'Model inputs'!D53-'Model inputs'!D68*'Model inputs'!O89/12*(1-'Model inputs'!O78)</f>
        <v>15000</v>
      </c>
      <c r="E21" s="10">
        <f>'Model inputs'!E67*'Model inputs'!O89*(1-'Model inputs'!O78)+'Model inputs'!E53-'Model inputs'!E68*'Model inputs'!O89/12*(1-'Model inputs'!O78)</f>
        <v>15000</v>
      </c>
      <c r="F21" s="10">
        <f>'Model inputs'!F67*'Model inputs'!O89*(1-'Model inputs'!O78)+'Model inputs'!F53-'Model inputs'!F68*'Model inputs'!O89/12*(1-'Model inputs'!O78)</f>
        <v>15000</v>
      </c>
      <c r="G21" s="10">
        <f>'Model inputs'!G67*'Model inputs'!O89*(1-'Model inputs'!O78)+'Model inputs'!G53-'Model inputs'!G68*'Model inputs'!O89/12*(1-'Model inputs'!O78)</f>
        <v>15000</v>
      </c>
      <c r="H21" s="10">
        <f>'Model inputs'!H67*'Model inputs'!O89*(1-'Model inputs'!O78)+'Model inputs'!H53-'Model inputs'!H68*'Model inputs'!O89/12*(1-'Model inputs'!O78)</f>
        <v>15000</v>
      </c>
      <c r="I21" s="10">
        <f>'Model inputs'!I67*'Model inputs'!O89*(1-'Model inputs'!O78)+'Model inputs'!I53-'Model inputs'!I68*'Model inputs'!O89/12*(1-'Model inputs'!O78)</f>
        <v>15000</v>
      </c>
      <c r="J21" s="10">
        <f>'Model inputs'!J67*'Model inputs'!O89*(1-'Model inputs'!O78)+'Model inputs'!J53-'Model inputs'!J68*'Model inputs'!O89/12*(1-'Model inputs'!O78)</f>
        <v>15000</v>
      </c>
      <c r="K21" s="10">
        <f>'Model inputs'!K67*'Model inputs'!O89*(1-'Model inputs'!O78)+'Model inputs'!K53-'Model inputs'!K68*'Model inputs'!O89/12*(1-'Model inputs'!O78)</f>
        <v>15000</v>
      </c>
      <c r="L21" s="10">
        <f>'Model inputs'!L67*'Model inputs'!O89*(1-'Model inputs'!O78)+'Model inputs'!L53-'Model inputs'!L68*'Model inputs'!O89/12*(1-'Model inputs'!O78)</f>
        <v>15000</v>
      </c>
      <c r="M21" s="10">
        <f>'Model inputs'!M67*'Model inputs'!O89*(1-'Model inputs'!O78)+'Model inputs'!M53-'Model inputs'!M68*'Model inputs'!O89/12*(1-'Model inputs'!O78)</f>
        <v>15000</v>
      </c>
      <c r="N21" s="10">
        <f>'Model inputs'!N67*'Model inputs'!O89*(1-'Model inputs'!O78)+'Model inputs'!N53-'Model inputs'!N68*'Model inputs'!O89/12*(1-'Model inputs'!O78)</f>
        <v>15000</v>
      </c>
    </row>
    <row r="22" outlineLevel="1">
      <c r="A22" t="inlineStr" s="17">
        <is>
          <t xml:space="preserve">Cash collections &gt; Per audit — base</t>
        </is>
      </c>
      <c r="B22" s="10">
        <f>0</f>
        <v>0</v>
      </c>
      <c r="C22" s="10">
        <f>'Model inputs'!C67*'Model inputs'!O90*(1-'Model inputs'!O78)+'Model inputs'!C54-'Model inputs'!C68*'Model inputs'!O90/12*(1-'Model inputs'!O78)</f>
        <v>22500</v>
      </c>
      <c r="D22" s="10">
        <f>'Model inputs'!D67*'Model inputs'!O90*(1-'Model inputs'!O78)+'Model inputs'!D54-'Model inputs'!D68*'Model inputs'!O90/12*(1-'Model inputs'!O78)</f>
        <v>22500</v>
      </c>
      <c r="E22" s="10">
        <f>'Model inputs'!E67*'Model inputs'!O90*(1-'Model inputs'!O78)+'Model inputs'!E54-'Model inputs'!E68*'Model inputs'!O90/12*(1-'Model inputs'!O78)</f>
        <v>22500</v>
      </c>
      <c r="F22" s="10">
        <f>'Model inputs'!F67*'Model inputs'!O90*(1-'Model inputs'!O78)+'Model inputs'!F54-'Model inputs'!F68*'Model inputs'!O90/12*(1-'Model inputs'!O78)</f>
        <v>22500</v>
      </c>
      <c r="G22" s="10">
        <f>'Model inputs'!G67*'Model inputs'!O90*(1-'Model inputs'!O78)+'Model inputs'!G54-'Model inputs'!G68*'Model inputs'!O90/12*(1-'Model inputs'!O78)</f>
        <v>22500</v>
      </c>
      <c r="H22" s="10">
        <f>'Model inputs'!H67*'Model inputs'!O90*(1-'Model inputs'!O78)+'Model inputs'!H54-'Model inputs'!H68*'Model inputs'!O90/12*(1-'Model inputs'!O78)</f>
        <v>22500</v>
      </c>
      <c r="I22" s="10">
        <f>'Model inputs'!I67*'Model inputs'!O90*(1-'Model inputs'!O78)+'Model inputs'!I54-'Model inputs'!I68*'Model inputs'!O90/12*(1-'Model inputs'!O78)</f>
        <v>22500</v>
      </c>
      <c r="J22" s="10">
        <f>'Model inputs'!J67*'Model inputs'!O90*(1-'Model inputs'!O78)+'Model inputs'!J54-'Model inputs'!J68*'Model inputs'!O90/12*(1-'Model inputs'!O78)</f>
        <v>22500</v>
      </c>
      <c r="K22" s="10">
        <f>'Model inputs'!K67*'Model inputs'!O90*(1-'Model inputs'!O78)+'Model inputs'!K54-'Model inputs'!K68*'Model inputs'!O90/12*(1-'Model inputs'!O78)</f>
        <v>22500</v>
      </c>
      <c r="L22" s="10">
        <f>'Model inputs'!L67*'Model inputs'!O90*(1-'Model inputs'!O78)+'Model inputs'!L54-'Model inputs'!L68*'Model inputs'!O90/12*(1-'Model inputs'!O78)</f>
        <v>22500</v>
      </c>
      <c r="M22" s="10">
        <f>'Model inputs'!M67*'Model inputs'!O90*(1-'Model inputs'!O78)+'Model inputs'!M54-'Model inputs'!M68*'Model inputs'!O90/12*(1-'Model inputs'!O78)</f>
        <v>22500</v>
      </c>
      <c r="N22" s="10">
        <f>'Model inputs'!N67*'Model inputs'!O90*(1-'Model inputs'!O78)+'Model inputs'!N54-'Model inputs'!N68*'Model inputs'!O90/12*(1-'Model inputs'!O78)</f>
        <v>22500</v>
      </c>
    </row>
    <row r="23" outlineLevel="1">
      <c r="A23" t="inlineStr" s="17">
        <is>
          <t xml:space="preserve">Cash collections &gt; Per audit — high</t>
        </is>
      </c>
      <c r="B23" s="10">
        <f>0</f>
        <v>0</v>
      </c>
      <c r="C23" s="10">
        <f>'Model inputs'!C67*'Model inputs'!O91*(1-'Model inputs'!O78)+'Model inputs'!C55-'Model inputs'!C68*'Model inputs'!O91/12*(1-'Model inputs'!O78)</f>
        <v>45000</v>
      </c>
      <c r="D23" s="10">
        <f>'Model inputs'!D67*'Model inputs'!O91*(1-'Model inputs'!O78)+'Model inputs'!D55-'Model inputs'!D68*'Model inputs'!O91/12*(1-'Model inputs'!O78)</f>
        <v>45000</v>
      </c>
      <c r="E23" s="10">
        <f>'Model inputs'!E67*'Model inputs'!O91*(1-'Model inputs'!O78)+'Model inputs'!E55-'Model inputs'!E68*'Model inputs'!O91/12*(1-'Model inputs'!O78)</f>
        <v>45000</v>
      </c>
      <c r="F23" s="10">
        <f>'Model inputs'!F67*'Model inputs'!O91*(1-'Model inputs'!O78)+'Model inputs'!F55-'Model inputs'!F68*'Model inputs'!O91/12*(1-'Model inputs'!O78)</f>
        <v>45000</v>
      </c>
      <c r="G23" s="10">
        <f>'Model inputs'!G67*'Model inputs'!O91*(1-'Model inputs'!O78)+'Model inputs'!G55-'Model inputs'!G68*'Model inputs'!O91/12*(1-'Model inputs'!O78)</f>
        <v>45000</v>
      </c>
      <c r="H23" s="10">
        <f>'Model inputs'!H67*'Model inputs'!O91*(1-'Model inputs'!O78)+'Model inputs'!H55-'Model inputs'!H68*'Model inputs'!O91/12*(1-'Model inputs'!O78)</f>
        <v>45000</v>
      </c>
      <c r="I23" s="10">
        <f>'Model inputs'!I67*'Model inputs'!O91*(1-'Model inputs'!O78)+'Model inputs'!I55-'Model inputs'!I68*'Model inputs'!O91/12*(1-'Model inputs'!O78)</f>
        <v>45000</v>
      </c>
      <c r="J23" s="10">
        <f>'Model inputs'!J67*'Model inputs'!O91*(1-'Model inputs'!O78)+'Model inputs'!J55-'Model inputs'!J68*'Model inputs'!O91/12*(1-'Model inputs'!O78)</f>
        <v>45000</v>
      </c>
      <c r="K23" s="10">
        <f>'Model inputs'!K67*'Model inputs'!O91*(1-'Model inputs'!O78)+'Model inputs'!K55-'Model inputs'!K68*'Model inputs'!O91/12*(1-'Model inputs'!O78)</f>
        <v>45000</v>
      </c>
      <c r="L23" s="10">
        <f>'Model inputs'!L67*'Model inputs'!O91*(1-'Model inputs'!O78)+'Model inputs'!L55-'Model inputs'!L68*'Model inputs'!O91/12*(1-'Model inputs'!O78)</f>
        <v>45000</v>
      </c>
      <c r="M23" s="10">
        <f>'Model inputs'!M67*'Model inputs'!O91*(1-'Model inputs'!O78)+'Model inputs'!M55-'Model inputs'!M68*'Model inputs'!O91/12*(1-'Model inputs'!O78)</f>
        <v>45000</v>
      </c>
      <c r="N23" s="10">
        <f>'Model inputs'!N67*'Model inputs'!O91*(1-'Model inputs'!O78)+'Model inputs'!N55-'Model inputs'!N68*'Model inputs'!O91/12*(1-'Model inputs'!O78)</f>
        <v>45000</v>
      </c>
    </row>
    <row r="24" outlineLevel="1">
      <c r="A24" t="inlineStr" s="17">
        <is>
          <t xml:space="preserve">Cash collections &gt; Per audit — low</t>
        </is>
      </c>
      <c r="B24" s="10">
        <f>0</f>
        <v>0</v>
      </c>
      <c r="C24" s="10">
        <f>'Model inputs'!C67*'Model inputs'!O92*(1-'Model inputs'!O78)+'Model inputs'!C56-'Model inputs'!C68*'Model inputs'!O92/12*(1-'Model inputs'!O78)</f>
        <v>11250</v>
      </c>
      <c r="D24" s="10">
        <f>'Model inputs'!D67*'Model inputs'!O92*(1-'Model inputs'!O78)+'Model inputs'!D56-'Model inputs'!D68*'Model inputs'!O92/12*(1-'Model inputs'!O78)</f>
        <v>11250</v>
      </c>
      <c r="E24" s="10">
        <f>'Model inputs'!E67*'Model inputs'!O92*(1-'Model inputs'!O78)+'Model inputs'!E56-'Model inputs'!E68*'Model inputs'!O92/12*(1-'Model inputs'!O78)</f>
        <v>11250</v>
      </c>
      <c r="F24" s="10">
        <f>'Model inputs'!F67*'Model inputs'!O92*(1-'Model inputs'!O78)+'Model inputs'!F56-'Model inputs'!F68*'Model inputs'!O92/12*(1-'Model inputs'!O78)</f>
        <v>11250</v>
      </c>
      <c r="G24" s="10">
        <f>'Model inputs'!G67*'Model inputs'!O92*(1-'Model inputs'!O78)+'Model inputs'!G56-'Model inputs'!G68*'Model inputs'!O92/12*(1-'Model inputs'!O78)</f>
        <v>11250</v>
      </c>
      <c r="H24" s="10">
        <f>'Model inputs'!H67*'Model inputs'!O92*(1-'Model inputs'!O78)+'Model inputs'!H56-'Model inputs'!H68*'Model inputs'!O92/12*(1-'Model inputs'!O78)</f>
        <v>11250</v>
      </c>
      <c r="I24" s="10">
        <f>'Model inputs'!I67*'Model inputs'!O92*(1-'Model inputs'!O78)+'Model inputs'!I56-'Model inputs'!I68*'Model inputs'!O92/12*(1-'Model inputs'!O78)</f>
        <v>11250</v>
      </c>
      <c r="J24" s="10">
        <f>'Model inputs'!J67*'Model inputs'!O92*(1-'Model inputs'!O78)+'Model inputs'!J56-'Model inputs'!J68*'Model inputs'!O92/12*(1-'Model inputs'!O78)</f>
        <v>11250</v>
      </c>
      <c r="K24" s="10">
        <f>'Model inputs'!K67*'Model inputs'!O92*(1-'Model inputs'!O78)+'Model inputs'!K56-'Model inputs'!K68*'Model inputs'!O92/12*(1-'Model inputs'!O78)</f>
        <v>11250</v>
      </c>
      <c r="L24" s="10">
        <f>'Model inputs'!L67*'Model inputs'!O92*(1-'Model inputs'!O78)+'Model inputs'!L56-'Model inputs'!L68*'Model inputs'!O92/12*(1-'Model inputs'!O78)</f>
        <v>11250</v>
      </c>
      <c r="M24" s="10">
        <f>'Model inputs'!M67*'Model inputs'!O92*(1-'Model inputs'!O78)+'Model inputs'!M56-'Model inputs'!M68*'Model inputs'!O92/12*(1-'Model inputs'!O78)</f>
        <v>11250</v>
      </c>
      <c r="N24" s="10">
        <f>'Model inputs'!N67*'Model inputs'!O92*(1-'Model inputs'!O78)+'Model inputs'!N56-'Model inputs'!N68*'Model inputs'!O92/12*(1-'Model inputs'!O78)</f>
        <v>11250</v>
      </c>
    </row>
    <row r="25">
      <c r="A25" t="inlineStr" s="16">
        <is>
          <t xml:space="preserve">Cash supplied switch</t>
        </is>
      </c>
      <c r="O25" s="9">
        <f>0</f>
        <v>0</v>
      </c>
    </row>
    <row r="26">
      <c r="A26" t="inlineStr" s="16">
        <is>
          <t xml:space="preserve">Compliance monthly</t>
        </is>
      </c>
      <c r="O26" s="10">
        <f>500</f>
        <v>500</v>
      </c>
    </row>
    <row r="27">
      <c r="A27" t="inlineStr" s="16">
        <is>
          <t xml:space="preserve">Compliance start month</t>
        </is>
      </c>
      <c r="O27" s="9">
        <f>6</f>
        <v>6</v>
      </c>
    </row>
    <row r="28">
      <c r="A28" t="inlineStr" s="16">
        <is>
          <t xml:space="preserve">Crustdata credits per audit</t>
        </is>
      </c>
      <c r="O28" s="9">
        <f>26</f>
        <v>26</v>
      </c>
    </row>
    <row r="29">
      <c r="A29" t="inlineStr" s="16">
        <is>
          <t xml:space="preserve">Cumulative net cash burn</t>
        </is>
      </c>
      <c r="B29" s="10">
        <v>0</v>
      </c>
      <c r="C29" s="10">
        <f>IF(IF(IF(IF(ISERROR('Model inputs'!C80=1),'Model inputs'!C80=1,IF('Model inputs'!C80="","",'Model inputs'!C80=1))="",FALSE,IF(ISERROR('Model inputs'!C80=1),'Model inputs'!C80=1,IF('Model inputs'!C80="","",'Model inputs'!C80=1))),0,IF('Model inputs'!B29="","",'Model inputs'!B29))="",0,IF(IF(IF(ISERROR('Model inputs'!C80=1),'Model inputs'!C80=1,IF('Model inputs'!C80="","",'Model inputs'!C80=1))="",FALSE,IF(ISERROR('Model inputs'!C80=1),'Model inputs'!C80=1,IF('Model inputs'!C80="","",'Model inputs'!C80=1))),0,IF('Model inputs'!B29="","",'Model inputs'!B29)))+'Model inputs'!C77</f>
        <v>-19505.25</v>
      </c>
      <c r="D29" s="10">
        <f>IF(IF(IF(IF(ISERROR('Model inputs'!D80=1),'Model inputs'!D80=1,IF('Model inputs'!D80="","",'Model inputs'!D80=1))="",FALSE,IF(ISERROR('Model inputs'!D80=1),'Model inputs'!D80=1,IF('Model inputs'!D80="","",'Model inputs'!D80=1))),0,IF('Model inputs'!C29="","",'Model inputs'!C29))="",0,IF(IF(IF(ISERROR('Model inputs'!D80=1),'Model inputs'!D80=1,IF('Model inputs'!D80="","",'Model inputs'!D80=1))="",FALSE,IF(ISERROR('Model inputs'!D80=1),'Model inputs'!D80=1,IF('Model inputs'!D80="","",'Model inputs'!D80=1))),0,IF('Model inputs'!C29="","",'Model inputs'!C29)))+'Model inputs'!D77</f>
        <v>-39010.5</v>
      </c>
      <c r="E29" s="10">
        <f>IF(IF(IF(IF(ISERROR('Model inputs'!E80=1),'Model inputs'!E80=1,IF('Model inputs'!E80="","",'Model inputs'!E80=1))="",FALSE,IF(ISERROR('Model inputs'!E80=1),'Model inputs'!E80=1,IF('Model inputs'!E80="","",'Model inputs'!E80=1))),0,IF('Model inputs'!D29="","",'Model inputs'!D29))="",0,IF(IF(IF(ISERROR('Model inputs'!E80=1),'Model inputs'!E80=1,IF('Model inputs'!E80="","",'Model inputs'!E80=1))="",FALSE,IF(ISERROR('Model inputs'!E80=1),'Model inputs'!E80=1,IF('Model inputs'!E80="","",'Model inputs'!E80=1))),0,IF('Model inputs'!D29="","",'Model inputs'!D29)))+'Model inputs'!E77</f>
        <v>-58515.75</v>
      </c>
      <c r="F29" s="10">
        <f>IF(IF(IF(IF(ISERROR('Model inputs'!F80=1),'Model inputs'!F80=1,IF('Model inputs'!F80="","",'Model inputs'!F80=1))="",FALSE,IF(ISERROR('Model inputs'!F80=1),'Model inputs'!F80=1,IF('Model inputs'!F80="","",'Model inputs'!F80=1))),0,IF('Model inputs'!E29="","",'Model inputs'!E29))="",0,IF(IF(IF(ISERROR('Model inputs'!F80=1),'Model inputs'!F80=1,IF('Model inputs'!F80="","",'Model inputs'!F80=1))="",FALSE,IF(ISERROR('Model inputs'!F80=1),'Model inputs'!F80=1,IF('Model inputs'!F80="","",'Model inputs'!F80=1))),0,IF('Model inputs'!E29="","",'Model inputs'!E29)))+'Model inputs'!F77</f>
        <v>-78021</v>
      </c>
      <c r="G29" s="10">
        <f>IF(IF(IF(IF(ISERROR('Model inputs'!G80=1),'Model inputs'!G80=1,IF('Model inputs'!G80="","",'Model inputs'!G80=1))="",FALSE,IF(ISERROR('Model inputs'!G80=1),'Model inputs'!G80=1,IF('Model inputs'!G80="","",'Model inputs'!G80=1))),0,IF('Model inputs'!F29="","",'Model inputs'!F29))="",0,IF(IF(IF(ISERROR('Model inputs'!G80=1),'Model inputs'!G80=1,IF('Model inputs'!G80="","",'Model inputs'!G80=1))="",FALSE,IF(ISERROR('Model inputs'!G80=1),'Model inputs'!G80=1,IF('Model inputs'!G80="","",'Model inputs'!G80=1))),0,IF('Model inputs'!F29="","",'Model inputs'!F29)))+'Model inputs'!G77</f>
        <v>-97526.25</v>
      </c>
      <c r="H29" s="10">
        <f>IF(IF(IF(IF(ISERROR('Model inputs'!H80=1),'Model inputs'!H80=1,IF('Model inputs'!H80="","",'Model inputs'!H80=1))="",FALSE,IF(ISERROR('Model inputs'!H80=1),'Model inputs'!H80=1,IF('Model inputs'!H80="","",'Model inputs'!H80=1))),0,IF('Model inputs'!G29="","",'Model inputs'!G29))="",0,IF(IF(IF(ISERROR('Model inputs'!H80=1),'Model inputs'!H80=1,IF('Model inputs'!H80="","",'Model inputs'!H80=1))="",FALSE,IF(ISERROR('Model inputs'!H80=1),'Model inputs'!H80=1,IF('Model inputs'!H80="","",'Model inputs'!H80=1))),0,IF('Model inputs'!G29="","",'Model inputs'!G29)))+'Model inputs'!H77</f>
        <v>-116531.5</v>
      </c>
      <c r="I29" s="10">
        <f>IF(IF(IF(IF(ISERROR('Model inputs'!I80=1),'Model inputs'!I80=1,IF('Model inputs'!I80="","",'Model inputs'!I80=1))="",FALSE,IF(ISERROR('Model inputs'!I80=1),'Model inputs'!I80=1,IF('Model inputs'!I80="","",'Model inputs'!I80=1))),0,IF('Model inputs'!H29="","",'Model inputs'!H29))="",0,IF(IF(IF(ISERROR('Model inputs'!I80=1),'Model inputs'!I80=1,IF('Model inputs'!I80="","",'Model inputs'!I80=1))="",FALSE,IF(ISERROR('Model inputs'!I80=1),'Model inputs'!I80=1,IF('Model inputs'!I80="","",'Model inputs'!I80=1))),0,IF('Model inputs'!H29="","",'Model inputs'!H29)))+'Model inputs'!I77</f>
        <v>-135536.75</v>
      </c>
      <c r="J29" s="10">
        <f>IF(IF(IF(IF(ISERROR('Model inputs'!J80=1),'Model inputs'!J80=1,IF('Model inputs'!J80="","",'Model inputs'!J80=1))="",FALSE,IF(ISERROR('Model inputs'!J80=1),'Model inputs'!J80=1,IF('Model inputs'!J80="","",'Model inputs'!J80=1))),0,IF('Model inputs'!I29="","",'Model inputs'!I29))="",0,IF(IF(IF(ISERROR('Model inputs'!J80=1),'Model inputs'!J80=1,IF('Model inputs'!J80="","",'Model inputs'!J80=1))="",FALSE,IF(ISERROR('Model inputs'!J80=1),'Model inputs'!J80=1,IF('Model inputs'!J80="","",'Model inputs'!J80=1))),0,IF('Model inputs'!I29="","",'Model inputs'!I29)))+'Model inputs'!J77</f>
        <v>-154542</v>
      </c>
      <c r="K29" s="10">
        <f>IF(IF(IF(IF(ISERROR('Model inputs'!K80=1),'Model inputs'!K80=1,IF('Model inputs'!K80="","",'Model inputs'!K80=1))="",FALSE,IF(ISERROR('Model inputs'!K80=1),'Model inputs'!K80=1,IF('Model inputs'!K80="","",'Model inputs'!K80=1))),0,IF('Model inputs'!J29="","",'Model inputs'!J29))="",0,IF(IF(IF(ISERROR('Model inputs'!K80=1),'Model inputs'!K80=1,IF('Model inputs'!K80="","",'Model inputs'!K80=1))="",FALSE,IF(ISERROR('Model inputs'!K80=1),'Model inputs'!K80=1,IF('Model inputs'!K80="","",'Model inputs'!K80=1))),0,IF('Model inputs'!J29="","",'Model inputs'!J29)))+'Model inputs'!K77</f>
        <v>-173547.25</v>
      </c>
      <c r="L29" s="10">
        <f>IF(IF(IF(IF(ISERROR('Model inputs'!L80=1),'Model inputs'!L80=1,IF('Model inputs'!L80="","",'Model inputs'!L80=1))="",FALSE,IF(ISERROR('Model inputs'!L80=1),'Model inputs'!L80=1,IF('Model inputs'!L80="","",'Model inputs'!L80=1))),0,IF('Model inputs'!K29="","",'Model inputs'!K29))="",0,IF(IF(IF(ISERROR('Model inputs'!L80=1),'Model inputs'!L80=1,IF('Model inputs'!L80="","",'Model inputs'!L80=1))="",FALSE,IF(ISERROR('Model inputs'!L80=1),'Model inputs'!L80=1,IF('Model inputs'!L80="","",'Model inputs'!L80=1))),0,IF('Model inputs'!K29="","",'Model inputs'!K29)))+'Model inputs'!L77</f>
        <v>-192552.5</v>
      </c>
      <c r="M29" s="10">
        <f>IF(IF(IF(IF(ISERROR('Model inputs'!M80=1),'Model inputs'!M80=1,IF('Model inputs'!M80="","",'Model inputs'!M80=1))="",FALSE,IF(ISERROR('Model inputs'!M80=1),'Model inputs'!M80=1,IF('Model inputs'!M80="","",'Model inputs'!M80=1))),0,IF('Model inputs'!L29="","",'Model inputs'!L29))="",0,IF(IF(IF(ISERROR('Model inputs'!M80=1),'Model inputs'!M80=1,IF('Model inputs'!M80="","",'Model inputs'!M80=1))="",FALSE,IF(ISERROR('Model inputs'!M80=1),'Model inputs'!M80=1,IF('Model inputs'!M80="","",'Model inputs'!M80=1))),0,IF('Model inputs'!L29="","",'Model inputs'!L29)))+'Model inputs'!M77</f>
        <v>-211557.75</v>
      </c>
      <c r="N29" s="10">
        <f>IF(IF(IF(IF(ISERROR('Model inputs'!N80=1),'Model inputs'!N80=1,IF('Model inputs'!N80="","",'Model inputs'!N80=1))="",FALSE,IF(ISERROR('Model inputs'!N80=1),'Model inputs'!N80=1,IF('Model inputs'!N80="","",'Model inputs'!N80=1))),0,IF('Model inputs'!M29="","",'Model inputs'!M29))="",0,IF(IF(IF(ISERROR('Model inputs'!N80=1),'Model inputs'!N80=1,IF('Model inputs'!N80="","",'Model inputs'!N80=1))="",FALSE,IF(ISERROR('Model inputs'!N80=1),'Model inputs'!N80=1,IF('Model inputs'!N80="","",'Model inputs'!N80=1))),0,IF('Model inputs'!M29="","",'Model inputs'!M29)))+'Model inputs'!N77</f>
        <v>-230563</v>
      </c>
      <c r="P29" s="10">
        <v>0</v>
      </c>
    </row>
    <row r="30">
      <c r="A30" t="inlineStr" s="16">
        <is>
          <t xml:space="preserve">Customer monthly delivered audits</t>
        </is>
      </c>
      <c r="O30" s="7">
        <v>3</v>
      </c>
    </row>
    <row r="31" outlineLevel="1">
      <c r="A31" t="inlineStr" s="17">
        <is>
          <t xml:space="preserve">Customer monthly delivered audits &gt; Annual deal-team</t>
        </is>
      </c>
      <c r="O31" s="9">
        <f>'Model inputs'!O105*IF(IF(EXACT("Annual deal-team","Annual deal-team"),IF('Model inputs'!O98="","",'Model inputs'!O98),1)="",0,IF(EXACT("Annual deal-team","Annual deal-team"),IF('Model inputs'!O98="","",'Model inputs'!O98),1))</f>
        <v>3</v>
      </c>
    </row>
    <row r="32" outlineLevel="1">
      <c r="A32" t="inlineStr" s="17">
        <is>
          <t xml:space="preserve">Customer monthly delivered audits &gt; Hybrid</t>
        </is>
      </c>
      <c r="O32" s="9">
        <f>'Model inputs'!O105*IF(IF(EXACT("Hybrid","Annual deal-team"),IF('Model inputs'!O98="","",'Model inputs'!O98),1)="",0,IF(EXACT("Hybrid","Annual deal-team"),IF('Model inputs'!O98="","",'Model inputs'!O98),1))</f>
        <v>3</v>
      </c>
    </row>
    <row r="33" outlineLevel="1">
      <c r="A33" t="inlineStr" s="17">
        <is>
          <t xml:space="preserve">Customer monthly delivered audits &gt; Per audit — base</t>
        </is>
      </c>
      <c r="O33" s="9">
        <f>'Model inputs'!O105*IF(IF(EXACT("Per audit — base","Annual deal-team"),IF('Model inputs'!O98="","",'Model inputs'!O98),1)="",0,IF(EXACT("Per audit — base","Annual deal-team"),IF('Model inputs'!O98="","",'Model inputs'!O98),1))</f>
        <v>3</v>
      </c>
    </row>
    <row r="34" outlineLevel="1">
      <c r="A34" t="inlineStr" s="17">
        <is>
          <t xml:space="preserve">Customer monthly delivered audits &gt; Per audit — high</t>
        </is>
      </c>
      <c r="O34" s="9">
        <f>'Model inputs'!O105*IF(IF(EXACT("Per audit — high","Annual deal-team"),IF('Model inputs'!O98="","",'Model inputs'!O98),1)="",0,IF(EXACT("Per audit — high","Annual deal-team"),IF('Model inputs'!O98="","",'Model inputs'!O98),1))</f>
        <v>3</v>
      </c>
    </row>
    <row r="35" outlineLevel="1">
      <c r="A35" t="inlineStr" s="17">
        <is>
          <t xml:space="preserve">Customer monthly delivered audits &gt; Per audit — low</t>
        </is>
      </c>
      <c r="O35" s="9">
        <f>'Model inputs'!O105*IF(IF(EXACT("Per audit — low","Annual deal-team"),IF('Model inputs'!O98="","",'Model inputs'!O98),1)="",0,IF(EXACT("Per audit — low","Annual deal-team"),IF('Model inputs'!O98="","",'Model inputs'!O98),1))</f>
        <v>3</v>
      </c>
    </row>
    <row r="36">
      <c r="A36" t="inlineStr" s="16">
        <is>
          <t xml:space="preserve">Customer monthly earned revenue</t>
        </is>
      </c>
      <c r="O36" s="12">
        <v>0</v>
      </c>
    </row>
    <row r="37" outlineLevel="1">
      <c r="A37" t="inlineStr" s="17">
        <is>
          <t xml:space="preserve">Customer monthly earned revenue &gt; Annual deal-team</t>
        </is>
      </c>
      <c r="O37" s="10">
        <f>IF(EXACT("Annual deal-team","Annual deal-team"),('Model inputs'!O88/12+MAX('Model inputs'!O105*'Model inputs'!O98-'Model inputs'!O110/12,0)*'Model inputs'!O117)*(1-'Model inputs'!O78),('Model inputs'!O88/12+'Model inputs'!O100*'Model inputs'!O105)*(1-'Model inputs'!O78))</f>
        <v>3000</v>
      </c>
    </row>
    <row r="38" outlineLevel="1">
      <c r="A38" t="inlineStr" s="17">
        <is>
          <t xml:space="preserve">Customer monthly earned revenue &gt; Hybrid</t>
        </is>
      </c>
      <c r="O38" s="10">
        <f>IF(EXACT("Hybrid","Annual deal-team"),('Model inputs'!O89/12+MAX('Model inputs'!O105*'Model inputs'!O98-'Model inputs'!O111/12,0)*'Model inputs'!O118)*(1-'Model inputs'!O78),('Model inputs'!O89/12+'Model inputs'!O101*'Model inputs'!O105)*(1-'Model inputs'!O78))</f>
        <v>3500</v>
      </c>
    </row>
    <row r="39" outlineLevel="1">
      <c r="A39" t="inlineStr" s="17">
        <is>
          <t xml:space="preserve">Customer monthly earned revenue &gt; Per audit — base</t>
        </is>
      </c>
      <c r="O39" s="10">
        <f>IF(EXACT("Per audit — base","Annual deal-team"),('Model inputs'!O90/12+MAX('Model inputs'!O105*'Model inputs'!O98-'Model inputs'!O112/12,0)*'Model inputs'!O119)*(1-'Model inputs'!O78),('Model inputs'!O90/12+'Model inputs'!O102*'Model inputs'!O105)*(1-'Model inputs'!O78))</f>
        <v>4500</v>
      </c>
    </row>
    <row r="40" outlineLevel="1">
      <c r="A40" t="inlineStr" s="17">
        <is>
          <t xml:space="preserve">Customer monthly earned revenue &gt; Per audit — high</t>
        </is>
      </c>
      <c r="O40" s="10">
        <f>IF(EXACT("Per audit — high","Annual deal-team"),('Model inputs'!O91/12+MAX('Model inputs'!O105*'Model inputs'!O98-'Model inputs'!O113/12,0)*'Model inputs'!O120)*(1-'Model inputs'!O78),('Model inputs'!O91/12+'Model inputs'!O103*'Model inputs'!O105)*(1-'Model inputs'!O78))</f>
        <v>9000</v>
      </c>
    </row>
    <row r="41" outlineLevel="1">
      <c r="A41" t="inlineStr" s="17">
        <is>
          <t xml:space="preserve">Customer monthly earned revenue &gt; Per audit — low</t>
        </is>
      </c>
      <c r="O41" s="10">
        <f>IF(EXACT("Per audit — low","Annual deal-team"),('Model inputs'!O92/12+MAX('Model inputs'!O105*'Model inputs'!O98-'Model inputs'!O114/12,0)*'Model inputs'!O121)*(1-'Model inputs'!O78),('Model inputs'!O92/12+'Model inputs'!O104*'Model inputs'!O105)*(1-'Model inputs'!O78))</f>
        <v>2250</v>
      </c>
    </row>
    <row r="42">
      <c r="A42" t="inlineStr" s="16">
        <is>
          <t xml:space="preserve">Data minimum monthly</t>
        </is>
      </c>
      <c r="O42" s="10">
        <f>0</f>
        <v>0</v>
      </c>
    </row>
    <row r="43">
      <c r="A43" t="inlineStr" s="16">
        <is>
          <t xml:space="preserve">Deferred subscription revenue</t>
        </is>
      </c>
      <c r="B43" s="10">
        <v>0</v>
      </c>
      <c r="C43" s="10">
        <f>IF(IF(IF(IF(ISERROR('Model inputs'!C80=1),'Model inputs'!C80=1,IF('Model inputs'!C80="","",'Model inputs'!C80=1))="",FALSE,IF(ISERROR('Model inputs'!C80=1),'Model inputs'!C80=1,IF('Model inputs'!C80="","",'Model inputs'!C80=1))),0,IF('Model inputs'!B43="","",'Model inputs'!B43))="",0,IF(IF(IF(ISERROR('Model inputs'!C80=1),'Model inputs'!C80=1,IF('Model inputs'!C80="","",'Model inputs'!C80=1))="",FALSE,IF(ISERROR('Model inputs'!C80=1),'Model inputs'!C80=1,IF('Model inputs'!C80="","",'Model inputs'!C80=1))),0,IF('Model inputs'!B43="","",'Model inputs'!B43)))+'Model inputs'!C75-'Model inputs'!C76</f>
        <v>0</v>
      </c>
      <c r="D43" s="10">
        <f>IF(IF(IF(IF(ISERROR('Model inputs'!D80=1),'Model inputs'!D80=1,IF('Model inputs'!D80="","",'Model inputs'!D80=1))="",FALSE,IF(ISERROR('Model inputs'!D80=1),'Model inputs'!D80=1,IF('Model inputs'!D80="","",'Model inputs'!D80=1))),0,IF('Model inputs'!C43="","",'Model inputs'!C43))="",0,IF(IF(IF(ISERROR('Model inputs'!D80=1),'Model inputs'!D80=1,IF('Model inputs'!D80="","",'Model inputs'!D80=1))="",FALSE,IF(ISERROR('Model inputs'!D80=1),'Model inputs'!D80=1,IF('Model inputs'!D80="","",'Model inputs'!D80=1))),0,IF('Model inputs'!C43="","",'Model inputs'!C43)))+'Model inputs'!D75-'Model inputs'!D76</f>
        <v>0</v>
      </c>
      <c r="E43" s="10">
        <f>IF(IF(IF(IF(ISERROR('Model inputs'!E80=1),'Model inputs'!E80=1,IF('Model inputs'!E80="","",'Model inputs'!E80=1))="",FALSE,IF(ISERROR('Model inputs'!E80=1),'Model inputs'!E80=1,IF('Model inputs'!E80="","",'Model inputs'!E80=1))),0,IF('Model inputs'!D43="","",'Model inputs'!D43))="",0,IF(IF(IF(ISERROR('Model inputs'!E80=1),'Model inputs'!E80=1,IF('Model inputs'!E80="","",'Model inputs'!E80=1))="",FALSE,IF(ISERROR('Model inputs'!E80=1),'Model inputs'!E80=1,IF('Model inputs'!E80="","",'Model inputs'!E80=1))),0,IF('Model inputs'!D43="","",'Model inputs'!D43)))+'Model inputs'!E75-'Model inputs'!E76</f>
        <v>0</v>
      </c>
      <c r="F43" s="10">
        <f>IF(IF(IF(IF(ISERROR('Model inputs'!F80=1),'Model inputs'!F80=1,IF('Model inputs'!F80="","",'Model inputs'!F80=1))="",FALSE,IF(ISERROR('Model inputs'!F80=1),'Model inputs'!F80=1,IF('Model inputs'!F80="","",'Model inputs'!F80=1))),0,IF('Model inputs'!E43="","",'Model inputs'!E43))="",0,IF(IF(IF(ISERROR('Model inputs'!F80=1),'Model inputs'!F80=1,IF('Model inputs'!F80="","",'Model inputs'!F80=1))="",FALSE,IF(ISERROR('Model inputs'!F80=1),'Model inputs'!F80=1,IF('Model inputs'!F80="","",'Model inputs'!F80=1))),0,IF('Model inputs'!E43="","",'Model inputs'!E43)))+'Model inputs'!F75-'Model inputs'!F76</f>
        <v>0</v>
      </c>
      <c r="G43" s="10">
        <f>IF(IF(IF(IF(ISERROR('Model inputs'!G80=1),'Model inputs'!G80=1,IF('Model inputs'!G80="","",'Model inputs'!G80=1))="",FALSE,IF(ISERROR('Model inputs'!G80=1),'Model inputs'!G80=1,IF('Model inputs'!G80="","",'Model inputs'!G80=1))),0,IF('Model inputs'!F43="","",'Model inputs'!F43))="",0,IF(IF(IF(ISERROR('Model inputs'!G80=1),'Model inputs'!G80=1,IF('Model inputs'!G80="","",'Model inputs'!G80=1))="",FALSE,IF(ISERROR('Model inputs'!G80=1),'Model inputs'!G80=1,IF('Model inputs'!G80="","",'Model inputs'!G80=1))),0,IF('Model inputs'!F43="","",'Model inputs'!F43)))+'Model inputs'!G75-'Model inputs'!G76</f>
        <v>0</v>
      </c>
      <c r="H43" s="10">
        <f>IF(IF(IF(IF(ISERROR('Model inputs'!H80=1),'Model inputs'!H80=1,IF('Model inputs'!H80="","",'Model inputs'!H80=1))="",FALSE,IF(ISERROR('Model inputs'!H80=1),'Model inputs'!H80=1,IF('Model inputs'!H80="","",'Model inputs'!H80=1))),0,IF('Model inputs'!G43="","",'Model inputs'!G43))="",0,IF(IF(IF(ISERROR('Model inputs'!H80=1),'Model inputs'!H80=1,IF('Model inputs'!H80="","",'Model inputs'!H80=1))="",FALSE,IF(ISERROR('Model inputs'!H80=1),'Model inputs'!H80=1,IF('Model inputs'!H80="","",'Model inputs'!H80=1))),0,IF('Model inputs'!G43="","",'Model inputs'!G43)))+'Model inputs'!H75-'Model inputs'!H76</f>
        <v>0</v>
      </c>
      <c r="I43" s="10">
        <f>IF(IF(IF(IF(ISERROR('Model inputs'!I80=1),'Model inputs'!I80=1,IF('Model inputs'!I80="","",'Model inputs'!I80=1))="",FALSE,IF(ISERROR('Model inputs'!I80=1),'Model inputs'!I80=1,IF('Model inputs'!I80="","",'Model inputs'!I80=1))),0,IF('Model inputs'!H43="","",'Model inputs'!H43))="",0,IF(IF(IF(ISERROR('Model inputs'!I80=1),'Model inputs'!I80=1,IF('Model inputs'!I80="","",'Model inputs'!I80=1))="",FALSE,IF(ISERROR('Model inputs'!I80=1),'Model inputs'!I80=1,IF('Model inputs'!I80="","",'Model inputs'!I80=1))),0,IF('Model inputs'!H43="","",'Model inputs'!H43)))+'Model inputs'!I75-'Model inputs'!I76</f>
        <v>0</v>
      </c>
      <c r="J43" s="10">
        <f>IF(IF(IF(IF(ISERROR('Model inputs'!J80=1),'Model inputs'!J80=1,IF('Model inputs'!J80="","",'Model inputs'!J80=1))="",FALSE,IF(ISERROR('Model inputs'!J80=1),'Model inputs'!J80=1,IF('Model inputs'!J80="","",'Model inputs'!J80=1))),0,IF('Model inputs'!I43="","",'Model inputs'!I43))="",0,IF(IF(IF(ISERROR('Model inputs'!J80=1),'Model inputs'!J80=1,IF('Model inputs'!J80="","",'Model inputs'!J80=1))="",FALSE,IF(ISERROR('Model inputs'!J80=1),'Model inputs'!J80=1,IF('Model inputs'!J80="","",'Model inputs'!J80=1))),0,IF('Model inputs'!I43="","",'Model inputs'!I43)))+'Model inputs'!J75-'Model inputs'!J76</f>
        <v>0</v>
      </c>
      <c r="K43" s="10">
        <f>IF(IF(IF(IF(ISERROR('Model inputs'!K80=1),'Model inputs'!K80=1,IF('Model inputs'!K80="","",'Model inputs'!K80=1))="",FALSE,IF(ISERROR('Model inputs'!K80=1),'Model inputs'!K80=1,IF('Model inputs'!K80="","",'Model inputs'!K80=1))),0,IF('Model inputs'!J43="","",'Model inputs'!J43))="",0,IF(IF(IF(ISERROR('Model inputs'!K80=1),'Model inputs'!K80=1,IF('Model inputs'!K80="","",'Model inputs'!K80=1))="",FALSE,IF(ISERROR('Model inputs'!K80=1),'Model inputs'!K80=1,IF('Model inputs'!K80="","",'Model inputs'!K80=1))),0,IF('Model inputs'!J43="","",'Model inputs'!J43)))+'Model inputs'!K75-'Model inputs'!K76</f>
        <v>0</v>
      </c>
      <c r="L43" s="10">
        <f>IF(IF(IF(IF(ISERROR('Model inputs'!L80=1),'Model inputs'!L80=1,IF('Model inputs'!L80="","",'Model inputs'!L80=1))="",FALSE,IF(ISERROR('Model inputs'!L80=1),'Model inputs'!L80=1,IF('Model inputs'!L80="","",'Model inputs'!L80=1))),0,IF('Model inputs'!K43="","",'Model inputs'!K43))="",0,IF(IF(IF(ISERROR('Model inputs'!L80=1),'Model inputs'!L80=1,IF('Model inputs'!L80="","",'Model inputs'!L80=1))="",FALSE,IF(ISERROR('Model inputs'!L80=1),'Model inputs'!L80=1,IF('Model inputs'!L80="","",'Model inputs'!L80=1))),0,IF('Model inputs'!K43="","",'Model inputs'!K43)))+'Model inputs'!L75-'Model inputs'!L76</f>
        <v>0</v>
      </c>
      <c r="M43" s="10">
        <f>IF(IF(IF(IF(ISERROR('Model inputs'!M80=1),'Model inputs'!M80=1,IF('Model inputs'!M80="","",'Model inputs'!M80=1))="",FALSE,IF(ISERROR('Model inputs'!M80=1),'Model inputs'!M80=1,IF('Model inputs'!M80="","",'Model inputs'!M80=1))),0,IF('Model inputs'!L43="","",'Model inputs'!L43))="",0,IF(IF(IF(ISERROR('Model inputs'!M80=1),'Model inputs'!M80=1,IF('Model inputs'!M80="","",'Model inputs'!M80=1))="",FALSE,IF(ISERROR('Model inputs'!M80=1),'Model inputs'!M80=1,IF('Model inputs'!M80="","",'Model inputs'!M80=1))),0,IF('Model inputs'!L43="","",'Model inputs'!L43)))+'Model inputs'!M75-'Model inputs'!M76</f>
        <v>0</v>
      </c>
      <c r="N43" s="10">
        <f>IF(IF(IF(IF(ISERROR('Model inputs'!N80=1),'Model inputs'!N80=1,IF('Model inputs'!N80="","",'Model inputs'!N80=1))="",FALSE,IF(ISERROR('Model inputs'!N80=1),'Model inputs'!N80=1,IF('Model inputs'!N80="","",'Model inputs'!N80=1))),0,IF('Model inputs'!M43="","",'Model inputs'!M43))="",0,IF(IF(IF(ISERROR('Model inputs'!N80=1),'Model inputs'!N80=1,IF('Model inputs'!N80="","",'Model inputs'!N80=1))="",FALSE,IF(ISERROR('Model inputs'!N80=1),'Model inputs'!N80=1,IF('Model inputs'!N80="","",'Model inputs'!N80=1))),0,IF('Model inputs'!M43="","",'Model inputs'!M43)))+'Model inputs'!N75-'Model inputs'!N76</f>
        <v>0</v>
      </c>
      <c r="P43" s="10">
        <v>0</v>
      </c>
    </row>
    <row r="44">
      <c r="A44" t="inlineStr" s="16">
        <is>
          <t xml:space="preserve">Delivery COGS</t>
        </is>
      </c>
      <c r="B44" s="12">
        <f>SUM('Model inputs'!B45,'Model inputs'!B46,'Model inputs'!B47,'Model inputs'!B48,'Model inputs'!B49)</f>
        <v>0</v>
      </c>
      <c r="C44" t="str" s="12">
        <f>""</f>
        <v/>
      </c>
      <c r="D44" t="str" s="12">
        <f>""</f>
        <v/>
      </c>
      <c r="E44" t="str" s="12">
        <f>""</f>
        <v/>
      </c>
      <c r="F44" t="str" s="12">
        <f>""</f>
        <v/>
      </c>
      <c r="G44" t="str" s="12">
        <f>""</f>
        <v/>
      </c>
      <c r="H44" t="str" s="12">
        <f>""</f>
        <v/>
      </c>
      <c r="I44" t="str" s="12">
        <f>""</f>
        <v/>
      </c>
      <c r="J44" t="str" s="12">
        <f>""</f>
        <v/>
      </c>
      <c r="K44" t="str" s="12">
        <f>""</f>
        <v/>
      </c>
      <c r="L44" t="str" s="12">
        <f>""</f>
        <v/>
      </c>
      <c r="M44" t="str" s="12">
        <f>""</f>
        <v/>
      </c>
      <c r="N44" t="str" s="12">
        <f>""</f>
        <v/>
      </c>
    </row>
    <row r="45" outlineLevel="1">
      <c r="A45" t="inlineStr" s="17">
        <is>
          <t xml:space="preserve">Delivery COGS &gt; Annual deal-team</t>
        </is>
      </c>
      <c r="B45" s="10">
        <f>0</f>
        <v>0</v>
      </c>
      <c r="C45" s="10">
        <f>'Model inputs'!C13*'Model inputs'!O50</f>
        <v>1419.75</v>
      </c>
      <c r="D45" s="10">
        <f>'Model inputs'!D13*'Model inputs'!O50</f>
        <v>1419.75</v>
      </c>
      <c r="E45" s="10">
        <f>'Model inputs'!E13*'Model inputs'!O50</f>
        <v>1419.75</v>
      </c>
      <c r="F45" s="10">
        <f>'Model inputs'!F13*'Model inputs'!O50</f>
        <v>1419.75</v>
      </c>
      <c r="G45" s="10">
        <f>'Model inputs'!G13*'Model inputs'!O50</f>
        <v>1419.75</v>
      </c>
      <c r="H45" s="10">
        <f>'Model inputs'!H13*'Model inputs'!O50</f>
        <v>1419.75</v>
      </c>
      <c r="I45" s="10">
        <f>'Model inputs'!I13*'Model inputs'!O50</f>
        <v>1419.75</v>
      </c>
      <c r="J45" s="10">
        <f>'Model inputs'!J13*'Model inputs'!O50</f>
        <v>1419.75</v>
      </c>
      <c r="K45" s="10">
        <f>'Model inputs'!K13*'Model inputs'!O50</f>
        <v>1419.75</v>
      </c>
      <c r="L45" s="10">
        <f>'Model inputs'!L13*'Model inputs'!O50</f>
        <v>1419.75</v>
      </c>
      <c r="M45" s="10">
        <f>'Model inputs'!M13*'Model inputs'!O50</f>
        <v>1419.75</v>
      </c>
      <c r="N45" s="10">
        <f>'Model inputs'!N13*'Model inputs'!O50</f>
        <v>1419.75</v>
      </c>
    </row>
    <row r="46" outlineLevel="1">
      <c r="A46" t="inlineStr" s="17">
        <is>
          <t xml:space="preserve">Delivery COGS &gt; Hybrid</t>
        </is>
      </c>
      <c r="B46" s="10">
        <f>0</f>
        <v>0</v>
      </c>
      <c r="C46" s="10">
        <f>'Model inputs'!C14*'Model inputs'!O50</f>
        <v>1419.75</v>
      </c>
      <c r="D46" s="10">
        <f>'Model inputs'!D14*'Model inputs'!O50</f>
        <v>1419.75</v>
      </c>
      <c r="E46" s="10">
        <f>'Model inputs'!E14*'Model inputs'!O50</f>
        <v>1419.75</v>
      </c>
      <c r="F46" s="10">
        <f>'Model inputs'!F14*'Model inputs'!O50</f>
        <v>1419.75</v>
      </c>
      <c r="G46" s="10">
        <f>'Model inputs'!G14*'Model inputs'!O50</f>
        <v>1419.75</v>
      </c>
      <c r="H46" s="10">
        <f>'Model inputs'!H14*'Model inputs'!O50</f>
        <v>1419.75</v>
      </c>
      <c r="I46" s="10">
        <f>'Model inputs'!I14*'Model inputs'!O50</f>
        <v>1419.75</v>
      </c>
      <c r="J46" s="10">
        <f>'Model inputs'!J14*'Model inputs'!O50</f>
        <v>1419.75</v>
      </c>
      <c r="K46" s="10">
        <f>'Model inputs'!K14*'Model inputs'!O50</f>
        <v>1419.75</v>
      </c>
      <c r="L46" s="10">
        <f>'Model inputs'!L14*'Model inputs'!O50</f>
        <v>1419.75</v>
      </c>
      <c r="M46" s="10">
        <f>'Model inputs'!M14*'Model inputs'!O50</f>
        <v>1419.75</v>
      </c>
      <c r="N46" s="10">
        <f>'Model inputs'!N14*'Model inputs'!O50</f>
        <v>1419.75</v>
      </c>
    </row>
    <row r="47" outlineLevel="1">
      <c r="A47" t="inlineStr" s="17">
        <is>
          <t xml:space="preserve">Delivery COGS &gt; Per audit — base</t>
        </is>
      </c>
      <c r="B47" s="10">
        <f>0</f>
        <v>0</v>
      </c>
      <c r="C47" s="10">
        <f>'Model inputs'!C15*'Model inputs'!O50</f>
        <v>1419.75</v>
      </c>
      <c r="D47" s="10">
        <f>'Model inputs'!D15*'Model inputs'!O50</f>
        <v>1419.75</v>
      </c>
      <c r="E47" s="10">
        <f>'Model inputs'!E15*'Model inputs'!O50</f>
        <v>1419.75</v>
      </c>
      <c r="F47" s="10">
        <f>'Model inputs'!F15*'Model inputs'!O50</f>
        <v>1419.75</v>
      </c>
      <c r="G47" s="10">
        <f>'Model inputs'!G15*'Model inputs'!O50</f>
        <v>1419.75</v>
      </c>
      <c r="H47" s="10">
        <f>'Model inputs'!H15*'Model inputs'!O50</f>
        <v>1419.75</v>
      </c>
      <c r="I47" s="10">
        <f>'Model inputs'!I15*'Model inputs'!O50</f>
        <v>1419.75</v>
      </c>
      <c r="J47" s="10">
        <f>'Model inputs'!J15*'Model inputs'!O50</f>
        <v>1419.75</v>
      </c>
      <c r="K47" s="10">
        <f>'Model inputs'!K15*'Model inputs'!O50</f>
        <v>1419.75</v>
      </c>
      <c r="L47" s="10">
        <f>'Model inputs'!L15*'Model inputs'!O50</f>
        <v>1419.75</v>
      </c>
      <c r="M47" s="10">
        <f>'Model inputs'!M15*'Model inputs'!O50</f>
        <v>1419.75</v>
      </c>
      <c r="N47" s="10">
        <f>'Model inputs'!N15*'Model inputs'!O50</f>
        <v>1419.75</v>
      </c>
    </row>
    <row r="48" outlineLevel="1">
      <c r="A48" t="inlineStr" s="17">
        <is>
          <t xml:space="preserve">Delivery COGS &gt; Per audit — high</t>
        </is>
      </c>
      <c r="B48" s="10">
        <f>0</f>
        <v>0</v>
      </c>
      <c r="C48" s="10">
        <f>'Model inputs'!C16*'Model inputs'!O50</f>
        <v>1419.75</v>
      </c>
      <c r="D48" s="10">
        <f>'Model inputs'!D16*'Model inputs'!O50</f>
        <v>1419.75</v>
      </c>
      <c r="E48" s="10">
        <f>'Model inputs'!E16*'Model inputs'!O50</f>
        <v>1419.75</v>
      </c>
      <c r="F48" s="10">
        <f>'Model inputs'!F16*'Model inputs'!O50</f>
        <v>1419.75</v>
      </c>
      <c r="G48" s="10">
        <f>'Model inputs'!G16*'Model inputs'!O50</f>
        <v>1419.75</v>
      </c>
      <c r="H48" s="10">
        <f>'Model inputs'!H16*'Model inputs'!O50</f>
        <v>1419.75</v>
      </c>
      <c r="I48" s="10">
        <f>'Model inputs'!I16*'Model inputs'!O50</f>
        <v>1419.75</v>
      </c>
      <c r="J48" s="10">
        <f>'Model inputs'!J16*'Model inputs'!O50</f>
        <v>1419.75</v>
      </c>
      <c r="K48" s="10">
        <f>'Model inputs'!K16*'Model inputs'!O50</f>
        <v>1419.75</v>
      </c>
      <c r="L48" s="10">
        <f>'Model inputs'!L16*'Model inputs'!O50</f>
        <v>1419.75</v>
      </c>
      <c r="M48" s="10">
        <f>'Model inputs'!M16*'Model inputs'!O50</f>
        <v>1419.75</v>
      </c>
      <c r="N48" s="10">
        <f>'Model inputs'!N16*'Model inputs'!O50</f>
        <v>1419.75</v>
      </c>
    </row>
    <row r="49" outlineLevel="1">
      <c r="A49" t="inlineStr" s="17">
        <is>
          <t xml:space="preserve">Delivery COGS &gt; Per audit — low</t>
        </is>
      </c>
      <c r="B49" s="10">
        <f>0</f>
        <v>0</v>
      </c>
      <c r="C49" s="10">
        <f>'Model inputs'!C17*'Model inputs'!O50</f>
        <v>1419.75</v>
      </c>
      <c r="D49" s="10">
        <f>'Model inputs'!D17*'Model inputs'!O50</f>
        <v>1419.75</v>
      </c>
      <c r="E49" s="10">
        <f>'Model inputs'!E17*'Model inputs'!O50</f>
        <v>1419.75</v>
      </c>
      <c r="F49" s="10">
        <f>'Model inputs'!F17*'Model inputs'!O50</f>
        <v>1419.75</v>
      </c>
      <c r="G49" s="10">
        <f>'Model inputs'!G17*'Model inputs'!O50</f>
        <v>1419.75</v>
      </c>
      <c r="H49" s="10">
        <f>'Model inputs'!H17*'Model inputs'!O50</f>
        <v>1419.75</v>
      </c>
      <c r="I49" s="10">
        <f>'Model inputs'!I17*'Model inputs'!O50</f>
        <v>1419.75</v>
      </c>
      <c r="J49" s="10">
        <f>'Model inputs'!J17*'Model inputs'!O50</f>
        <v>1419.75</v>
      </c>
      <c r="K49" s="10">
        <f>'Model inputs'!K17*'Model inputs'!O50</f>
        <v>1419.75</v>
      </c>
      <c r="L49" s="10">
        <f>'Model inputs'!L17*'Model inputs'!O50</f>
        <v>1419.75</v>
      </c>
      <c r="M49" s="10">
        <f>'Model inputs'!M17*'Model inputs'!O50</f>
        <v>1419.75</v>
      </c>
      <c r="N49" s="10">
        <f>'Model inputs'!N17*'Model inputs'!O50</f>
        <v>1419.75</v>
      </c>
    </row>
    <row r="50">
      <c r="A50" t="inlineStr" s="16">
        <is>
          <t xml:space="preserve">Delivery cost per audit</t>
        </is>
      </c>
      <c r="O50" s="10">
        <f>'Model inputs'!O106+'Model inputs'!O115+'Model inputs'!O122+'Model inputs'!O107</f>
        <v>94.65</v>
      </c>
    </row>
    <row r="51">
      <c r="A51" t="inlineStr" s="16">
        <is>
          <t xml:space="preserve">Earned revenue</t>
        </is>
      </c>
      <c r="B51" s="12">
        <f>SUM('Model inputs'!B52,'Model inputs'!B53,'Model inputs'!B54,'Model inputs'!B55,'Model inputs'!B56)</f>
        <v>0</v>
      </c>
      <c r="C51" t="str" s="12">
        <f>""</f>
        <v/>
      </c>
      <c r="D51" t="str" s="12">
        <f>""</f>
        <v/>
      </c>
      <c r="E51" t="str" s="12">
        <f>""</f>
        <v/>
      </c>
      <c r="F51" t="str" s="12">
        <f>""</f>
        <v/>
      </c>
      <c r="G51" t="str" s="12">
        <f>""</f>
        <v/>
      </c>
      <c r="H51" t="str" s="12">
        <f>""</f>
        <v/>
      </c>
      <c r="I51" t="str" s="12">
        <f>""</f>
        <v/>
      </c>
      <c r="J51" t="str" s="12">
        <f>""</f>
        <v/>
      </c>
      <c r="K51" t="str" s="12">
        <f>""</f>
        <v/>
      </c>
      <c r="L51" t="str" s="12">
        <f>""</f>
        <v/>
      </c>
      <c r="M51" t="str" s="12">
        <f>""</f>
        <v/>
      </c>
      <c r="N51" t="str" s="12">
        <f>""</f>
        <v/>
      </c>
    </row>
    <row r="52" outlineLevel="1">
      <c r="A52" t="inlineStr" s="17">
        <is>
          <t xml:space="preserve">Earned revenue &gt; Annual deal-team</t>
        </is>
      </c>
      <c r="B52" s="10">
        <f>0</f>
        <v>0</v>
      </c>
      <c r="C52" s="10">
        <f>'Model inputs'!C68*'Model inputs'!O37</f>
        <v>15000</v>
      </c>
      <c r="D52" s="10">
        <f>'Model inputs'!D68*'Model inputs'!O37</f>
        <v>15000</v>
      </c>
      <c r="E52" s="10">
        <f>'Model inputs'!E68*'Model inputs'!O37</f>
        <v>15000</v>
      </c>
      <c r="F52" s="10">
        <f>'Model inputs'!F68*'Model inputs'!O37</f>
        <v>15000</v>
      </c>
      <c r="G52" s="10">
        <f>'Model inputs'!G68*'Model inputs'!O37</f>
        <v>15000</v>
      </c>
      <c r="H52" s="10">
        <f>'Model inputs'!H68*'Model inputs'!O37</f>
        <v>15000</v>
      </c>
      <c r="I52" s="10">
        <f>'Model inputs'!I68*'Model inputs'!O37</f>
        <v>15000</v>
      </c>
      <c r="J52" s="10">
        <f>'Model inputs'!J68*'Model inputs'!O37</f>
        <v>15000</v>
      </c>
      <c r="K52" s="10">
        <f>'Model inputs'!K68*'Model inputs'!O37</f>
        <v>15000</v>
      </c>
      <c r="L52" s="10">
        <f>'Model inputs'!L68*'Model inputs'!O37</f>
        <v>15000</v>
      </c>
      <c r="M52" s="10">
        <f>'Model inputs'!M68*'Model inputs'!O37</f>
        <v>15000</v>
      </c>
      <c r="N52" s="10">
        <f>'Model inputs'!N68*'Model inputs'!O37</f>
        <v>15000</v>
      </c>
    </row>
    <row r="53" outlineLevel="1">
      <c r="A53" t="inlineStr" s="17">
        <is>
          <t xml:space="preserve">Earned revenue &gt; Hybrid</t>
        </is>
      </c>
      <c r="B53" s="10">
        <f>0</f>
        <v>0</v>
      </c>
      <c r="C53" s="10">
        <f>'Model inputs'!C68*'Model inputs'!O38</f>
        <v>17500</v>
      </c>
      <c r="D53" s="10">
        <f>'Model inputs'!D68*'Model inputs'!O38</f>
        <v>17500</v>
      </c>
      <c r="E53" s="10">
        <f>'Model inputs'!E68*'Model inputs'!O38</f>
        <v>17500</v>
      </c>
      <c r="F53" s="10">
        <f>'Model inputs'!F68*'Model inputs'!O38</f>
        <v>17500</v>
      </c>
      <c r="G53" s="10">
        <f>'Model inputs'!G68*'Model inputs'!O38</f>
        <v>17500</v>
      </c>
      <c r="H53" s="10">
        <f>'Model inputs'!H68*'Model inputs'!O38</f>
        <v>17500</v>
      </c>
      <c r="I53" s="10">
        <f>'Model inputs'!I68*'Model inputs'!O38</f>
        <v>17500</v>
      </c>
      <c r="J53" s="10">
        <f>'Model inputs'!J68*'Model inputs'!O38</f>
        <v>17500</v>
      </c>
      <c r="K53" s="10">
        <f>'Model inputs'!K68*'Model inputs'!O38</f>
        <v>17500</v>
      </c>
      <c r="L53" s="10">
        <f>'Model inputs'!L68*'Model inputs'!O38</f>
        <v>17500</v>
      </c>
      <c r="M53" s="10">
        <f>'Model inputs'!M68*'Model inputs'!O38</f>
        <v>17500</v>
      </c>
      <c r="N53" s="10">
        <f>'Model inputs'!N68*'Model inputs'!O38</f>
        <v>17500</v>
      </c>
    </row>
    <row r="54" outlineLevel="1">
      <c r="A54" t="inlineStr" s="17">
        <is>
          <t xml:space="preserve">Earned revenue &gt; Per audit — base</t>
        </is>
      </c>
      <c r="B54" s="10">
        <f>0</f>
        <v>0</v>
      </c>
      <c r="C54" s="10">
        <f>'Model inputs'!C68*'Model inputs'!O39</f>
        <v>22500</v>
      </c>
      <c r="D54" s="10">
        <f>'Model inputs'!D68*'Model inputs'!O39</f>
        <v>22500</v>
      </c>
      <c r="E54" s="10">
        <f>'Model inputs'!E68*'Model inputs'!O39</f>
        <v>22500</v>
      </c>
      <c r="F54" s="10">
        <f>'Model inputs'!F68*'Model inputs'!O39</f>
        <v>22500</v>
      </c>
      <c r="G54" s="10">
        <f>'Model inputs'!G68*'Model inputs'!O39</f>
        <v>22500</v>
      </c>
      <c r="H54" s="10">
        <f>'Model inputs'!H68*'Model inputs'!O39</f>
        <v>22500</v>
      </c>
      <c r="I54" s="10">
        <f>'Model inputs'!I68*'Model inputs'!O39</f>
        <v>22500</v>
      </c>
      <c r="J54" s="10">
        <f>'Model inputs'!J68*'Model inputs'!O39</f>
        <v>22500</v>
      </c>
      <c r="K54" s="10">
        <f>'Model inputs'!K68*'Model inputs'!O39</f>
        <v>22500</v>
      </c>
      <c r="L54" s="10">
        <f>'Model inputs'!L68*'Model inputs'!O39</f>
        <v>22500</v>
      </c>
      <c r="M54" s="10">
        <f>'Model inputs'!M68*'Model inputs'!O39</f>
        <v>22500</v>
      </c>
      <c r="N54" s="10">
        <f>'Model inputs'!N68*'Model inputs'!O39</f>
        <v>22500</v>
      </c>
    </row>
    <row r="55" outlineLevel="1">
      <c r="A55" t="inlineStr" s="17">
        <is>
          <t xml:space="preserve">Earned revenue &gt; Per audit — high</t>
        </is>
      </c>
      <c r="B55" s="10">
        <f>0</f>
        <v>0</v>
      </c>
      <c r="C55" s="10">
        <f>'Model inputs'!C68*'Model inputs'!O40</f>
        <v>45000</v>
      </c>
      <c r="D55" s="10">
        <f>'Model inputs'!D68*'Model inputs'!O40</f>
        <v>45000</v>
      </c>
      <c r="E55" s="10">
        <f>'Model inputs'!E68*'Model inputs'!O40</f>
        <v>45000</v>
      </c>
      <c r="F55" s="10">
        <f>'Model inputs'!F68*'Model inputs'!O40</f>
        <v>45000</v>
      </c>
      <c r="G55" s="10">
        <f>'Model inputs'!G68*'Model inputs'!O40</f>
        <v>45000</v>
      </c>
      <c r="H55" s="10">
        <f>'Model inputs'!H68*'Model inputs'!O40</f>
        <v>45000</v>
      </c>
      <c r="I55" s="10">
        <f>'Model inputs'!I68*'Model inputs'!O40</f>
        <v>45000</v>
      </c>
      <c r="J55" s="10">
        <f>'Model inputs'!J68*'Model inputs'!O40</f>
        <v>45000</v>
      </c>
      <c r="K55" s="10">
        <f>'Model inputs'!K68*'Model inputs'!O40</f>
        <v>45000</v>
      </c>
      <c r="L55" s="10">
        <f>'Model inputs'!L68*'Model inputs'!O40</f>
        <v>45000</v>
      </c>
      <c r="M55" s="10">
        <f>'Model inputs'!M68*'Model inputs'!O40</f>
        <v>45000</v>
      </c>
      <c r="N55" s="10">
        <f>'Model inputs'!N68*'Model inputs'!O40</f>
        <v>45000</v>
      </c>
    </row>
    <row r="56" outlineLevel="1">
      <c r="A56" t="inlineStr" s="17">
        <is>
          <t xml:space="preserve">Earned revenue &gt; Per audit — low</t>
        </is>
      </c>
      <c r="B56" s="10">
        <f>0</f>
        <v>0</v>
      </c>
      <c r="C56" s="10">
        <f>'Model inputs'!C68*'Model inputs'!O41</f>
        <v>11250</v>
      </c>
      <c r="D56" s="10">
        <f>'Model inputs'!D68*'Model inputs'!O41</f>
        <v>11250</v>
      </c>
      <c r="E56" s="10">
        <f>'Model inputs'!E68*'Model inputs'!O41</f>
        <v>11250</v>
      </c>
      <c r="F56" s="10">
        <f>'Model inputs'!F68*'Model inputs'!O41</f>
        <v>11250</v>
      </c>
      <c r="G56" s="10">
        <f>'Model inputs'!G68*'Model inputs'!O41</f>
        <v>11250</v>
      </c>
      <c r="H56" s="10">
        <f>'Model inputs'!H68*'Model inputs'!O41</f>
        <v>11250</v>
      </c>
      <c r="I56" s="10">
        <f>'Model inputs'!I68*'Model inputs'!O41</f>
        <v>11250</v>
      </c>
      <c r="J56" s="10">
        <f>'Model inputs'!J68*'Model inputs'!O41</f>
        <v>11250</v>
      </c>
      <c r="K56" s="10">
        <f>'Model inputs'!K68*'Model inputs'!O41</f>
        <v>11250</v>
      </c>
      <c r="L56" s="10">
        <f>'Model inputs'!L68*'Model inputs'!O41</f>
        <v>11250</v>
      </c>
      <c r="M56" s="10">
        <f>'Model inputs'!M68*'Model inputs'!O41</f>
        <v>11250</v>
      </c>
      <c r="N56" s="10">
        <f>'Model inputs'!N68*'Model inputs'!O41</f>
        <v>11250</v>
      </c>
    </row>
    <row r="57">
      <c r="A57" t="inlineStr" s="16">
        <is>
          <t xml:space="preserve">Fixed costs</t>
        </is>
      </c>
      <c r="B57" s="10">
        <v>0</v>
      </c>
      <c r="C57" s="10">
        <f>'Model inputs'!O60+'Model inputs'!O84+'Model inputs'!O42+'Model inputs'!O59+'Model inputs'!O82+IF(IF(IF(IF(ISERROR('Model inputs'!C80&gt;='Model inputs'!O27),'Model inputs'!C80&gt;='Model inputs'!O27,IF(OR('Model inputs'!C80="",'Model inputs'!O27=""),"",'Model inputs'!C80&gt;='Model inputs'!O27))="",FALSE,IF(ISERROR('Model inputs'!C80&gt;='Model inputs'!O27),'Model inputs'!C80&gt;='Model inputs'!O27,IF(OR('Model inputs'!C80="",'Model inputs'!O27=""),"",'Model inputs'!C80&gt;='Model inputs'!O27))),IF('Model inputs'!O26="","",'Model inputs'!O26),0)="",0,IF(IF(IF(ISERROR('Model inputs'!C80&gt;='Model inputs'!O27),'Model inputs'!C80&gt;='Model inputs'!O27,IF(OR('Model inputs'!C80="",'Model inputs'!O27=""),"",'Model inputs'!C80&gt;='Model inputs'!O27))="",FALSE,IF(ISERROR('Model inputs'!C80&gt;='Model inputs'!O27),'Model inputs'!C80&gt;='Model inputs'!O27,IF(OR('Model inputs'!C80="",'Model inputs'!O27=""),"",'Model inputs'!C80&gt;='Model inputs'!O27))),IF('Model inputs'!O26="","",'Model inputs'!O26),0))</f>
        <v>750</v>
      </c>
      <c r="D57" s="10">
        <f>'Model inputs'!O60+'Model inputs'!O84+'Model inputs'!O42+'Model inputs'!O59+'Model inputs'!O82+IF(IF(IF(IF(ISERROR('Model inputs'!D80&gt;='Model inputs'!O27),'Model inputs'!D80&gt;='Model inputs'!O27,IF(OR('Model inputs'!D80="",'Model inputs'!O27=""),"",'Model inputs'!D80&gt;='Model inputs'!O27))="",FALSE,IF(ISERROR('Model inputs'!D80&gt;='Model inputs'!O27),'Model inputs'!D80&gt;='Model inputs'!O27,IF(OR('Model inputs'!D80="",'Model inputs'!O27=""),"",'Model inputs'!D80&gt;='Model inputs'!O27))),IF('Model inputs'!O26="","",'Model inputs'!O26),0)="",0,IF(IF(IF(ISERROR('Model inputs'!D80&gt;='Model inputs'!O27),'Model inputs'!D80&gt;='Model inputs'!O27,IF(OR('Model inputs'!D80="",'Model inputs'!O27=""),"",'Model inputs'!D80&gt;='Model inputs'!O27))="",FALSE,IF(ISERROR('Model inputs'!D80&gt;='Model inputs'!O27),'Model inputs'!D80&gt;='Model inputs'!O27,IF(OR('Model inputs'!D80="",'Model inputs'!O27=""),"",'Model inputs'!D80&gt;='Model inputs'!O27))),IF('Model inputs'!O26="","",'Model inputs'!O26),0))</f>
        <v>750</v>
      </c>
      <c r="E57" s="10">
        <f>'Model inputs'!O60+'Model inputs'!O84+'Model inputs'!O42+'Model inputs'!O59+'Model inputs'!O82+IF(IF(IF(IF(ISERROR('Model inputs'!E80&gt;='Model inputs'!O27),'Model inputs'!E80&gt;='Model inputs'!O27,IF(OR('Model inputs'!E80="",'Model inputs'!O27=""),"",'Model inputs'!E80&gt;='Model inputs'!O27))="",FALSE,IF(ISERROR('Model inputs'!E80&gt;='Model inputs'!O27),'Model inputs'!E80&gt;='Model inputs'!O27,IF(OR('Model inputs'!E80="",'Model inputs'!O27=""),"",'Model inputs'!E80&gt;='Model inputs'!O27))),IF('Model inputs'!O26="","",'Model inputs'!O26),0)="",0,IF(IF(IF(ISERROR('Model inputs'!E80&gt;='Model inputs'!O27),'Model inputs'!E80&gt;='Model inputs'!O27,IF(OR('Model inputs'!E80="",'Model inputs'!O27=""),"",'Model inputs'!E80&gt;='Model inputs'!O27))="",FALSE,IF(ISERROR('Model inputs'!E80&gt;='Model inputs'!O27),'Model inputs'!E80&gt;='Model inputs'!O27,IF(OR('Model inputs'!E80="",'Model inputs'!O27=""),"",'Model inputs'!E80&gt;='Model inputs'!O27))),IF('Model inputs'!O26="","",'Model inputs'!O26),0))</f>
        <v>750</v>
      </c>
      <c r="F57" s="10">
        <f>'Model inputs'!O60+'Model inputs'!O84+'Model inputs'!O42+'Model inputs'!O59+'Model inputs'!O82+IF(IF(IF(IF(ISERROR('Model inputs'!F80&gt;='Model inputs'!O27),'Model inputs'!F80&gt;='Model inputs'!O27,IF(OR('Model inputs'!F80="",'Model inputs'!O27=""),"",'Model inputs'!F80&gt;='Model inputs'!O27))="",FALSE,IF(ISERROR('Model inputs'!F80&gt;='Model inputs'!O27),'Model inputs'!F80&gt;='Model inputs'!O27,IF(OR('Model inputs'!F80="",'Model inputs'!O27=""),"",'Model inputs'!F80&gt;='Model inputs'!O27))),IF('Model inputs'!O26="","",'Model inputs'!O26),0)="",0,IF(IF(IF(ISERROR('Model inputs'!F80&gt;='Model inputs'!O27),'Model inputs'!F80&gt;='Model inputs'!O27,IF(OR('Model inputs'!F80="",'Model inputs'!O27=""),"",'Model inputs'!F80&gt;='Model inputs'!O27))="",FALSE,IF(ISERROR('Model inputs'!F80&gt;='Model inputs'!O27),'Model inputs'!F80&gt;='Model inputs'!O27,IF(OR('Model inputs'!F80="",'Model inputs'!O27=""),"",'Model inputs'!F80&gt;='Model inputs'!O27))),IF('Model inputs'!O26="","",'Model inputs'!O26),0))</f>
        <v>750</v>
      </c>
      <c r="G57" s="10">
        <f>'Model inputs'!O60+'Model inputs'!O84+'Model inputs'!O42+'Model inputs'!O59+'Model inputs'!O82+IF(IF(IF(IF(ISERROR('Model inputs'!G80&gt;='Model inputs'!O27),'Model inputs'!G80&gt;='Model inputs'!O27,IF(OR('Model inputs'!G80="",'Model inputs'!O27=""),"",'Model inputs'!G80&gt;='Model inputs'!O27))="",FALSE,IF(ISERROR('Model inputs'!G80&gt;='Model inputs'!O27),'Model inputs'!G80&gt;='Model inputs'!O27,IF(OR('Model inputs'!G80="",'Model inputs'!O27=""),"",'Model inputs'!G80&gt;='Model inputs'!O27))),IF('Model inputs'!O26="","",'Model inputs'!O26),0)="",0,IF(IF(IF(ISERROR('Model inputs'!G80&gt;='Model inputs'!O27),'Model inputs'!G80&gt;='Model inputs'!O27,IF(OR('Model inputs'!G80="",'Model inputs'!O27=""),"",'Model inputs'!G80&gt;='Model inputs'!O27))="",FALSE,IF(ISERROR('Model inputs'!G80&gt;='Model inputs'!O27),'Model inputs'!G80&gt;='Model inputs'!O27,IF(OR('Model inputs'!G80="",'Model inputs'!O27=""),"",'Model inputs'!G80&gt;='Model inputs'!O27))),IF('Model inputs'!O26="","",'Model inputs'!O26),0))</f>
        <v>750</v>
      </c>
      <c r="H57" s="10">
        <f>'Model inputs'!O60+'Model inputs'!O84+'Model inputs'!O42+'Model inputs'!O59+'Model inputs'!O82+IF(IF(IF(IF(ISERROR('Model inputs'!H80&gt;='Model inputs'!O27),'Model inputs'!H80&gt;='Model inputs'!O27,IF(OR('Model inputs'!H80="",'Model inputs'!O27=""),"",'Model inputs'!H80&gt;='Model inputs'!O27))="",FALSE,IF(ISERROR('Model inputs'!H80&gt;='Model inputs'!O27),'Model inputs'!H80&gt;='Model inputs'!O27,IF(OR('Model inputs'!H80="",'Model inputs'!O27=""),"",'Model inputs'!H80&gt;='Model inputs'!O27))),IF('Model inputs'!O26="","",'Model inputs'!O26),0)="",0,IF(IF(IF(ISERROR('Model inputs'!H80&gt;='Model inputs'!O27),'Model inputs'!H80&gt;='Model inputs'!O27,IF(OR('Model inputs'!H80="",'Model inputs'!O27=""),"",'Model inputs'!H80&gt;='Model inputs'!O27))="",FALSE,IF(ISERROR('Model inputs'!H80&gt;='Model inputs'!O27),'Model inputs'!H80&gt;='Model inputs'!O27,IF(OR('Model inputs'!H80="",'Model inputs'!O27=""),"",'Model inputs'!H80&gt;='Model inputs'!O27))),IF('Model inputs'!O26="","",'Model inputs'!O26),0))</f>
        <v>1250</v>
      </c>
      <c r="I57" s="10">
        <f>'Model inputs'!O60+'Model inputs'!O84+'Model inputs'!O42+'Model inputs'!O59+'Model inputs'!O82+IF(IF(IF(IF(ISERROR('Model inputs'!I80&gt;='Model inputs'!O27),'Model inputs'!I80&gt;='Model inputs'!O27,IF(OR('Model inputs'!I80="",'Model inputs'!O27=""),"",'Model inputs'!I80&gt;='Model inputs'!O27))="",FALSE,IF(ISERROR('Model inputs'!I80&gt;='Model inputs'!O27),'Model inputs'!I80&gt;='Model inputs'!O27,IF(OR('Model inputs'!I80="",'Model inputs'!O27=""),"",'Model inputs'!I80&gt;='Model inputs'!O27))),IF('Model inputs'!O26="","",'Model inputs'!O26),0)="",0,IF(IF(IF(ISERROR('Model inputs'!I80&gt;='Model inputs'!O27),'Model inputs'!I80&gt;='Model inputs'!O27,IF(OR('Model inputs'!I80="",'Model inputs'!O27=""),"",'Model inputs'!I80&gt;='Model inputs'!O27))="",FALSE,IF(ISERROR('Model inputs'!I80&gt;='Model inputs'!O27),'Model inputs'!I80&gt;='Model inputs'!O27,IF(OR('Model inputs'!I80="",'Model inputs'!O27=""),"",'Model inputs'!I80&gt;='Model inputs'!O27))),IF('Model inputs'!O26="","",'Model inputs'!O26),0))</f>
        <v>1250</v>
      </c>
      <c r="J57" s="10">
        <f>'Model inputs'!O60+'Model inputs'!O84+'Model inputs'!O42+'Model inputs'!O59+'Model inputs'!O82+IF(IF(IF(IF(ISERROR('Model inputs'!J80&gt;='Model inputs'!O27),'Model inputs'!J80&gt;='Model inputs'!O27,IF(OR('Model inputs'!J80="",'Model inputs'!O27=""),"",'Model inputs'!J80&gt;='Model inputs'!O27))="",FALSE,IF(ISERROR('Model inputs'!J80&gt;='Model inputs'!O27),'Model inputs'!J80&gt;='Model inputs'!O27,IF(OR('Model inputs'!J80="",'Model inputs'!O27=""),"",'Model inputs'!J80&gt;='Model inputs'!O27))),IF('Model inputs'!O26="","",'Model inputs'!O26),0)="",0,IF(IF(IF(ISERROR('Model inputs'!J80&gt;='Model inputs'!O27),'Model inputs'!J80&gt;='Model inputs'!O27,IF(OR('Model inputs'!J80="",'Model inputs'!O27=""),"",'Model inputs'!J80&gt;='Model inputs'!O27))="",FALSE,IF(ISERROR('Model inputs'!J80&gt;='Model inputs'!O27),'Model inputs'!J80&gt;='Model inputs'!O27,IF(OR('Model inputs'!J80="",'Model inputs'!O27=""),"",'Model inputs'!J80&gt;='Model inputs'!O27))),IF('Model inputs'!O26="","",'Model inputs'!O26),0))</f>
        <v>1250</v>
      </c>
      <c r="K57" s="10">
        <f>'Model inputs'!O60+'Model inputs'!O84+'Model inputs'!O42+'Model inputs'!O59+'Model inputs'!O82+IF(IF(IF(IF(ISERROR('Model inputs'!K80&gt;='Model inputs'!O27),'Model inputs'!K80&gt;='Model inputs'!O27,IF(OR('Model inputs'!K80="",'Model inputs'!O27=""),"",'Model inputs'!K80&gt;='Model inputs'!O27))="",FALSE,IF(ISERROR('Model inputs'!K80&gt;='Model inputs'!O27),'Model inputs'!K80&gt;='Model inputs'!O27,IF(OR('Model inputs'!K80="",'Model inputs'!O27=""),"",'Model inputs'!K80&gt;='Model inputs'!O27))),IF('Model inputs'!O26="","",'Model inputs'!O26),0)="",0,IF(IF(IF(ISERROR('Model inputs'!K80&gt;='Model inputs'!O27),'Model inputs'!K80&gt;='Model inputs'!O27,IF(OR('Model inputs'!K80="",'Model inputs'!O27=""),"",'Model inputs'!K80&gt;='Model inputs'!O27))="",FALSE,IF(ISERROR('Model inputs'!K80&gt;='Model inputs'!O27),'Model inputs'!K80&gt;='Model inputs'!O27,IF(OR('Model inputs'!K80="",'Model inputs'!O27=""),"",'Model inputs'!K80&gt;='Model inputs'!O27))),IF('Model inputs'!O26="","",'Model inputs'!O26),0))</f>
        <v>1250</v>
      </c>
      <c r="L57" s="10">
        <f>'Model inputs'!O60+'Model inputs'!O84+'Model inputs'!O42+'Model inputs'!O59+'Model inputs'!O82+IF(IF(IF(IF(ISERROR('Model inputs'!L80&gt;='Model inputs'!O27),'Model inputs'!L80&gt;='Model inputs'!O27,IF(OR('Model inputs'!L80="",'Model inputs'!O27=""),"",'Model inputs'!L80&gt;='Model inputs'!O27))="",FALSE,IF(ISERROR('Model inputs'!L80&gt;='Model inputs'!O27),'Model inputs'!L80&gt;='Model inputs'!O27,IF(OR('Model inputs'!L80="",'Model inputs'!O27=""),"",'Model inputs'!L80&gt;='Model inputs'!O27))),IF('Model inputs'!O26="","",'Model inputs'!O26),0)="",0,IF(IF(IF(ISERROR('Model inputs'!L80&gt;='Model inputs'!O27),'Model inputs'!L80&gt;='Model inputs'!O27,IF(OR('Model inputs'!L80="",'Model inputs'!O27=""),"",'Model inputs'!L80&gt;='Model inputs'!O27))="",FALSE,IF(ISERROR('Model inputs'!L80&gt;='Model inputs'!O27),'Model inputs'!L80&gt;='Model inputs'!O27,IF(OR('Model inputs'!L80="",'Model inputs'!O27=""),"",'Model inputs'!L80&gt;='Model inputs'!O27))),IF('Model inputs'!O26="","",'Model inputs'!O26),0))</f>
        <v>1250</v>
      </c>
      <c r="M57" s="10">
        <f>'Model inputs'!O60+'Model inputs'!O84+'Model inputs'!O42+'Model inputs'!O59+'Model inputs'!O82+IF(IF(IF(IF(ISERROR('Model inputs'!M80&gt;='Model inputs'!O27),'Model inputs'!M80&gt;='Model inputs'!O27,IF(OR('Model inputs'!M80="",'Model inputs'!O27=""),"",'Model inputs'!M80&gt;='Model inputs'!O27))="",FALSE,IF(ISERROR('Model inputs'!M80&gt;='Model inputs'!O27),'Model inputs'!M80&gt;='Model inputs'!O27,IF(OR('Model inputs'!M80="",'Model inputs'!O27=""),"",'Model inputs'!M80&gt;='Model inputs'!O27))),IF('Model inputs'!O26="","",'Model inputs'!O26),0)="",0,IF(IF(IF(ISERROR('Model inputs'!M80&gt;='Model inputs'!O27),'Model inputs'!M80&gt;='Model inputs'!O27,IF(OR('Model inputs'!M80="",'Model inputs'!O27=""),"",'Model inputs'!M80&gt;='Model inputs'!O27))="",FALSE,IF(ISERROR('Model inputs'!M80&gt;='Model inputs'!O27),'Model inputs'!M80&gt;='Model inputs'!O27,IF(OR('Model inputs'!M80="",'Model inputs'!O27=""),"",'Model inputs'!M80&gt;='Model inputs'!O27))),IF('Model inputs'!O26="","",'Model inputs'!O26),0))</f>
        <v>1250</v>
      </c>
      <c r="N57" s="10">
        <f>'Model inputs'!O60+'Model inputs'!O84+'Model inputs'!O42+'Model inputs'!O59+'Model inputs'!O82+IF(IF(IF(IF(ISERROR('Model inputs'!N80&gt;='Model inputs'!O27),'Model inputs'!N80&gt;='Model inputs'!O27,IF(OR('Model inputs'!N80="",'Model inputs'!O27=""),"",'Model inputs'!N80&gt;='Model inputs'!O27))="",FALSE,IF(ISERROR('Model inputs'!N80&gt;='Model inputs'!O27),'Model inputs'!N80&gt;='Model inputs'!O27,IF(OR('Model inputs'!N80="",'Model inputs'!O27=""),"",'Model inputs'!N80&gt;='Model inputs'!O27))),IF('Model inputs'!O26="","",'Model inputs'!O26),0)="",0,IF(IF(IF(ISERROR('Model inputs'!N80&gt;='Model inputs'!O27),'Model inputs'!N80&gt;='Model inputs'!O27,IF(OR('Model inputs'!N80="",'Model inputs'!O27=""),"",'Model inputs'!N80&gt;='Model inputs'!O27))="",FALSE,IF(ISERROR('Model inputs'!N80&gt;='Model inputs'!O27),'Model inputs'!N80&gt;='Model inputs'!O27,IF(OR('Model inputs'!N80="",'Model inputs'!O27=""),"",'Model inputs'!N80&gt;='Model inputs'!O27))),IF('Model inputs'!O26="","",'Model inputs'!O26),0))</f>
        <v>1250</v>
      </c>
      <c r="P57" s="10">
        <v>0</v>
      </c>
    </row>
    <row r="58">
      <c r="A58" t="inlineStr" s="16">
        <is>
          <t xml:space="preserve">Forecast start date</t>
        </is>
      </c>
      <c r="O58" s="18">
        <f>DATE(2026,10,1)</f>
        <v>46296</v>
      </c>
    </row>
    <row r="59">
      <c r="A59" t="inlineStr" s="16">
        <is>
          <t xml:space="preserve">Founder salary monthly</t>
        </is>
      </c>
      <c r="O59" s="10">
        <f>0</f>
        <v>0</v>
      </c>
    </row>
    <row r="60">
      <c r="A60" t="inlineStr" s="16">
        <is>
          <t xml:space="preserve">Hosting monthly</t>
        </is>
      </c>
      <c r="O60" s="10">
        <f>150</f>
        <v>150</v>
      </c>
    </row>
    <row r="61">
      <c r="A61" t="inlineStr" s="16">
        <is>
          <t xml:space="preserve">Net cash burn</t>
        </is>
      </c>
      <c r="B61" s="12">
        <f>SUM('Model inputs'!B62,'Model inputs'!B63,'Model inputs'!B64,'Model inputs'!B65,'Model inputs'!B66)</f>
        <v>0</v>
      </c>
      <c r="C61" t="str" s="12">
        <f>""</f>
        <v/>
      </c>
      <c r="D61" t="str" s="12">
        <f>""</f>
        <v/>
      </c>
      <c r="E61" t="str" s="12">
        <f>""</f>
        <v/>
      </c>
      <c r="F61" t="str" s="12">
        <f>""</f>
        <v/>
      </c>
      <c r="G61" t="str" s="12">
        <f>""</f>
        <v/>
      </c>
      <c r="H61" t="str" s="12">
        <f>""</f>
        <v/>
      </c>
      <c r="I61" t="str" s="12">
        <f>""</f>
        <v/>
      </c>
      <c r="J61" t="str" s="12">
        <f>""</f>
        <v/>
      </c>
      <c r="K61" t="str" s="12">
        <f>""</f>
        <v/>
      </c>
      <c r="L61" t="str" s="12">
        <f>""</f>
        <v/>
      </c>
      <c r="M61" t="str" s="12">
        <f>""</f>
        <v/>
      </c>
      <c r="N61" t="str" s="12">
        <f>""</f>
        <v/>
      </c>
    </row>
    <row r="62" outlineLevel="1">
      <c r="A62" t="inlineStr" s="17">
        <is>
          <t xml:space="preserve">Net cash burn &gt; Annual deal-team</t>
        </is>
      </c>
      <c r="B62" s="10">
        <f>0</f>
        <v>0</v>
      </c>
      <c r="C62" s="10">
        <f>'Model inputs'!C45+'Model inputs'!C70+'Model inputs'!C7+'Model inputs'!C57-'Model inputs'!C20</f>
        <v>-118930.25</v>
      </c>
      <c r="D62" s="10">
        <f>'Model inputs'!D45+'Model inputs'!D70+'Model inputs'!D7+'Model inputs'!D57-'Model inputs'!D20</f>
        <v>-2530.25</v>
      </c>
      <c r="E62" s="10">
        <f>'Model inputs'!E45+'Model inputs'!E70+'Model inputs'!E7+'Model inputs'!E57-'Model inputs'!E20</f>
        <v>-2530.25</v>
      </c>
      <c r="F62" s="10">
        <f>'Model inputs'!F45+'Model inputs'!F70+'Model inputs'!F7+'Model inputs'!F57-'Model inputs'!F20</f>
        <v>-2530.25</v>
      </c>
      <c r="G62" s="10">
        <f>'Model inputs'!G45+'Model inputs'!G70+'Model inputs'!G7+'Model inputs'!G57-'Model inputs'!G20</f>
        <v>-2530.25</v>
      </c>
      <c r="H62" s="10">
        <f>'Model inputs'!H45+'Model inputs'!H70+'Model inputs'!H7+'Model inputs'!H57-'Model inputs'!H20</f>
        <v>-2030.25</v>
      </c>
      <c r="I62" s="10">
        <f>'Model inputs'!I45+'Model inputs'!I70+'Model inputs'!I7+'Model inputs'!I57-'Model inputs'!I20</f>
        <v>-2030.25</v>
      </c>
      <c r="J62" s="10">
        <f>'Model inputs'!J45+'Model inputs'!J70+'Model inputs'!J7+'Model inputs'!J57-'Model inputs'!J20</f>
        <v>-2030.25</v>
      </c>
      <c r="K62" s="10">
        <f>'Model inputs'!K45+'Model inputs'!K70+'Model inputs'!K7+'Model inputs'!K57-'Model inputs'!K20</f>
        <v>-2030.25</v>
      </c>
      <c r="L62" s="10">
        <f>'Model inputs'!L45+'Model inputs'!L70+'Model inputs'!L7+'Model inputs'!L57-'Model inputs'!L20</f>
        <v>-2030.25</v>
      </c>
      <c r="M62" s="10">
        <f>'Model inputs'!M45+'Model inputs'!M70+'Model inputs'!M7+'Model inputs'!M57-'Model inputs'!M20</f>
        <v>-2030.25</v>
      </c>
      <c r="N62" s="10">
        <f>'Model inputs'!N45+'Model inputs'!N70+'Model inputs'!N7+'Model inputs'!N57-'Model inputs'!N20</f>
        <v>-2030.25</v>
      </c>
    </row>
    <row r="63" outlineLevel="1">
      <c r="A63" t="inlineStr" s="17">
        <is>
          <t xml:space="preserve">Net cash burn &gt; Hybrid</t>
        </is>
      </c>
      <c r="B63" s="10">
        <f>0</f>
        <v>0</v>
      </c>
      <c r="C63" s="10">
        <f>'Model inputs'!C46+'Model inputs'!C71+'Model inputs'!C8+'Model inputs'!C57-'Model inputs'!C21</f>
        <v>-41330.25</v>
      </c>
      <c r="D63" s="10">
        <f>'Model inputs'!D46+'Model inputs'!D71+'Model inputs'!D8+'Model inputs'!D57-'Model inputs'!D21</f>
        <v>-12230.25</v>
      </c>
      <c r="E63" s="10">
        <f>'Model inputs'!E46+'Model inputs'!E71+'Model inputs'!E8+'Model inputs'!E57-'Model inputs'!E21</f>
        <v>-12230.25</v>
      </c>
      <c r="F63" s="10">
        <f>'Model inputs'!F46+'Model inputs'!F71+'Model inputs'!F8+'Model inputs'!F57-'Model inputs'!F21</f>
        <v>-12230.25</v>
      </c>
      <c r="G63" s="10">
        <f>'Model inputs'!G46+'Model inputs'!G71+'Model inputs'!G8+'Model inputs'!G57-'Model inputs'!G21</f>
        <v>-12230.25</v>
      </c>
      <c r="H63" s="10">
        <f>'Model inputs'!H46+'Model inputs'!H71+'Model inputs'!H8+'Model inputs'!H57-'Model inputs'!H21</f>
        <v>-11730.25</v>
      </c>
      <c r="I63" s="10">
        <f>'Model inputs'!I46+'Model inputs'!I71+'Model inputs'!I8+'Model inputs'!I57-'Model inputs'!I21</f>
        <v>-11730.25</v>
      </c>
      <c r="J63" s="10">
        <f>'Model inputs'!J46+'Model inputs'!J71+'Model inputs'!J8+'Model inputs'!J57-'Model inputs'!J21</f>
        <v>-11730.25</v>
      </c>
      <c r="K63" s="10">
        <f>'Model inputs'!K46+'Model inputs'!K71+'Model inputs'!K8+'Model inputs'!K57-'Model inputs'!K21</f>
        <v>-11730.25</v>
      </c>
      <c r="L63" s="10">
        <f>'Model inputs'!L46+'Model inputs'!L71+'Model inputs'!L8+'Model inputs'!L57-'Model inputs'!L21</f>
        <v>-11730.25</v>
      </c>
      <c r="M63" s="10">
        <f>'Model inputs'!M46+'Model inputs'!M71+'Model inputs'!M8+'Model inputs'!M57-'Model inputs'!M21</f>
        <v>-11730.25</v>
      </c>
      <c r="N63" s="10">
        <f>'Model inputs'!N46+'Model inputs'!N71+'Model inputs'!N8+'Model inputs'!N57-'Model inputs'!N21</f>
        <v>-11730.25</v>
      </c>
    </row>
    <row r="64" outlineLevel="1">
      <c r="A64" t="inlineStr" s="17">
        <is>
          <t xml:space="preserve">Net cash burn &gt; Per audit — base</t>
        </is>
      </c>
      <c r="B64" s="10">
        <f>0</f>
        <v>0</v>
      </c>
      <c r="C64" s="10">
        <f>'Model inputs'!C47+'Model inputs'!C72+'Model inputs'!C9+'Model inputs'!C57-'Model inputs'!C22</f>
        <v>-19505.25</v>
      </c>
      <c r="D64" s="10">
        <f>'Model inputs'!D47+'Model inputs'!D72+'Model inputs'!D9+'Model inputs'!D57-'Model inputs'!D22</f>
        <v>-19505.25</v>
      </c>
      <c r="E64" s="10">
        <f>'Model inputs'!E47+'Model inputs'!E72+'Model inputs'!E9+'Model inputs'!E57-'Model inputs'!E22</f>
        <v>-19505.25</v>
      </c>
      <c r="F64" s="10">
        <f>'Model inputs'!F47+'Model inputs'!F72+'Model inputs'!F9+'Model inputs'!F57-'Model inputs'!F22</f>
        <v>-19505.25</v>
      </c>
      <c r="G64" s="10">
        <f>'Model inputs'!G47+'Model inputs'!G72+'Model inputs'!G9+'Model inputs'!G57-'Model inputs'!G22</f>
        <v>-19505.25</v>
      </c>
      <c r="H64" s="10">
        <f>'Model inputs'!H47+'Model inputs'!H72+'Model inputs'!H9+'Model inputs'!H57-'Model inputs'!H22</f>
        <v>-19005.25</v>
      </c>
      <c r="I64" s="10">
        <f>'Model inputs'!I47+'Model inputs'!I72+'Model inputs'!I9+'Model inputs'!I57-'Model inputs'!I22</f>
        <v>-19005.25</v>
      </c>
      <c r="J64" s="10">
        <f>'Model inputs'!J47+'Model inputs'!J72+'Model inputs'!J9+'Model inputs'!J57-'Model inputs'!J22</f>
        <v>-19005.25</v>
      </c>
      <c r="K64" s="10">
        <f>'Model inputs'!K47+'Model inputs'!K72+'Model inputs'!K9+'Model inputs'!K57-'Model inputs'!K22</f>
        <v>-19005.25</v>
      </c>
      <c r="L64" s="10">
        <f>'Model inputs'!L47+'Model inputs'!L72+'Model inputs'!L9+'Model inputs'!L57-'Model inputs'!L22</f>
        <v>-19005.25</v>
      </c>
      <c r="M64" s="10">
        <f>'Model inputs'!M47+'Model inputs'!M72+'Model inputs'!M9+'Model inputs'!M57-'Model inputs'!M22</f>
        <v>-19005.25</v>
      </c>
      <c r="N64" s="10">
        <f>'Model inputs'!N47+'Model inputs'!N72+'Model inputs'!N9+'Model inputs'!N57-'Model inputs'!N22</f>
        <v>-19005.25</v>
      </c>
    </row>
    <row r="65" outlineLevel="1">
      <c r="A65" t="inlineStr" s="17">
        <is>
          <t xml:space="preserve">Net cash burn &gt; Per audit — high</t>
        </is>
      </c>
      <c r="B65" s="10">
        <f>0</f>
        <v>0</v>
      </c>
      <c r="C65" s="10">
        <f>'Model inputs'!C48+'Model inputs'!C73+'Model inputs'!C10+'Model inputs'!C57-'Model inputs'!C23</f>
        <v>-41330.25</v>
      </c>
      <c r="D65" s="10">
        <f>'Model inputs'!D48+'Model inputs'!D73+'Model inputs'!D10+'Model inputs'!D57-'Model inputs'!D23</f>
        <v>-41330.25</v>
      </c>
      <c r="E65" s="10">
        <f>'Model inputs'!E48+'Model inputs'!E73+'Model inputs'!E10+'Model inputs'!E57-'Model inputs'!E23</f>
        <v>-41330.25</v>
      </c>
      <c r="F65" s="10">
        <f>'Model inputs'!F48+'Model inputs'!F73+'Model inputs'!F10+'Model inputs'!F57-'Model inputs'!F23</f>
        <v>-41330.25</v>
      </c>
      <c r="G65" s="10">
        <f>'Model inputs'!G48+'Model inputs'!G73+'Model inputs'!G10+'Model inputs'!G57-'Model inputs'!G23</f>
        <v>-41330.25</v>
      </c>
      <c r="H65" s="10">
        <f>'Model inputs'!H48+'Model inputs'!H73+'Model inputs'!H10+'Model inputs'!H57-'Model inputs'!H23</f>
        <v>-40830.25</v>
      </c>
      <c r="I65" s="10">
        <f>'Model inputs'!I48+'Model inputs'!I73+'Model inputs'!I10+'Model inputs'!I57-'Model inputs'!I23</f>
        <v>-40830.25</v>
      </c>
      <c r="J65" s="10">
        <f>'Model inputs'!J48+'Model inputs'!J73+'Model inputs'!J10+'Model inputs'!J57-'Model inputs'!J23</f>
        <v>-40830.25</v>
      </c>
      <c r="K65" s="10">
        <f>'Model inputs'!K48+'Model inputs'!K73+'Model inputs'!K10+'Model inputs'!K57-'Model inputs'!K23</f>
        <v>-40830.25</v>
      </c>
      <c r="L65" s="10">
        <f>'Model inputs'!L48+'Model inputs'!L73+'Model inputs'!L10+'Model inputs'!L57-'Model inputs'!L23</f>
        <v>-40830.25</v>
      </c>
      <c r="M65" s="10">
        <f>'Model inputs'!M48+'Model inputs'!M73+'Model inputs'!M10+'Model inputs'!M57-'Model inputs'!M23</f>
        <v>-40830.25</v>
      </c>
      <c r="N65" s="10">
        <f>'Model inputs'!N48+'Model inputs'!N73+'Model inputs'!N10+'Model inputs'!N57-'Model inputs'!N23</f>
        <v>-40830.25</v>
      </c>
    </row>
    <row r="66" outlineLevel="1">
      <c r="A66" t="inlineStr" s="17">
        <is>
          <t xml:space="preserve">Net cash burn &gt; Per audit — low</t>
        </is>
      </c>
      <c r="B66" s="10">
        <f>0</f>
        <v>0</v>
      </c>
      <c r="C66" s="10">
        <f>'Model inputs'!C49+'Model inputs'!C74+'Model inputs'!C11+'Model inputs'!C57-'Model inputs'!C24</f>
        <v>-8592.75</v>
      </c>
      <c r="D66" s="10">
        <f>'Model inputs'!D49+'Model inputs'!D74+'Model inputs'!D11+'Model inputs'!D57-'Model inputs'!D24</f>
        <v>-8592.75</v>
      </c>
      <c r="E66" s="10">
        <f>'Model inputs'!E49+'Model inputs'!E74+'Model inputs'!E11+'Model inputs'!E57-'Model inputs'!E24</f>
        <v>-8592.75</v>
      </c>
      <c r="F66" s="10">
        <f>'Model inputs'!F49+'Model inputs'!F74+'Model inputs'!F11+'Model inputs'!F57-'Model inputs'!F24</f>
        <v>-8592.75</v>
      </c>
      <c r="G66" s="10">
        <f>'Model inputs'!G49+'Model inputs'!G74+'Model inputs'!G11+'Model inputs'!G57-'Model inputs'!G24</f>
        <v>-8592.75</v>
      </c>
      <c r="H66" s="10">
        <f>'Model inputs'!H49+'Model inputs'!H74+'Model inputs'!H11+'Model inputs'!H57-'Model inputs'!H24</f>
        <v>-8092.75</v>
      </c>
      <c r="I66" s="10">
        <f>'Model inputs'!I49+'Model inputs'!I74+'Model inputs'!I11+'Model inputs'!I57-'Model inputs'!I24</f>
        <v>-8092.75</v>
      </c>
      <c r="J66" s="10">
        <f>'Model inputs'!J49+'Model inputs'!J74+'Model inputs'!J11+'Model inputs'!J57-'Model inputs'!J24</f>
        <v>-8092.75</v>
      </c>
      <c r="K66" s="10">
        <f>'Model inputs'!K49+'Model inputs'!K74+'Model inputs'!K11+'Model inputs'!K57-'Model inputs'!K24</f>
        <v>-8092.75</v>
      </c>
      <c r="L66" s="10">
        <f>'Model inputs'!L49+'Model inputs'!L74+'Model inputs'!L11+'Model inputs'!L57-'Model inputs'!L24</f>
        <v>-8092.75</v>
      </c>
      <c r="M66" s="10">
        <f>'Model inputs'!M49+'Model inputs'!M74+'Model inputs'!M11+'Model inputs'!M57-'Model inputs'!M24</f>
        <v>-8092.75</v>
      </c>
      <c r="N66" s="10">
        <f>'Model inputs'!N49+'Model inputs'!N74+'Model inputs'!N11+'Model inputs'!N57-'Model inputs'!N24</f>
        <v>-8092.75</v>
      </c>
    </row>
    <row r="67">
      <c r="A67" t="inlineStr" s="16">
        <is>
          <t xml:space="preserve">New customer equivalents</t>
        </is>
      </c>
      <c r="B67" s="9">
        <v>0</v>
      </c>
      <c r="C67" s="9">
        <f>MAX('Model inputs'!C68-IF(IF(IF(IF(ISERROR('Model inputs'!C80=1),'Model inputs'!C80=1,IF('Model inputs'!C80="","",'Model inputs'!C80=1))="",FALSE,IF(ISERROR('Model inputs'!C80=1),'Model inputs'!C80=1,IF('Model inputs'!C80="","",'Model inputs'!C80=1))),0,IF('Model inputs'!B68="","",'Model inputs'!B68))="",0,IF(IF(IF(ISERROR('Model inputs'!C80=1),'Model inputs'!C80=1,IF('Model inputs'!C80="","",'Model inputs'!C80=1))="",FALSE,IF(ISERROR('Model inputs'!C80=1),'Model inputs'!C80=1,IF('Model inputs'!C80="","",'Model inputs'!C80=1))),0,IF('Model inputs'!B68="","",'Model inputs'!B68))),0)</f>
        <v>5</v>
      </c>
      <c r="D67" s="9">
        <f>MAX('Model inputs'!D68-IF(IF(IF(IF(ISERROR('Model inputs'!D80=1),'Model inputs'!D80=1,IF('Model inputs'!D80="","",'Model inputs'!D80=1))="",FALSE,IF(ISERROR('Model inputs'!D80=1),'Model inputs'!D80=1,IF('Model inputs'!D80="","",'Model inputs'!D80=1))),0,IF('Model inputs'!C68="","",'Model inputs'!C68))="",0,IF(IF(IF(ISERROR('Model inputs'!D80=1),'Model inputs'!D80=1,IF('Model inputs'!D80="","",'Model inputs'!D80=1))="",FALSE,IF(ISERROR('Model inputs'!D80=1),'Model inputs'!D80=1,IF('Model inputs'!D80="","",'Model inputs'!D80=1))),0,IF('Model inputs'!C68="","",'Model inputs'!C68))),0)</f>
        <v>0</v>
      </c>
      <c r="E67" s="9">
        <f>MAX('Model inputs'!E68-IF(IF(IF(IF(ISERROR('Model inputs'!E80=1),'Model inputs'!E80=1,IF('Model inputs'!E80="","",'Model inputs'!E80=1))="",FALSE,IF(ISERROR('Model inputs'!E80=1),'Model inputs'!E80=1,IF('Model inputs'!E80="","",'Model inputs'!E80=1))),0,IF('Model inputs'!D68="","",'Model inputs'!D68))="",0,IF(IF(IF(ISERROR('Model inputs'!E80=1),'Model inputs'!E80=1,IF('Model inputs'!E80="","",'Model inputs'!E80=1))="",FALSE,IF(ISERROR('Model inputs'!E80=1),'Model inputs'!E80=1,IF('Model inputs'!E80="","",'Model inputs'!E80=1))),0,IF('Model inputs'!D68="","",'Model inputs'!D68))),0)</f>
        <v>0</v>
      </c>
      <c r="F67" s="9">
        <f>MAX('Model inputs'!F68-IF(IF(IF(IF(ISERROR('Model inputs'!F80=1),'Model inputs'!F80=1,IF('Model inputs'!F80="","",'Model inputs'!F80=1))="",FALSE,IF(ISERROR('Model inputs'!F80=1),'Model inputs'!F80=1,IF('Model inputs'!F80="","",'Model inputs'!F80=1))),0,IF('Model inputs'!E68="","",'Model inputs'!E68))="",0,IF(IF(IF(ISERROR('Model inputs'!F80=1),'Model inputs'!F80=1,IF('Model inputs'!F80="","",'Model inputs'!F80=1))="",FALSE,IF(ISERROR('Model inputs'!F80=1),'Model inputs'!F80=1,IF('Model inputs'!F80="","",'Model inputs'!F80=1))),0,IF('Model inputs'!E68="","",'Model inputs'!E68))),0)</f>
        <v>0</v>
      </c>
      <c r="G67" s="9">
        <f>MAX('Model inputs'!G68-IF(IF(IF(IF(ISERROR('Model inputs'!G80=1),'Model inputs'!G80=1,IF('Model inputs'!G80="","",'Model inputs'!G80=1))="",FALSE,IF(ISERROR('Model inputs'!G80=1),'Model inputs'!G80=1,IF('Model inputs'!G80="","",'Model inputs'!G80=1))),0,IF('Model inputs'!F68="","",'Model inputs'!F68))="",0,IF(IF(IF(ISERROR('Model inputs'!G80=1),'Model inputs'!G80=1,IF('Model inputs'!G80="","",'Model inputs'!G80=1))="",FALSE,IF(ISERROR('Model inputs'!G80=1),'Model inputs'!G80=1,IF('Model inputs'!G80="","",'Model inputs'!G80=1))),0,IF('Model inputs'!F68="","",'Model inputs'!F68))),0)</f>
        <v>0</v>
      </c>
      <c r="H67" s="9">
        <f>MAX('Model inputs'!H68-IF(IF(IF(IF(ISERROR('Model inputs'!H80=1),'Model inputs'!H80=1,IF('Model inputs'!H80="","",'Model inputs'!H80=1))="",FALSE,IF(ISERROR('Model inputs'!H80=1),'Model inputs'!H80=1,IF('Model inputs'!H80="","",'Model inputs'!H80=1))),0,IF('Model inputs'!G68="","",'Model inputs'!G68))="",0,IF(IF(IF(ISERROR('Model inputs'!H80=1),'Model inputs'!H80=1,IF('Model inputs'!H80="","",'Model inputs'!H80=1))="",FALSE,IF(ISERROR('Model inputs'!H80=1),'Model inputs'!H80=1,IF('Model inputs'!H80="","",'Model inputs'!H80=1))),0,IF('Model inputs'!G68="","",'Model inputs'!G68))),0)</f>
        <v>0</v>
      </c>
      <c r="I67" s="9">
        <f>MAX('Model inputs'!I68-IF(IF(IF(IF(ISERROR('Model inputs'!I80=1),'Model inputs'!I80=1,IF('Model inputs'!I80="","",'Model inputs'!I80=1))="",FALSE,IF(ISERROR('Model inputs'!I80=1),'Model inputs'!I80=1,IF('Model inputs'!I80="","",'Model inputs'!I80=1))),0,IF('Model inputs'!H68="","",'Model inputs'!H68))="",0,IF(IF(IF(ISERROR('Model inputs'!I80=1),'Model inputs'!I80=1,IF('Model inputs'!I80="","",'Model inputs'!I80=1))="",FALSE,IF(ISERROR('Model inputs'!I80=1),'Model inputs'!I80=1,IF('Model inputs'!I80="","",'Model inputs'!I80=1))),0,IF('Model inputs'!H68="","",'Model inputs'!H68))),0)</f>
        <v>0</v>
      </c>
      <c r="J67" s="9">
        <f>MAX('Model inputs'!J68-IF(IF(IF(IF(ISERROR('Model inputs'!J80=1),'Model inputs'!J80=1,IF('Model inputs'!J80="","",'Model inputs'!J80=1))="",FALSE,IF(ISERROR('Model inputs'!J80=1),'Model inputs'!J80=1,IF('Model inputs'!J80="","",'Model inputs'!J80=1))),0,IF('Model inputs'!I68="","",'Model inputs'!I68))="",0,IF(IF(IF(ISERROR('Model inputs'!J80=1),'Model inputs'!J80=1,IF('Model inputs'!J80="","",'Model inputs'!J80=1))="",FALSE,IF(ISERROR('Model inputs'!J80=1),'Model inputs'!J80=1,IF('Model inputs'!J80="","",'Model inputs'!J80=1))),0,IF('Model inputs'!I68="","",'Model inputs'!I68))),0)</f>
        <v>0</v>
      </c>
      <c r="K67" s="9">
        <f>MAX('Model inputs'!K68-IF(IF(IF(IF(ISERROR('Model inputs'!K80=1),'Model inputs'!K80=1,IF('Model inputs'!K80="","",'Model inputs'!K80=1))="",FALSE,IF(ISERROR('Model inputs'!K80=1),'Model inputs'!K80=1,IF('Model inputs'!K80="","",'Model inputs'!K80=1))),0,IF('Model inputs'!J68="","",'Model inputs'!J68))="",0,IF(IF(IF(ISERROR('Model inputs'!K80=1),'Model inputs'!K80=1,IF('Model inputs'!K80="","",'Model inputs'!K80=1))="",FALSE,IF(ISERROR('Model inputs'!K80=1),'Model inputs'!K80=1,IF('Model inputs'!K80="","",'Model inputs'!K80=1))),0,IF('Model inputs'!J68="","",'Model inputs'!J68))),0)</f>
        <v>0</v>
      </c>
      <c r="L67" s="9">
        <f>MAX('Model inputs'!L68-IF(IF(IF(IF(ISERROR('Model inputs'!L80=1),'Model inputs'!L80=1,IF('Model inputs'!L80="","",'Model inputs'!L80=1))="",FALSE,IF(ISERROR('Model inputs'!L80=1),'Model inputs'!L80=1,IF('Model inputs'!L80="","",'Model inputs'!L80=1))),0,IF('Model inputs'!K68="","",'Model inputs'!K68))="",0,IF(IF(IF(ISERROR('Model inputs'!L80=1),'Model inputs'!L80=1,IF('Model inputs'!L80="","",'Model inputs'!L80=1))="",FALSE,IF(ISERROR('Model inputs'!L80=1),'Model inputs'!L80=1,IF('Model inputs'!L80="","",'Model inputs'!L80=1))),0,IF('Model inputs'!K68="","",'Model inputs'!K68))),0)</f>
        <v>0</v>
      </c>
      <c r="M67" s="9">
        <f>MAX('Model inputs'!M68-IF(IF(IF(IF(ISERROR('Model inputs'!M80=1),'Model inputs'!M80=1,IF('Model inputs'!M80="","",'Model inputs'!M80=1))="",FALSE,IF(ISERROR('Model inputs'!M80=1),'Model inputs'!M80=1,IF('Model inputs'!M80="","",'Model inputs'!M80=1))),0,IF('Model inputs'!L68="","",'Model inputs'!L68))="",0,IF(IF(IF(ISERROR('Model inputs'!M80=1),'Model inputs'!M80=1,IF('Model inputs'!M80="","",'Model inputs'!M80=1))="",FALSE,IF(ISERROR('Model inputs'!M80=1),'Model inputs'!M80=1,IF('Model inputs'!M80="","",'Model inputs'!M80=1))),0,IF('Model inputs'!L68="","",'Model inputs'!L68))),0)</f>
        <v>0</v>
      </c>
      <c r="N67" s="9">
        <f>MAX('Model inputs'!N68-IF(IF(IF(IF(ISERROR('Model inputs'!N80=1),'Model inputs'!N80=1,IF('Model inputs'!N80="","",'Model inputs'!N80=1))="",FALSE,IF(ISERROR('Model inputs'!N80=1),'Model inputs'!N80=1,IF('Model inputs'!N80="","",'Model inputs'!N80=1))),0,IF('Model inputs'!M68="","",'Model inputs'!M68))="",0,IF(IF(IF(ISERROR('Model inputs'!N80=1),'Model inputs'!N80=1,IF('Model inputs'!N80="","",'Model inputs'!N80=1))="",FALSE,IF(ISERROR('Model inputs'!N80=1),'Model inputs'!N80=1,IF('Model inputs'!N80="","",'Model inputs'!N80=1))),0,IF('Model inputs'!M68="","",'Model inputs'!M68))),0)</f>
        <v>0</v>
      </c>
      <c r="P67" s="9">
        <v>0</v>
      </c>
    </row>
    <row r="68">
      <c r="A68" t="inlineStr" s="16">
        <is>
          <t xml:space="preserve">Paying customer equivalents</t>
        </is>
      </c>
      <c r="B68" s="9">
        <v>0</v>
      </c>
      <c r="C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inputs'!C80-'Model inputs'!O95)/'Model inputs'!O93,0),1),IF(IF(IF(ISERROR('Model inputs'!C80&gt;'Model inputs'!O95),'Model inputs'!C80&gt;'Model inputs'!O95,IF(OR('Model inputs'!C80="",'Model inputs'!O95=""),"",'Model inputs'!C80&gt;'Model inputs'!O95))="",FALSE,IF(ISERROR('Model inputs'!C80&gt;'Model inputs'!O95),'Model inputs'!C80&gt;'Model inputs'!O95,IF(OR('Model inputs'!C80="",'Model inputs'!O95=""),"",'Model inputs'!C80&gt;'Model inputs'!O95))),IF('Model inputs'!O96="","",'Model inputs'!O96),0))</f>
        <v>5</v>
      </c>
      <c r="D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inputs'!D80-'Model inputs'!O95)/'Model inputs'!O93,0),1),IF(IF(IF(ISERROR('Model inputs'!D80&gt;'Model inputs'!O95),'Model inputs'!D80&gt;'Model inputs'!O95,IF(OR('Model inputs'!D80="",'Model inputs'!O95=""),"",'Model inputs'!D80&gt;'Model inputs'!O95))="",FALSE,IF(ISERROR('Model inputs'!D80&gt;'Model inputs'!O95),'Model inputs'!D80&gt;'Model inputs'!O95,IF(OR('Model inputs'!D80="",'Model inputs'!O95=""),"",'Model inputs'!D80&gt;'Model inputs'!O95))),IF('Model inputs'!O96="","",'Model inputs'!O96),0))</f>
        <v>5</v>
      </c>
      <c r="E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inputs'!E80-'Model inputs'!O95)/'Model inputs'!O93,0),1),IF(IF(IF(ISERROR('Model inputs'!E80&gt;'Model inputs'!O95),'Model inputs'!E80&gt;'Model inputs'!O95,IF(OR('Model inputs'!E80="",'Model inputs'!O95=""),"",'Model inputs'!E80&gt;'Model inputs'!O95))="",FALSE,IF(ISERROR('Model inputs'!E80&gt;'Model inputs'!O95),'Model inputs'!E80&gt;'Model inputs'!O95,IF(OR('Model inputs'!E80="",'Model inputs'!O95=""),"",'Model inputs'!E80&gt;'Model inputs'!O95))),IF('Model inputs'!O96="","",'Model inputs'!O96),0))</f>
        <v>5</v>
      </c>
      <c r="F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inputs'!F80-'Model inputs'!O95)/'Model inputs'!O93,0),1),IF(IF(IF(ISERROR('Model inputs'!F80&gt;'Model inputs'!O95),'Model inputs'!F80&gt;'Model inputs'!O95,IF(OR('Model inputs'!F80="",'Model inputs'!O95=""),"",'Model inputs'!F80&gt;'Model inputs'!O95))="",FALSE,IF(ISERROR('Model inputs'!F80&gt;'Model inputs'!O95),'Model inputs'!F80&gt;'Model inputs'!O95,IF(OR('Model inputs'!F80="",'Model inputs'!O95=""),"",'Model inputs'!F80&gt;'Model inputs'!O95))),IF('Model inputs'!O96="","",'Model inputs'!O96),0))</f>
        <v>5</v>
      </c>
      <c r="G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inputs'!G80-'Model inputs'!O95)/'Model inputs'!O93,0),1),IF(IF(IF(ISERROR('Model inputs'!G80&gt;'Model inputs'!O95),'Model inputs'!G80&gt;'Model inputs'!O95,IF(OR('Model inputs'!G80="",'Model inputs'!O95=""),"",'Model inputs'!G80&gt;'Model inputs'!O95))="",FALSE,IF(ISERROR('Model inputs'!G80&gt;'Model inputs'!O95),'Model inputs'!G80&gt;'Model inputs'!O95,IF(OR('Model inputs'!G80="",'Model inputs'!O95=""),"",'Model inputs'!G80&gt;'Model inputs'!O95))),IF('Model inputs'!O96="","",'Model inputs'!O96),0))</f>
        <v>5</v>
      </c>
      <c r="H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inputs'!H80-'Model inputs'!O95)/'Model inputs'!O93,0),1),IF(IF(IF(ISERROR('Model inputs'!H80&gt;'Model inputs'!O95),'Model inputs'!H80&gt;'Model inputs'!O95,IF(OR('Model inputs'!H80="",'Model inputs'!O95=""),"",'Model inputs'!H80&gt;'Model inputs'!O95))="",FALSE,IF(ISERROR('Model inputs'!H80&gt;'Model inputs'!O95),'Model inputs'!H80&gt;'Model inputs'!O95,IF(OR('Model inputs'!H80="",'Model inputs'!O95=""),"",'Model inputs'!H80&gt;'Model inputs'!O95))),IF('Model inputs'!O96="","",'Model inputs'!O96),0))</f>
        <v>5</v>
      </c>
      <c r="I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inputs'!I80-'Model inputs'!O95)/'Model inputs'!O93,0),1),IF(IF(IF(ISERROR('Model inputs'!I80&gt;'Model inputs'!O95),'Model inputs'!I80&gt;'Model inputs'!O95,IF(OR('Model inputs'!I80="",'Model inputs'!O95=""),"",'Model inputs'!I80&gt;'Model inputs'!O95))="",FALSE,IF(ISERROR('Model inputs'!I80&gt;'Model inputs'!O95),'Model inputs'!I80&gt;'Model inputs'!O95,IF(OR('Model inputs'!I80="",'Model inputs'!O95=""),"",'Model inputs'!I80&gt;'Model inputs'!O95))),IF('Model inputs'!O96="","",'Model inputs'!O96),0))</f>
        <v>5</v>
      </c>
      <c r="J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inputs'!J80-'Model inputs'!O95)/'Model inputs'!O93,0),1),IF(IF(IF(ISERROR('Model inputs'!J80&gt;'Model inputs'!O95),'Model inputs'!J80&gt;'Model inputs'!O95,IF(OR('Model inputs'!J80="",'Model inputs'!O95=""),"",'Model inputs'!J80&gt;'Model inputs'!O95))="",FALSE,IF(ISERROR('Model inputs'!J80&gt;'Model inputs'!O95),'Model inputs'!J80&gt;'Model inputs'!O95,IF(OR('Model inputs'!J80="",'Model inputs'!O95=""),"",'Model inputs'!J80&gt;'Model inputs'!O95))),IF('Model inputs'!O96="","",'Model inputs'!O96),0))</f>
        <v>5</v>
      </c>
      <c r="K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inputs'!K80-'Model inputs'!O95)/'Model inputs'!O93,0),1),IF(IF(IF(ISERROR('Model inputs'!K80&gt;'Model inputs'!O95),'Model inputs'!K80&gt;'Model inputs'!O95,IF(OR('Model inputs'!K80="",'Model inputs'!O95=""),"",'Model inputs'!K80&gt;'Model inputs'!O95))="",FALSE,IF(ISERROR('Model inputs'!K80&gt;'Model inputs'!O95),'Model inputs'!K80&gt;'Model inputs'!O95,IF(OR('Model inputs'!K80="",'Model inputs'!O95=""),"",'Model inputs'!K80&gt;'Model inputs'!O95))),IF('Model inputs'!O96="","",'Model inputs'!O96),0))</f>
        <v>5</v>
      </c>
      <c r="L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inputs'!L80-'Model inputs'!O95)/'Model inputs'!O93,0),1),IF(IF(IF(ISERROR('Model inputs'!L80&gt;'Model inputs'!O95),'Model inputs'!L80&gt;'Model inputs'!O95,IF(OR('Model inputs'!L80="",'Model inputs'!O95=""),"",'Model inputs'!L80&gt;'Model inputs'!O95))="",FALSE,IF(ISERROR('Model inputs'!L80&gt;'Model inputs'!O95),'Model inputs'!L80&gt;'Model inputs'!O95,IF(OR('Model inputs'!L80="",'Model inputs'!O95=""),"",'Model inputs'!L80&gt;'Model inputs'!O95))),IF('Model inputs'!O96="","",'Model inputs'!O96),0))</f>
        <v>5</v>
      </c>
      <c r="M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inputs'!M80-'Model inputs'!O95)/'Model inputs'!O93,0),1),IF(IF(IF(ISERROR('Model inputs'!M80&gt;'Model inputs'!O95),'Model inputs'!M80&gt;'Model inputs'!O95,IF(OR('Model inputs'!M80="",'Model inputs'!O95=""),"",'Model inputs'!M80&gt;'Model inputs'!O95))="",FALSE,IF(ISERROR('Model inputs'!M80&gt;'Model inputs'!O95),'Model inputs'!M80&gt;'Model inputs'!O95,IF(OR('Model inputs'!M80="",'Model inputs'!O95=""),"",'Model inputs'!M80&gt;'Model inputs'!O95))),IF('Model inputs'!O96="","",'Model inputs'!O96),0))</f>
        <v>5</v>
      </c>
      <c r="N68" s="9">
        <f>IF(IF(IF(ISERROR('Model inputs'!O94=1),'Model inputs'!O94=1,IF('Model inputs'!O94="","",'Model inputs'!O94=1))="",FALSE,IF(ISERROR('Model inputs'!O94=1),'Model inputs'!O94=1,IF('Model inputs'!O94="","",'Model inputs'!O94=1))),'Model inputs'!O96*MIN(MAX(('Model inputs'!N80-'Model inputs'!O95)/'Model inputs'!O93,0),1),IF(IF(IF(ISERROR('Model inputs'!N80&gt;'Model inputs'!O95),'Model inputs'!N80&gt;'Model inputs'!O95,IF(OR('Model inputs'!N80="",'Model inputs'!O95=""),"",'Model inputs'!N80&gt;'Model inputs'!O95))="",FALSE,IF(ISERROR('Model inputs'!N80&gt;'Model inputs'!O95),'Model inputs'!N80&gt;'Model inputs'!O95,IF(OR('Model inputs'!N80="",'Model inputs'!O95=""),"",'Model inputs'!N80&gt;'Model inputs'!O95))),IF('Model inputs'!O96="","",'Model inputs'!O96),0))</f>
        <v>5</v>
      </c>
      <c r="P68" s="9">
        <v>0</v>
      </c>
    </row>
    <row r="69">
      <c r="A69" t="inlineStr" s="16">
        <is>
          <t xml:space="preserve">Payment fees</t>
        </is>
      </c>
      <c r="B69" s="12">
        <f>SUM('Model inputs'!B70,'Model inputs'!B71,'Model inputs'!B72,'Model inputs'!B73,'Model inputs'!B74)</f>
        <v>0</v>
      </c>
      <c r="C69" t="str" s="12">
        <f>""</f>
        <v/>
      </c>
      <c r="D69" t="str" s="12">
        <f>""</f>
        <v/>
      </c>
      <c r="E69" t="str" s="12">
        <f>""</f>
        <v/>
      </c>
      <c r="F69" t="str" s="12">
        <f>""</f>
        <v/>
      </c>
      <c r="G69" t="str" s="12">
        <f>""</f>
        <v/>
      </c>
      <c r="H69" t="str" s="12">
        <f>""</f>
        <v/>
      </c>
      <c r="I69" t="str" s="12">
        <f>""</f>
        <v/>
      </c>
      <c r="J69" t="str" s="12">
        <f>""</f>
        <v/>
      </c>
      <c r="K69" t="str" s="12">
        <f>""</f>
        <v/>
      </c>
      <c r="L69" t="str" s="12">
        <f>""</f>
        <v/>
      </c>
      <c r="M69" t="str" s="12">
        <f>""</f>
        <v/>
      </c>
      <c r="N69" t="str" s="12">
        <f>""</f>
        <v/>
      </c>
    </row>
    <row r="70" outlineLevel="1">
      <c r="A70" t="inlineStr" s="17">
        <is>
          <t xml:space="preserve">Payment fees &gt; Annual deal-team</t>
        </is>
      </c>
      <c r="B70" s="10">
        <f>0</f>
        <v>0</v>
      </c>
      <c r="C70" s="10">
        <f>'Model inputs'!C20*'Model inputs'!O79</f>
        <v>3750</v>
      </c>
      <c r="D70" s="10">
        <f>'Model inputs'!D20*'Model inputs'!O79</f>
        <v>150</v>
      </c>
      <c r="E70" s="10">
        <f>'Model inputs'!E20*'Model inputs'!O79</f>
        <v>150</v>
      </c>
      <c r="F70" s="10">
        <f>'Model inputs'!F20*'Model inputs'!O79</f>
        <v>150</v>
      </c>
      <c r="G70" s="10">
        <f>'Model inputs'!G20*'Model inputs'!O79</f>
        <v>150</v>
      </c>
      <c r="H70" s="10">
        <f>'Model inputs'!H20*'Model inputs'!O79</f>
        <v>150</v>
      </c>
      <c r="I70" s="10">
        <f>'Model inputs'!I20*'Model inputs'!O79</f>
        <v>150</v>
      </c>
      <c r="J70" s="10">
        <f>'Model inputs'!J20*'Model inputs'!O79</f>
        <v>150</v>
      </c>
      <c r="K70" s="10">
        <f>'Model inputs'!K20*'Model inputs'!O79</f>
        <v>150</v>
      </c>
      <c r="L70" s="10">
        <f>'Model inputs'!L20*'Model inputs'!O79</f>
        <v>150</v>
      </c>
      <c r="M70" s="10">
        <f>'Model inputs'!M20*'Model inputs'!O79</f>
        <v>150</v>
      </c>
      <c r="N70" s="10">
        <f>'Model inputs'!N20*'Model inputs'!O79</f>
        <v>150</v>
      </c>
    </row>
    <row r="71" outlineLevel="1">
      <c r="A71" t="inlineStr" s="17">
        <is>
          <t xml:space="preserve">Payment fees &gt; Hybrid</t>
        </is>
      </c>
      <c r="B71" s="10">
        <f>0</f>
        <v>0</v>
      </c>
      <c r="C71" s="10">
        <f>'Model inputs'!C21*'Model inputs'!O79</f>
        <v>1350</v>
      </c>
      <c r="D71" s="10">
        <f>'Model inputs'!D21*'Model inputs'!O79</f>
        <v>450</v>
      </c>
      <c r="E71" s="10">
        <f>'Model inputs'!E21*'Model inputs'!O79</f>
        <v>450</v>
      </c>
      <c r="F71" s="10">
        <f>'Model inputs'!F21*'Model inputs'!O79</f>
        <v>450</v>
      </c>
      <c r="G71" s="10">
        <f>'Model inputs'!G21*'Model inputs'!O79</f>
        <v>450</v>
      </c>
      <c r="H71" s="10">
        <f>'Model inputs'!H21*'Model inputs'!O79</f>
        <v>450</v>
      </c>
      <c r="I71" s="10">
        <f>'Model inputs'!I21*'Model inputs'!O79</f>
        <v>450</v>
      </c>
      <c r="J71" s="10">
        <f>'Model inputs'!J21*'Model inputs'!O79</f>
        <v>450</v>
      </c>
      <c r="K71" s="10">
        <f>'Model inputs'!K21*'Model inputs'!O79</f>
        <v>450</v>
      </c>
      <c r="L71" s="10">
        <f>'Model inputs'!L21*'Model inputs'!O79</f>
        <v>450</v>
      </c>
      <c r="M71" s="10">
        <f>'Model inputs'!M21*'Model inputs'!O79</f>
        <v>450</v>
      </c>
      <c r="N71" s="10">
        <f>'Model inputs'!N21*'Model inputs'!O79</f>
        <v>450</v>
      </c>
    </row>
    <row r="72" outlineLevel="1">
      <c r="A72" t="inlineStr" s="17">
        <is>
          <t xml:space="preserve">Payment fees &gt; Per audit — base</t>
        </is>
      </c>
      <c r="B72" s="10">
        <f>0</f>
        <v>0</v>
      </c>
      <c r="C72" s="10">
        <f>'Model inputs'!C22*'Model inputs'!O79</f>
        <v>675</v>
      </c>
      <c r="D72" s="10">
        <f>'Model inputs'!D22*'Model inputs'!O79</f>
        <v>675</v>
      </c>
      <c r="E72" s="10">
        <f>'Model inputs'!E22*'Model inputs'!O79</f>
        <v>675</v>
      </c>
      <c r="F72" s="10">
        <f>'Model inputs'!F22*'Model inputs'!O79</f>
        <v>675</v>
      </c>
      <c r="G72" s="10">
        <f>'Model inputs'!G22*'Model inputs'!O79</f>
        <v>675</v>
      </c>
      <c r="H72" s="10">
        <f>'Model inputs'!H22*'Model inputs'!O79</f>
        <v>675</v>
      </c>
      <c r="I72" s="10">
        <f>'Model inputs'!I22*'Model inputs'!O79</f>
        <v>675</v>
      </c>
      <c r="J72" s="10">
        <f>'Model inputs'!J22*'Model inputs'!O79</f>
        <v>675</v>
      </c>
      <c r="K72" s="10">
        <f>'Model inputs'!K22*'Model inputs'!O79</f>
        <v>675</v>
      </c>
      <c r="L72" s="10">
        <f>'Model inputs'!L22*'Model inputs'!O79</f>
        <v>675</v>
      </c>
      <c r="M72" s="10">
        <f>'Model inputs'!M22*'Model inputs'!O79</f>
        <v>675</v>
      </c>
      <c r="N72" s="10">
        <f>'Model inputs'!N22*'Model inputs'!O79</f>
        <v>675</v>
      </c>
    </row>
    <row r="73" outlineLevel="1">
      <c r="A73" t="inlineStr" s="17">
        <is>
          <t xml:space="preserve">Payment fees &gt; Per audit — high</t>
        </is>
      </c>
      <c r="B73" s="10">
        <f>0</f>
        <v>0</v>
      </c>
      <c r="C73" s="10">
        <f>'Model inputs'!C23*'Model inputs'!O79</f>
        <v>1350</v>
      </c>
      <c r="D73" s="10">
        <f>'Model inputs'!D23*'Model inputs'!O79</f>
        <v>1350</v>
      </c>
      <c r="E73" s="10">
        <f>'Model inputs'!E23*'Model inputs'!O79</f>
        <v>1350</v>
      </c>
      <c r="F73" s="10">
        <f>'Model inputs'!F23*'Model inputs'!O79</f>
        <v>1350</v>
      </c>
      <c r="G73" s="10">
        <f>'Model inputs'!G23*'Model inputs'!O79</f>
        <v>1350</v>
      </c>
      <c r="H73" s="10">
        <f>'Model inputs'!H23*'Model inputs'!O79</f>
        <v>1350</v>
      </c>
      <c r="I73" s="10">
        <f>'Model inputs'!I23*'Model inputs'!O79</f>
        <v>1350</v>
      </c>
      <c r="J73" s="10">
        <f>'Model inputs'!J23*'Model inputs'!O79</f>
        <v>1350</v>
      </c>
      <c r="K73" s="10">
        <f>'Model inputs'!K23*'Model inputs'!O79</f>
        <v>1350</v>
      </c>
      <c r="L73" s="10">
        <f>'Model inputs'!L23*'Model inputs'!O79</f>
        <v>1350</v>
      </c>
      <c r="M73" s="10">
        <f>'Model inputs'!M23*'Model inputs'!O79</f>
        <v>1350</v>
      </c>
      <c r="N73" s="10">
        <f>'Model inputs'!N23*'Model inputs'!O79</f>
        <v>1350</v>
      </c>
    </row>
    <row r="74" outlineLevel="1">
      <c r="A74" t="inlineStr" s="17">
        <is>
          <t xml:space="preserve">Payment fees &gt; Per audit — low</t>
        </is>
      </c>
      <c r="B74" s="10">
        <f>0</f>
        <v>0</v>
      </c>
      <c r="C74" s="10">
        <f>'Model inputs'!C24*'Model inputs'!O79</f>
        <v>337.5</v>
      </c>
      <c r="D74" s="10">
        <f>'Model inputs'!D24*'Model inputs'!O79</f>
        <v>337.5</v>
      </c>
      <c r="E74" s="10">
        <f>'Model inputs'!E24*'Model inputs'!O79</f>
        <v>337.5</v>
      </c>
      <c r="F74" s="10">
        <f>'Model inputs'!F24*'Model inputs'!O79</f>
        <v>337.5</v>
      </c>
      <c r="G74" s="10">
        <f>'Model inputs'!G24*'Model inputs'!O79</f>
        <v>337.5</v>
      </c>
      <c r="H74" s="10">
        <f>'Model inputs'!H24*'Model inputs'!O79</f>
        <v>337.5</v>
      </c>
      <c r="I74" s="10">
        <f>'Model inputs'!I24*'Model inputs'!O79</f>
        <v>337.5</v>
      </c>
      <c r="J74" s="10">
        <f>'Model inputs'!J24*'Model inputs'!O79</f>
        <v>337.5</v>
      </c>
      <c r="K74" s="10">
        <f>'Model inputs'!K24*'Model inputs'!O79</f>
        <v>337.5</v>
      </c>
      <c r="L74" s="10">
        <f>'Model inputs'!L24*'Model inputs'!O79</f>
        <v>337.5</v>
      </c>
      <c r="M74" s="10">
        <f>'Model inputs'!M24*'Model inputs'!O79</f>
        <v>337.5</v>
      </c>
      <c r="N74" s="10">
        <f>'Model inputs'!N24*'Model inputs'!O79</f>
        <v>337.5</v>
      </c>
    </row>
    <row r="75">
      <c r="A75" t="inlineStr" s="16">
        <is>
          <t xml:space="preserve">Plan Cash collections</t>
        </is>
      </c>
      <c r="B75" s="10">
        <v>0</v>
      </c>
      <c r="C75" s="10">
        <f>IF(SUM(IF(IF('Model inputs'!B899="",0,1)="",0,IF('Model inputs'!B899="",0,1)),IF(IF('Model inputs'!B900="",0,1)="",0,IF('Model inputs'!B900="",0,1)),IF(IF('Model inputs'!B901="",0,1)="",0,IF('Model inputs'!B901="",0,1)),IF(IF('Model inputs'!B902="",0,1)="",0,IF('Model inputs'!B902="",0,1)),IF(IF('Model inputs'!B903="",0,1)="",0,IF('Model inputs'!B903="",0,1)))=0,"",SUM('Model inputs'!B899,'Model inputs'!B900,'Model inputs'!B901,'Model inputs'!B902,'Model inputs'!B903))</f>
        <v>22500</v>
      </c>
      <c r="D75" s="10">
        <f>IF(SUM(IF(IF('Model inputs'!B904="",0,1)="",0,IF('Model inputs'!B904="",0,1)),IF(IF('Model inputs'!B905="",0,1)="",0,IF('Model inputs'!B905="",0,1)),IF(IF('Model inputs'!B906="",0,1)="",0,IF('Model inputs'!B906="",0,1)),IF(IF('Model inputs'!B907="",0,1)="",0,IF('Model inputs'!B907="",0,1)),IF(IF('Model inputs'!B908="",0,1)="",0,IF('Model inputs'!B908="",0,1)))=0,"",SUM('Model inputs'!B904,'Model inputs'!B905,'Model inputs'!B906,'Model inputs'!B907,'Model inputs'!B908))</f>
        <v>22500</v>
      </c>
      <c r="E75" s="10">
        <f>IF(SUM(IF(IF('Model inputs'!B909="",0,1)="",0,IF('Model inputs'!B909="",0,1)),IF(IF('Model inputs'!B910="",0,1)="",0,IF('Model inputs'!B910="",0,1)),IF(IF('Model inputs'!B911="",0,1)="",0,IF('Model inputs'!B911="",0,1)),IF(IF('Model inputs'!B912="",0,1)="",0,IF('Model inputs'!B912="",0,1)),IF(IF('Model inputs'!B913="",0,1)="",0,IF('Model inputs'!B913="",0,1)))=0,"",SUM('Model inputs'!B909,'Model inputs'!B910,'Model inputs'!B911,'Model inputs'!B912,'Model inputs'!B913))</f>
        <v>22500</v>
      </c>
      <c r="F75" s="10">
        <f>IF(SUM(IF(IF('Model inputs'!B914="",0,1)="",0,IF('Model inputs'!B914="",0,1)),IF(IF('Model inputs'!B915="",0,1)="",0,IF('Model inputs'!B915="",0,1)),IF(IF('Model inputs'!B916="",0,1)="",0,IF('Model inputs'!B916="",0,1)),IF(IF('Model inputs'!B917="",0,1)="",0,IF('Model inputs'!B917="",0,1)),IF(IF('Model inputs'!B918="",0,1)="",0,IF('Model inputs'!B918="",0,1)))=0,"",SUM('Model inputs'!B914,'Model inputs'!B915,'Model inputs'!B916,'Model inputs'!B917,'Model inputs'!B918))</f>
        <v>22500</v>
      </c>
      <c r="G75" s="10">
        <f>IF(SUM(IF(IF('Model inputs'!B919="",0,1)="",0,IF('Model inputs'!B919="",0,1)),IF(IF('Model inputs'!B920="",0,1)="",0,IF('Model inputs'!B920="",0,1)),IF(IF('Model inputs'!B921="",0,1)="",0,IF('Model inputs'!B921="",0,1)),IF(IF('Model inputs'!B922="",0,1)="",0,IF('Model inputs'!B922="",0,1)),IF(IF('Model inputs'!B923="",0,1)="",0,IF('Model inputs'!B923="",0,1)))=0,"",SUM('Model inputs'!B919,'Model inputs'!B920,'Model inputs'!B921,'Model inputs'!B922,'Model inputs'!B923))</f>
        <v>22500</v>
      </c>
      <c r="H75" s="10">
        <f>IF(SUM(IF(IF('Model inputs'!B924="",0,1)="",0,IF('Model inputs'!B924="",0,1)),IF(IF('Model inputs'!B925="",0,1)="",0,IF('Model inputs'!B925="",0,1)),IF(IF('Model inputs'!B926="",0,1)="",0,IF('Model inputs'!B926="",0,1)),IF(IF('Model inputs'!B927="",0,1)="",0,IF('Model inputs'!B927="",0,1)),IF(IF('Model inputs'!B928="",0,1)="",0,IF('Model inputs'!B928="",0,1)))=0,"",SUM('Model inputs'!B924,'Model inputs'!B925,'Model inputs'!B926,'Model inputs'!B927,'Model inputs'!B928))</f>
        <v>22500</v>
      </c>
      <c r="I75" s="10">
        <f>IF(SUM(IF(IF('Model inputs'!B929="",0,1)="",0,IF('Model inputs'!B929="",0,1)),IF(IF('Model inputs'!B930="",0,1)="",0,IF('Model inputs'!B930="",0,1)),IF(IF('Model inputs'!B931="",0,1)="",0,IF('Model inputs'!B931="",0,1)),IF(IF('Model inputs'!B932="",0,1)="",0,IF('Model inputs'!B932="",0,1)),IF(IF('Model inputs'!B933="",0,1)="",0,IF('Model inputs'!B933="",0,1)))=0,"",SUM('Model inputs'!B929,'Model inputs'!B930,'Model inputs'!B931,'Model inputs'!B932,'Model inputs'!B933))</f>
        <v>22500</v>
      </c>
      <c r="J75" s="10">
        <f>IF(SUM(IF(IF('Model inputs'!B934="",0,1)="",0,IF('Model inputs'!B934="",0,1)),IF(IF('Model inputs'!B935="",0,1)="",0,IF('Model inputs'!B935="",0,1)),IF(IF('Model inputs'!B936="",0,1)="",0,IF('Model inputs'!B936="",0,1)),IF(IF('Model inputs'!B937="",0,1)="",0,IF('Model inputs'!B937="",0,1)),IF(IF('Model inputs'!B938="",0,1)="",0,IF('Model inputs'!B938="",0,1)))=0,"",SUM('Model inputs'!B934,'Model inputs'!B935,'Model inputs'!B936,'Model inputs'!B937,'Model inputs'!B938))</f>
        <v>22500</v>
      </c>
      <c r="K75" s="10">
        <f>IF(SUM(IF(IF('Model inputs'!B939="",0,1)="",0,IF('Model inputs'!B939="",0,1)),IF(IF('Model inputs'!B940="",0,1)="",0,IF('Model inputs'!B940="",0,1)),IF(IF('Model inputs'!B941="",0,1)="",0,IF('Model inputs'!B941="",0,1)),IF(IF('Model inputs'!B942="",0,1)="",0,IF('Model inputs'!B942="",0,1)),IF(IF('Model inputs'!B943="",0,1)="",0,IF('Model inputs'!B943="",0,1)))=0,"",SUM('Model inputs'!B939,'Model inputs'!B940,'Model inputs'!B941,'Model inputs'!B942,'Model inputs'!B943))</f>
        <v>22500</v>
      </c>
      <c r="L75" s="10">
        <f>IF(SUM(IF(IF('Model inputs'!B944="",0,1)="",0,IF('Model inputs'!B944="",0,1)),IF(IF('Model inputs'!B945="",0,1)="",0,IF('Model inputs'!B945="",0,1)),IF(IF('Model inputs'!B946="",0,1)="",0,IF('Model inputs'!B946="",0,1)),IF(IF('Model inputs'!B947="",0,1)="",0,IF('Model inputs'!B947="",0,1)),IF(IF('Model inputs'!B948="",0,1)="",0,IF('Model inputs'!B948="",0,1)))=0,"",SUM('Model inputs'!B944,'Model inputs'!B945,'Model inputs'!B946,'Model inputs'!B947,'Model inputs'!B948))</f>
        <v>22500</v>
      </c>
      <c r="M75" s="10">
        <f>IF(SUM(IF(IF('Model inputs'!B949="",0,1)="",0,IF('Model inputs'!B949="",0,1)),IF(IF('Model inputs'!B950="",0,1)="",0,IF('Model inputs'!B950="",0,1)),IF(IF('Model inputs'!B951="",0,1)="",0,IF('Model inputs'!B951="",0,1)),IF(IF('Model inputs'!B952="",0,1)="",0,IF('Model inputs'!B952="",0,1)),IF(IF('Model inputs'!B953="",0,1)="",0,IF('Model inputs'!B953="",0,1)))=0,"",SUM('Model inputs'!B949,'Model inputs'!B950,'Model inputs'!B951,'Model inputs'!B952,'Model inputs'!B953))</f>
        <v>22500</v>
      </c>
      <c r="N75" s="10">
        <f>IF(SUM(IF(IF('Model inputs'!B954="",0,1)="",0,IF('Model inputs'!B954="",0,1)),IF(IF('Model inputs'!B955="",0,1)="",0,IF('Model inputs'!B955="",0,1)),IF(IF('Model inputs'!B956="",0,1)="",0,IF('Model inputs'!B956="",0,1)),IF(IF('Model inputs'!B957="",0,1)="",0,IF('Model inputs'!B957="",0,1)),IF(IF('Model inputs'!B958="",0,1)="",0,IF('Model inputs'!B958="",0,1)))=0,"",SUM('Model inputs'!B954,'Model inputs'!B955,'Model inputs'!B956,'Model inputs'!B957,'Model inputs'!B958))</f>
        <v>22500</v>
      </c>
      <c r="P75" s="10">
        <v>0</v>
      </c>
    </row>
    <row r="76">
      <c r="A76" t="inlineStr" s="16">
        <is>
          <t xml:space="preserve">Plan Earned revenue</t>
        </is>
      </c>
      <c r="B76" s="10">
        <v>0</v>
      </c>
      <c r="C76" s="10">
        <f>IF(SUM(IF(IF('Model inputs'!B959="",0,1)="",0,IF('Model inputs'!B959="",0,1)),IF(IF('Model inputs'!B960="",0,1)="",0,IF('Model inputs'!B960="",0,1)),IF(IF('Model inputs'!B961="",0,1)="",0,IF('Model inputs'!B961="",0,1)),IF(IF('Model inputs'!B962="",0,1)="",0,IF('Model inputs'!B962="",0,1)),IF(IF('Model inputs'!B963="",0,1)="",0,IF('Model inputs'!B963="",0,1)))=0,"",SUM('Model inputs'!B959,'Model inputs'!B960,'Model inputs'!B961,'Model inputs'!B962,'Model inputs'!B963))</f>
        <v>22500</v>
      </c>
      <c r="D76" s="10">
        <f>IF(SUM(IF(IF('Model inputs'!B964="",0,1)="",0,IF('Model inputs'!B964="",0,1)),IF(IF('Model inputs'!B965="",0,1)="",0,IF('Model inputs'!B965="",0,1)),IF(IF('Model inputs'!B966="",0,1)="",0,IF('Model inputs'!B966="",0,1)),IF(IF('Model inputs'!B967="",0,1)="",0,IF('Model inputs'!B967="",0,1)),IF(IF('Model inputs'!B968="",0,1)="",0,IF('Model inputs'!B968="",0,1)))=0,"",SUM('Model inputs'!B964,'Model inputs'!B965,'Model inputs'!B966,'Model inputs'!B967,'Model inputs'!B968))</f>
        <v>22500</v>
      </c>
      <c r="E76" s="10">
        <f>IF(SUM(IF(IF('Model inputs'!B969="",0,1)="",0,IF('Model inputs'!B969="",0,1)),IF(IF('Model inputs'!B970="",0,1)="",0,IF('Model inputs'!B970="",0,1)),IF(IF('Model inputs'!B971="",0,1)="",0,IF('Model inputs'!B971="",0,1)),IF(IF('Model inputs'!B972="",0,1)="",0,IF('Model inputs'!B972="",0,1)),IF(IF('Model inputs'!B973="",0,1)="",0,IF('Model inputs'!B973="",0,1)))=0,"",SUM('Model inputs'!B969,'Model inputs'!B970,'Model inputs'!B971,'Model inputs'!B972,'Model inputs'!B973))</f>
        <v>22500</v>
      </c>
      <c r="F76" s="10">
        <f>IF(SUM(IF(IF('Model inputs'!B974="",0,1)="",0,IF('Model inputs'!B974="",0,1)),IF(IF('Model inputs'!B975="",0,1)="",0,IF('Model inputs'!B975="",0,1)),IF(IF('Model inputs'!B976="",0,1)="",0,IF('Model inputs'!B976="",0,1)),IF(IF('Model inputs'!B977="",0,1)="",0,IF('Model inputs'!B977="",0,1)),IF(IF('Model inputs'!B978="",0,1)="",0,IF('Model inputs'!B978="",0,1)))=0,"",SUM('Model inputs'!B974,'Model inputs'!B975,'Model inputs'!B976,'Model inputs'!B977,'Model inputs'!B978))</f>
        <v>22500</v>
      </c>
      <c r="G76" s="10">
        <f>IF(SUM(IF(IF('Model inputs'!B979="",0,1)="",0,IF('Model inputs'!B979="",0,1)),IF(IF('Model inputs'!B980="",0,1)="",0,IF('Model inputs'!B980="",0,1)),IF(IF('Model inputs'!B981="",0,1)="",0,IF('Model inputs'!B981="",0,1)),IF(IF('Model inputs'!B982="",0,1)="",0,IF('Model inputs'!B982="",0,1)),IF(IF('Model inputs'!B983="",0,1)="",0,IF('Model inputs'!B983="",0,1)))=0,"",SUM('Model inputs'!B979,'Model inputs'!B980,'Model inputs'!B981,'Model inputs'!B982,'Model inputs'!B983))</f>
        <v>22500</v>
      </c>
      <c r="H76" s="10">
        <f>IF(SUM(IF(IF('Model inputs'!B984="",0,1)="",0,IF('Model inputs'!B984="",0,1)),IF(IF('Model inputs'!B985="",0,1)="",0,IF('Model inputs'!B985="",0,1)),IF(IF('Model inputs'!B986="",0,1)="",0,IF('Model inputs'!B986="",0,1)),IF(IF('Model inputs'!B987="",0,1)="",0,IF('Model inputs'!B987="",0,1)),IF(IF('Model inputs'!B988="",0,1)="",0,IF('Model inputs'!B988="",0,1)))=0,"",SUM('Model inputs'!B984,'Model inputs'!B985,'Model inputs'!B986,'Model inputs'!B987,'Model inputs'!B988))</f>
        <v>22500</v>
      </c>
      <c r="I76" s="10">
        <f>IF(SUM(IF(IF('Model inputs'!B989="",0,1)="",0,IF('Model inputs'!B989="",0,1)),IF(IF('Model inputs'!B990="",0,1)="",0,IF('Model inputs'!B990="",0,1)),IF(IF('Model inputs'!B991="",0,1)="",0,IF('Model inputs'!B991="",0,1)),IF(IF('Model inputs'!B992="",0,1)="",0,IF('Model inputs'!B992="",0,1)),IF(IF('Model inputs'!B993="",0,1)="",0,IF('Model inputs'!B993="",0,1)))=0,"",SUM('Model inputs'!B989,'Model inputs'!B990,'Model inputs'!B991,'Model inputs'!B992,'Model inputs'!B993))</f>
        <v>22500</v>
      </c>
      <c r="J76" s="10">
        <f>IF(SUM(IF(IF('Model inputs'!B994="",0,1)="",0,IF('Model inputs'!B994="",0,1)),IF(IF('Model inputs'!B995="",0,1)="",0,IF('Model inputs'!B995="",0,1)),IF(IF('Model inputs'!B996="",0,1)="",0,IF('Model inputs'!B996="",0,1)),IF(IF('Model inputs'!B997="",0,1)="",0,IF('Model inputs'!B997="",0,1)),IF(IF('Model inputs'!B998="",0,1)="",0,IF('Model inputs'!B998="",0,1)))=0,"",SUM('Model inputs'!B994,'Model inputs'!B995,'Model inputs'!B996,'Model inputs'!B997,'Model inputs'!B998))</f>
        <v>22500</v>
      </c>
      <c r="K76" s="10">
        <f>IF(SUM(IF(IF('Model inputs'!B999="",0,1)="",0,IF('Model inputs'!B999="",0,1)),IF(IF('Model inputs'!B1000="",0,1)="",0,IF('Model inputs'!B1000="",0,1)),IF(IF('Model inputs'!B1001="",0,1)="",0,IF('Model inputs'!B1001="",0,1)),IF(IF('Model inputs'!B1002="",0,1)="",0,IF('Model inputs'!B1002="",0,1)),IF(IF('Model inputs'!B1003="",0,1)="",0,IF('Model inputs'!B1003="",0,1)))=0,"",SUM('Model inputs'!B999,'Model inputs'!B1000,'Model inputs'!B1001,'Model inputs'!B1002,'Model inputs'!B1003))</f>
        <v>22500</v>
      </c>
      <c r="L76" s="10">
        <f>IF(SUM(IF(IF('Model inputs'!B1004="",0,1)="",0,IF('Model inputs'!B1004="",0,1)),IF(IF('Model inputs'!B1005="",0,1)="",0,IF('Model inputs'!B1005="",0,1)),IF(IF('Model inputs'!B1006="",0,1)="",0,IF('Model inputs'!B1006="",0,1)),IF(IF('Model inputs'!B1007="",0,1)="",0,IF('Model inputs'!B1007="",0,1)),IF(IF('Model inputs'!B1008="",0,1)="",0,IF('Model inputs'!B1008="",0,1)))=0,"",SUM('Model inputs'!B1004,'Model inputs'!B1005,'Model inputs'!B1006,'Model inputs'!B1007,'Model inputs'!B1008))</f>
        <v>22500</v>
      </c>
      <c r="M76" s="10">
        <f>IF(SUM(IF(IF('Model inputs'!B1009="",0,1)="",0,IF('Model inputs'!B1009="",0,1)),IF(IF('Model inputs'!B1010="",0,1)="",0,IF('Model inputs'!B1010="",0,1)),IF(IF('Model inputs'!B1011="",0,1)="",0,IF('Model inputs'!B1011="",0,1)),IF(IF('Model inputs'!B1012="",0,1)="",0,IF('Model inputs'!B1012="",0,1)),IF(IF('Model inputs'!B1013="",0,1)="",0,IF('Model inputs'!B1013="",0,1)))=0,"",SUM('Model inputs'!B1009,'Model inputs'!B1010,'Model inputs'!B1011,'Model inputs'!B1012,'Model inputs'!B1013))</f>
        <v>22500</v>
      </c>
      <c r="N76" s="10">
        <f>IF(SUM(IF(IF('Model inputs'!B1014="",0,1)="",0,IF('Model inputs'!B1014="",0,1)),IF(IF('Model inputs'!B1015="",0,1)="",0,IF('Model inputs'!B1015="",0,1)),IF(IF('Model inputs'!B1016="",0,1)="",0,IF('Model inputs'!B1016="",0,1)),IF(IF('Model inputs'!B1017="",0,1)="",0,IF('Model inputs'!B1017="",0,1)),IF(IF('Model inputs'!B1018="",0,1)="",0,IF('Model inputs'!B1018="",0,1)))=0,"",SUM('Model inputs'!B1014,'Model inputs'!B1015,'Model inputs'!B1016,'Model inputs'!B1017,'Model inputs'!B1018))</f>
        <v>22500</v>
      </c>
      <c r="P76" s="10">
        <v>0</v>
      </c>
    </row>
    <row r="77">
      <c r="A77" t="inlineStr" s="16">
        <is>
          <t xml:space="preserve">Plan Net cash burn</t>
        </is>
      </c>
      <c r="B77" s="10">
        <v>0</v>
      </c>
      <c r="C77" s="10">
        <f>IF(SUM(IF(IF('Model inputs'!B1019="",0,1)="",0,IF('Model inputs'!B1019="",0,1)),IF(IF('Model inputs'!B1020="",0,1)="",0,IF('Model inputs'!B1020="",0,1)),IF(IF('Model inputs'!B1021="",0,1)="",0,IF('Model inputs'!B1021="",0,1)),IF(IF('Model inputs'!B1022="",0,1)="",0,IF('Model inputs'!B1022="",0,1)),IF(IF('Model inputs'!B1023="",0,1)="",0,IF('Model inputs'!B1023="",0,1)))=0,"",SUM('Model inputs'!B1019,'Model inputs'!B1020,'Model inputs'!B1021,'Model inputs'!B1022,'Model inputs'!B1023))</f>
        <v>-19505.25</v>
      </c>
      <c r="D77" s="10">
        <f>IF(SUM(IF(IF('Model inputs'!B1024="",0,1)="",0,IF('Model inputs'!B1024="",0,1)),IF(IF('Model inputs'!B1025="",0,1)="",0,IF('Model inputs'!B1025="",0,1)),IF(IF('Model inputs'!B1026="",0,1)="",0,IF('Model inputs'!B1026="",0,1)),IF(IF('Model inputs'!B1027="",0,1)="",0,IF('Model inputs'!B1027="",0,1)),IF(IF('Model inputs'!B1028="",0,1)="",0,IF('Model inputs'!B1028="",0,1)))=0,"",SUM('Model inputs'!B1024,'Model inputs'!B1025,'Model inputs'!B1026,'Model inputs'!B1027,'Model inputs'!B1028))</f>
        <v>-19505.25</v>
      </c>
      <c r="E77" s="10">
        <f>IF(SUM(IF(IF('Model inputs'!B1029="",0,1)="",0,IF('Model inputs'!B1029="",0,1)),IF(IF('Model inputs'!B1030="",0,1)="",0,IF('Model inputs'!B1030="",0,1)),IF(IF('Model inputs'!B1031="",0,1)="",0,IF('Model inputs'!B1031="",0,1)),IF(IF('Model inputs'!B1032="",0,1)="",0,IF('Model inputs'!B1032="",0,1)),IF(IF('Model inputs'!B1033="",0,1)="",0,IF('Model inputs'!B1033="",0,1)))=0,"",SUM('Model inputs'!B1029,'Model inputs'!B1030,'Model inputs'!B1031,'Model inputs'!B1032,'Model inputs'!B1033))</f>
        <v>-19505.25</v>
      </c>
      <c r="F77" s="10">
        <f>IF(SUM(IF(IF('Model inputs'!B1034="",0,1)="",0,IF('Model inputs'!B1034="",0,1)),IF(IF('Model inputs'!B1035="",0,1)="",0,IF('Model inputs'!B1035="",0,1)),IF(IF('Model inputs'!B1036="",0,1)="",0,IF('Model inputs'!B1036="",0,1)),IF(IF('Model inputs'!B1037="",0,1)="",0,IF('Model inputs'!B1037="",0,1)),IF(IF('Model inputs'!B1038="",0,1)="",0,IF('Model inputs'!B1038="",0,1)))=0,"",SUM('Model inputs'!B1034,'Model inputs'!B1035,'Model inputs'!B1036,'Model inputs'!B1037,'Model inputs'!B1038))</f>
        <v>-19505.25</v>
      </c>
      <c r="G77" s="10">
        <f>IF(SUM(IF(IF('Model inputs'!B1039="",0,1)="",0,IF('Model inputs'!B1039="",0,1)),IF(IF('Model inputs'!B1040="",0,1)="",0,IF('Model inputs'!B1040="",0,1)),IF(IF('Model inputs'!B1041="",0,1)="",0,IF('Model inputs'!B1041="",0,1)),IF(IF('Model inputs'!B1042="",0,1)="",0,IF('Model inputs'!B1042="",0,1)),IF(IF('Model inputs'!B1043="",0,1)="",0,IF('Model inputs'!B1043="",0,1)))=0,"",SUM('Model inputs'!B1039,'Model inputs'!B1040,'Model inputs'!B1041,'Model inputs'!B1042,'Model inputs'!B1043))</f>
        <v>-19505.25</v>
      </c>
      <c r="H77" s="10">
        <f>IF(SUM(IF(IF('Model inputs'!B1044="",0,1)="",0,IF('Model inputs'!B1044="",0,1)),IF(IF('Model inputs'!B1045="",0,1)="",0,IF('Model inputs'!B1045="",0,1)),IF(IF('Model inputs'!B1046="",0,1)="",0,IF('Model inputs'!B1046="",0,1)),IF(IF('Model inputs'!B1047="",0,1)="",0,IF('Model inputs'!B1047="",0,1)),IF(IF('Model inputs'!B1048="",0,1)="",0,IF('Model inputs'!B1048="",0,1)))=0,"",SUM('Model inputs'!B1044,'Model inputs'!B1045,'Model inputs'!B1046,'Model inputs'!B1047,'Model inputs'!B1048))</f>
        <v>-19005.25</v>
      </c>
      <c r="I77" s="10">
        <f>IF(SUM(IF(IF('Model inputs'!B1049="",0,1)="",0,IF('Model inputs'!B1049="",0,1)),IF(IF('Model inputs'!B1050="",0,1)="",0,IF('Model inputs'!B1050="",0,1)),IF(IF('Model inputs'!B1051="",0,1)="",0,IF('Model inputs'!B1051="",0,1)),IF(IF('Model inputs'!B1052="",0,1)="",0,IF('Model inputs'!B1052="",0,1)),IF(IF('Model inputs'!B1053="",0,1)="",0,IF('Model inputs'!B1053="",0,1)))=0,"",SUM('Model inputs'!B1049,'Model inputs'!B1050,'Model inputs'!B1051,'Model inputs'!B1052,'Model inputs'!B1053))</f>
        <v>-19005.25</v>
      </c>
      <c r="J77" s="10">
        <f>IF(SUM(IF(IF('Model inputs'!B1054="",0,1)="",0,IF('Model inputs'!B1054="",0,1)),IF(IF('Model inputs'!B1055="",0,1)="",0,IF('Model inputs'!B1055="",0,1)),IF(IF('Model inputs'!B1056="",0,1)="",0,IF('Model inputs'!B1056="",0,1)),IF(IF('Model inputs'!B1057="",0,1)="",0,IF('Model inputs'!B1057="",0,1)),IF(IF('Model inputs'!B1058="",0,1)="",0,IF('Model inputs'!B1058="",0,1)))=0,"",SUM('Model inputs'!B1054,'Model inputs'!B1055,'Model inputs'!B1056,'Model inputs'!B1057,'Model inputs'!B1058))</f>
        <v>-19005.25</v>
      </c>
      <c r="K77" s="10">
        <f>IF(SUM(IF(IF('Model inputs'!B1059="",0,1)="",0,IF('Model inputs'!B1059="",0,1)),IF(IF('Model inputs'!B1060="",0,1)="",0,IF('Model inputs'!B1060="",0,1)),IF(IF('Model inputs'!B1061="",0,1)="",0,IF('Model inputs'!B1061="",0,1)),IF(IF('Model inputs'!B1062="",0,1)="",0,IF('Model inputs'!B1062="",0,1)),IF(IF('Model inputs'!B1063="",0,1)="",0,IF('Model inputs'!B1063="",0,1)))=0,"",SUM('Model inputs'!B1059,'Model inputs'!B1060,'Model inputs'!B1061,'Model inputs'!B1062,'Model inputs'!B1063))</f>
        <v>-19005.25</v>
      </c>
      <c r="L77" s="10">
        <f>IF(SUM(IF(IF('Model inputs'!B1064="",0,1)="",0,IF('Model inputs'!B1064="",0,1)),IF(IF('Model inputs'!B1065="",0,1)="",0,IF('Model inputs'!B1065="",0,1)),IF(IF('Model inputs'!B1066="",0,1)="",0,IF('Model inputs'!B1066="",0,1)),IF(IF('Model inputs'!B1067="",0,1)="",0,IF('Model inputs'!B1067="",0,1)),IF(IF('Model inputs'!B1068="",0,1)="",0,IF('Model inputs'!B1068="",0,1)))=0,"",SUM('Model inputs'!B1064,'Model inputs'!B1065,'Model inputs'!B1066,'Model inputs'!B1067,'Model inputs'!B1068))</f>
        <v>-19005.25</v>
      </c>
      <c r="M77" s="10">
        <f>IF(SUM(IF(IF('Model inputs'!B1069="",0,1)="",0,IF('Model inputs'!B1069="",0,1)),IF(IF('Model inputs'!B1070="",0,1)="",0,IF('Model inputs'!B1070="",0,1)),IF(IF('Model inputs'!B1071="",0,1)="",0,IF('Model inputs'!B1071="",0,1)),IF(IF('Model inputs'!B1072="",0,1)="",0,IF('Model inputs'!B1072="",0,1)),IF(IF('Model inputs'!B1073="",0,1)="",0,IF('Model inputs'!B1073="",0,1)))=0,"",SUM('Model inputs'!B1069,'Model inputs'!B1070,'Model inputs'!B1071,'Model inputs'!B1072,'Model inputs'!B1073))</f>
        <v>-19005.25</v>
      </c>
      <c r="N77" s="10">
        <f>IF(SUM(IF(IF('Model inputs'!B1074="",0,1)="",0,IF('Model inputs'!B1074="",0,1)),IF(IF('Model inputs'!B1075="",0,1)="",0,IF('Model inputs'!B1075="",0,1)),IF(IF('Model inputs'!B1076="",0,1)="",0,IF('Model inputs'!B1076="",0,1)),IF(IF('Model inputs'!B1077="",0,1)="",0,IF('Model inputs'!B1077="",0,1)),IF(IF('Model inputs'!B1078="",0,1)="",0,IF('Model inputs'!B1078="",0,1)))=0,"",SUM('Model inputs'!B1074,'Model inputs'!B1075,'Model inputs'!B1076,'Model inputs'!B1077,'Model inputs'!B1078))</f>
        <v>-19005.25</v>
      </c>
      <c r="P77" s="10">
        <v>0</v>
      </c>
    </row>
    <row r="78">
      <c r="A78" t="inlineStr" s="16">
        <is>
          <t xml:space="preserve">Price discount</t>
        </is>
      </c>
      <c r="O78" s="9">
        <f>0</f>
        <v>0</v>
      </c>
    </row>
    <row r="79">
      <c r="A79" t="inlineStr" s="16">
        <is>
          <t xml:space="preserve">Processing rate</t>
        </is>
      </c>
      <c r="O79" s="9">
        <f>0.03</f>
        <v>0.03</v>
      </c>
    </row>
    <row r="80">
      <c r="A80" t="inlineStr" s="16">
        <is>
          <t xml:space="preserve">Projection month</t>
        </is>
      </c>
      <c r="B80" s="9">
        <v>0</v>
      </c>
      <c r="C80" s="9">
        <f>DATEDIF('Model inputs'!O58,DATE(2026,10,1),"M")+1</f>
        <v>1</v>
      </c>
      <c r="D80" s="9">
        <f>DATEDIF('Model inputs'!O58,DATE(2026,11,1),"M")+1</f>
        <v>2</v>
      </c>
      <c r="E80" s="9">
        <f>DATEDIF('Model inputs'!O58,DATE(2026,12,1),"M")+1</f>
        <v>3</v>
      </c>
      <c r="F80" s="9">
        <f>DATEDIF('Model inputs'!O58,DATE(2027,1,1),"M")+1</f>
        <v>4</v>
      </c>
      <c r="G80" s="9">
        <f>DATEDIF('Model inputs'!O58,DATE(2027,2,1),"M")+1</f>
        <v>5</v>
      </c>
      <c r="H80" s="9">
        <f>DATEDIF('Model inputs'!O58,DATE(2027,3,1),"M")+1</f>
        <v>6</v>
      </c>
      <c r="I80" s="9">
        <f>DATEDIF('Model inputs'!O58,DATE(2027,4,1),"M")+1</f>
        <v>7</v>
      </c>
      <c r="J80" s="9">
        <f>DATEDIF('Model inputs'!O58,DATE(2027,5,1),"M")+1</f>
        <v>8</v>
      </c>
      <c r="K80" s="9">
        <f>DATEDIF('Model inputs'!O58,DATE(2027,6,1),"M")+1</f>
        <v>9</v>
      </c>
      <c r="L80" s="9">
        <f>DATEDIF('Model inputs'!O58,DATE(2027,7,1),"M")+1</f>
        <v>10</v>
      </c>
      <c r="M80" s="9">
        <f>DATEDIF('Model inputs'!O58,DATE(2027,8,1),"M")+1</f>
        <v>11</v>
      </c>
      <c r="N80" s="9">
        <f>DATEDIF('Model inputs'!O58,DATE(2027,9,1),"M")+1</f>
        <v>12</v>
      </c>
      <c r="P80" s="9">
        <v>0</v>
      </c>
    </row>
    <row r="81">
      <c r="A81" t="inlineStr" s="16">
        <is>
          <t xml:space="preserve">QA hours per audit</t>
        </is>
      </c>
      <c r="O81" s="9">
        <f>1.5</f>
        <v>1.5</v>
      </c>
    </row>
    <row r="82">
      <c r="A82" t="inlineStr" s="16">
        <is>
          <t xml:space="preserve">Sales marketing monthly</t>
        </is>
      </c>
      <c r="O82" s="10">
        <f>500</f>
        <v>500</v>
      </c>
    </row>
    <row r="83">
      <c r="A83" t="inlineStr" s="16">
        <is>
          <t xml:space="preserve">Selected pricing model</t>
        </is>
      </c>
      <c r="O83" t="str" s="9">
        <f>"Per audit — base"</f>
        <v>Per audit — base</v>
      </c>
    </row>
    <row r="84">
      <c r="A84" t="inlineStr" s="16">
        <is>
          <t xml:space="preserve">Software monthly</t>
        </is>
      </c>
      <c r="O84" s="10">
        <f>100</f>
        <v>100</v>
      </c>
    </row>
    <row r="85">
      <c r="A85" t="inlineStr" s="16">
        <is>
          <t xml:space="preserve">Support dollars per hour</t>
        </is>
      </c>
      <c r="O85" s="10">
        <f>60</f>
        <v>60</v>
      </c>
    </row>
    <row r="86">
      <c r="A86" t="inlineStr" s="16">
        <is>
          <t xml:space="preserve">Support hours per customer per month</t>
        </is>
      </c>
      <c r="O86" s="9">
        <f>0.5</f>
        <v>0.5</v>
      </c>
    </row>
    <row r="87">
      <c r="A87" t="inlineStr" s="16">
        <is>
          <t xml:space="preserve">Upfront subscription fee</t>
        </is>
      </c>
      <c r="O87" s="12">
        <v>0</v>
      </c>
    </row>
    <row r="88" outlineLevel="1">
      <c r="A88" t="inlineStr" s="17">
        <is>
          <t xml:space="preserve">Upfront subscription fee &gt; Annual deal-team</t>
        </is>
      </c>
      <c r="O88" s="10">
        <f>IF('Model inputs'!O97="","",'Model inputs'!O97)</f>
        <v>24000</v>
      </c>
    </row>
    <row r="89" outlineLevel="1">
      <c r="A89" t="inlineStr" s="17">
        <is>
          <t xml:space="preserve">Upfront subscription fee &gt; Hybrid</t>
        </is>
      </c>
      <c r="O89" s="10">
        <f>IF('Model inputs'!O108="","",'Model inputs'!O108)</f>
        <v>6000</v>
      </c>
    </row>
    <row r="90" outlineLevel="1">
      <c r="A90" t="inlineStr" s="17">
        <is>
          <t xml:space="preserve">Upfront subscription fee &gt; Per audit — base</t>
        </is>
      </c>
      <c r="O90" s="10">
        <f>0</f>
        <v>0</v>
      </c>
    </row>
    <row r="91" outlineLevel="1">
      <c r="A91" t="inlineStr" s="17">
        <is>
          <t xml:space="preserve">Upfront subscription fee &gt; Per audit — high</t>
        </is>
      </c>
      <c r="O91" s="10">
        <f>0</f>
        <v>0</v>
      </c>
    </row>
    <row r="92" outlineLevel="1">
      <c r="A92" t="inlineStr" s="17">
        <is>
          <t xml:space="preserve">Upfront subscription fee &gt; Per audit — low</t>
        </is>
      </c>
      <c r="O92" s="10">
        <f>0</f>
        <v>0</v>
      </c>
    </row>
    <row r="93">
      <c r="A93" t="inlineStr" s="16">
        <is>
          <t xml:space="preserve">Forecast months</t>
        </is>
      </c>
      <c r="O93" s="9">
        <f>12</f>
        <v>12</v>
      </c>
    </row>
    <row r="94">
      <c r="A94" t="inlineStr" s="16">
        <is>
          <t xml:space="preserve">Linear customer ramp switch</t>
        </is>
      </c>
      <c r="O94" s="9">
        <f>0</f>
        <v>0</v>
      </c>
    </row>
    <row r="95">
      <c r="A95" t="inlineStr" s="16">
        <is>
          <t xml:space="preserve">Sales delay months</t>
        </is>
      </c>
      <c r="O95" s="9">
        <f>0</f>
        <v>0</v>
      </c>
    </row>
    <row r="96">
      <c r="A96" t="inlineStr" s="16">
        <is>
          <t xml:space="preserve">Target paying customers</t>
        </is>
      </c>
      <c r="O96" s="9">
        <f>5</f>
        <v>5</v>
      </c>
    </row>
    <row r="97">
      <c r="A97" t="inlineStr" s="16">
        <is>
          <t xml:space="preserve">Annual fee · Customer monthly earned revenue</t>
        </is>
      </c>
      <c r="O97" s="10">
        <f>24000</f>
        <v>24000</v>
      </c>
    </row>
    <row r="98">
      <c r="A98" t="inlineStr" s="16">
        <is>
          <t xml:space="preserve">Annual utilization · Customer monthly delivered audits</t>
        </is>
      </c>
      <c r="O98" s="9">
        <f>1</f>
        <v>1</v>
      </c>
    </row>
    <row r="99">
      <c r="A99" t="inlineStr" s="16">
        <is>
          <t xml:space="preserve">Audit list price</t>
        </is>
      </c>
      <c r="O99" s="12">
        <v>0</v>
      </c>
    </row>
    <row r="100" outlineLevel="1">
      <c r="A100" t="inlineStr" s="17">
        <is>
          <t xml:space="preserve">Audit list price &gt; Annual deal-team</t>
        </is>
      </c>
      <c r="O100" s="10">
        <f>0</f>
        <v>0</v>
      </c>
    </row>
    <row r="101" outlineLevel="1">
      <c r="A101" t="inlineStr" s="17">
        <is>
          <t xml:space="preserve">Audit list price &gt; Hybrid</t>
        </is>
      </c>
      <c r="O101" s="10">
        <f>IF('Model inputs'!O148="","",'Model inputs'!O148)</f>
        <v>1000</v>
      </c>
    </row>
    <row r="102" outlineLevel="1">
      <c r="A102" t="inlineStr" s="17">
        <is>
          <t xml:space="preserve">Audit list price &gt; Per audit — base</t>
        </is>
      </c>
      <c r="O102" s="10">
        <f>1500</f>
        <v>1500</v>
      </c>
    </row>
    <row r="103" outlineLevel="1">
      <c r="A103" t="inlineStr" s="17">
        <is>
          <t xml:space="preserve">Audit list price &gt; Per audit — high</t>
        </is>
      </c>
      <c r="O103" s="10">
        <f>3000</f>
        <v>3000</v>
      </c>
    </row>
    <row r="104" outlineLevel="1">
      <c r="A104" t="inlineStr" s="17">
        <is>
          <t xml:space="preserve">Audit list price &gt; Per audit — low</t>
        </is>
      </c>
      <c r="O104" s="10">
        <f>750</f>
        <v>750</v>
      </c>
    </row>
    <row r="105">
      <c r="A105" t="inlineStr" s="16">
        <is>
          <t xml:space="preserve">Audits per customer per month · Customer monthly delivered audits</t>
        </is>
      </c>
      <c r="O105" s="9">
        <f>3</f>
        <v>3</v>
      </c>
    </row>
    <row r="106">
      <c r="A106" t="inlineStr" s="16">
        <is>
          <t xml:space="preserve">Crustdata cost per audit · Delivery cost per audit</t>
        </is>
      </c>
      <c r="O106" s="10">
        <f>'Model inputs'!O28*'Model inputs'!O143*'Model inputs'!O144</f>
        <v>2.6</v>
      </c>
    </row>
    <row r="107">
      <c r="A107" t="inlineStr" s="16">
        <is>
          <t xml:space="preserve">Delivery tooling per audit · Delivery cost per audit</t>
        </is>
      </c>
      <c r="O107" s="10">
        <f>2</f>
        <v>2</v>
      </c>
    </row>
    <row r="108">
      <c r="A108" t="inlineStr" s="16">
        <is>
          <t xml:space="preserve">Hybrid workspace fee · Customer monthly earned revenue</t>
        </is>
      </c>
      <c r="O108" s="10">
        <f>6000</f>
        <v>6000</v>
      </c>
    </row>
    <row r="109">
      <c r="A109" t="inlineStr" s="16">
        <is>
          <t xml:space="preserve">Included annual audits</t>
        </is>
      </c>
      <c r="O109" s="7">
        <v>0</v>
      </c>
    </row>
    <row r="110" outlineLevel="1">
      <c r="A110" t="inlineStr" s="17">
        <is>
          <t xml:space="preserve">Included annual audits &gt; Annual deal-team</t>
        </is>
      </c>
      <c r="O110" s="9">
        <f>IF('Model inputs'!O141="","",'Model inputs'!O141)</f>
        <v>24</v>
      </c>
    </row>
    <row r="111" outlineLevel="1">
      <c r="A111" t="inlineStr" s="17">
        <is>
          <t xml:space="preserve">Included annual audits &gt; Hybrid</t>
        </is>
      </c>
      <c r="O111" s="9">
        <f>0</f>
        <v>0</v>
      </c>
    </row>
    <row r="112" outlineLevel="1">
      <c r="A112" t="inlineStr" s="17">
        <is>
          <t xml:space="preserve">Included annual audits &gt; Per audit — base</t>
        </is>
      </c>
      <c r="O112" s="9">
        <f>0</f>
        <v>0</v>
      </c>
    </row>
    <row r="113" outlineLevel="1">
      <c r="A113" t="inlineStr" s="17">
        <is>
          <t xml:space="preserve">Included annual audits &gt; Per audit — high</t>
        </is>
      </c>
      <c r="O113" s="9">
        <f>0</f>
        <v>0</v>
      </c>
    </row>
    <row r="114" outlineLevel="1">
      <c r="A114" t="inlineStr" s="17">
        <is>
          <t xml:space="preserve">Included annual audits &gt; Per audit — low</t>
        </is>
      </c>
      <c r="O114" s="9">
        <f>0</f>
        <v>0</v>
      </c>
    </row>
    <row r="115">
      <c r="A115" t="inlineStr" s="16">
        <is>
          <t xml:space="preserve">LLM cost per audit · Delivery cost per audit</t>
        </is>
      </c>
      <c r="O115" s="10">
        <f>'Model inputs'!O147*(1+'Model inputs'!O146*('Model inputs'!O145-1))*'Model inputs'!O144</f>
        <v>0.05</v>
      </c>
    </row>
    <row r="116">
      <c r="A116" t="inlineStr" s="16">
        <is>
          <t xml:space="preserve">Overage audit price</t>
        </is>
      </c>
      <c r="O116" s="12">
        <v>0</v>
      </c>
    </row>
    <row r="117" outlineLevel="1">
      <c r="A117" t="inlineStr" s="17">
        <is>
          <t xml:space="preserve">Overage audit price &gt; Annual deal-team</t>
        </is>
      </c>
      <c r="O117" s="10">
        <f>IF('Model inputs'!O142="","",'Model inputs'!O142)</f>
        <v>1000</v>
      </c>
    </row>
    <row r="118" outlineLevel="1">
      <c r="A118" t="inlineStr" s="17">
        <is>
          <t xml:space="preserve">Overage audit price &gt; Hybrid</t>
        </is>
      </c>
      <c r="O118" s="10">
        <f>0</f>
        <v>0</v>
      </c>
    </row>
    <row r="119" outlineLevel="1">
      <c r="A119" t="inlineStr" s="17">
        <is>
          <t xml:space="preserve">Overage audit price &gt; Per audit — base</t>
        </is>
      </c>
      <c r="O119" s="10">
        <f>0</f>
        <v>0</v>
      </c>
    </row>
    <row r="120" outlineLevel="1">
      <c r="A120" t="inlineStr" s="17">
        <is>
          <t xml:space="preserve">Overage audit price &gt; Per audit — high</t>
        </is>
      </c>
      <c r="O120" s="10">
        <f>0</f>
        <v>0</v>
      </c>
    </row>
    <row r="121" outlineLevel="1">
      <c r="A121" t="inlineStr" s="17">
        <is>
          <t xml:space="preserve">Overage audit price &gt; Per audit — low</t>
        </is>
      </c>
      <c r="O121" s="10">
        <f>0</f>
        <v>0</v>
      </c>
    </row>
    <row r="122">
      <c r="A122" t="inlineStr" s="16">
        <is>
          <t xml:space="preserve">QA cost per audit · Delivery cost per audit</t>
        </is>
      </c>
      <c r="O122" s="10">
        <f>'Model inputs'!O81*'Model inputs'!O149</f>
        <v>90</v>
      </c>
    </row>
    <row r="123">
      <c r="A123" t="inlineStr" s="16">
        <is>
          <t xml:space="preserve">Cash collections</t>
        </is>
      </c>
      <c r="B123" s="12">
        <f>IF('Model inputs'!B19="","",'Model inputs'!B19)</f>
        <v>0</v>
      </c>
      <c r="C123" t="str" s="12">
        <f>IF('Model inputs'!C19="","",'Model inputs'!C19)</f>
        <v/>
      </c>
      <c r="D123" t="str" s="12">
        <f>IF('Model inputs'!D19="","",'Model inputs'!D19)</f>
        <v/>
      </c>
      <c r="E123" t="str" s="12">
        <f>IF('Model inputs'!E19="","",'Model inputs'!E19)</f>
        <v/>
      </c>
      <c r="F123" t="str" s="12">
        <f>IF('Model inputs'!F19="","",'Model inputs'!F19)</f>
        <v/>
      </c>
      <c r="G123" t="str" s="12">
        <f>IF('Model inputs'!G19="","",'Model inputs'!G19)</f>
        <v/>
      </c>
      <c r="H123" t="str" s="12">
        <f>IF('Model inputs'!H19="","",'Model inputs'!H19)</f>
        <v/>
      </c>
      <c r="I123" t="str" s="12">
        <f>IF('Model inputs'!I19="","",'Model inputs'!I19)</f>
        <v/>
      </c>
      <c r="J123" t="str" s="12">
        <f>IF('Model inputs'!J19="","",'Model inputs'!J19)</f>
        <v/>
      </c>
      <c r="K123" t="str" s="12">
        <f>IF('Model inputs'!K19="","",'Model inputs'!K19)</f>
        <v/>
      </c>
      <c r="L123" t="str" s="12">
        <f>IF('Model inputs'!L19="","",'Model inputs'!L19)</f>
        <v/>
      </c>
      <c r="M123" t="str" s="12">
        <f>IF('Model inputs'!M19="","",'Model inputs'!M19)</f>
        <v/>
      </c>
      <c r="N123" t="str" s="12">
        <f>IF('Model inputs'!N19="","",'Model inputs'!N19)</f>
        <v/>
      </c>
      <c r="P123" s="12">
        <f>SUM('Model inputs'!P124,'Model inputs'!P125,'Model inputs'!P126,'Model inputs'!P127,'Model inputs'!P128)</f>
        <v>0</v>
      </c>
    </row>
    <row r="124" outlineLevel="1">
      <c r="A124" t="inlineStr" s="17">
        <is>
          <t xml:space="preserve">Cash collections &gt; Annual deal-team</t>
        </is>
      </c>
      <c r="B124" s="10">
        <f>IF('Model inputs'!B20="","",'Model inputs'!B20)</f>
        <v>0</v>
      </c>
      <c r="C124" s="10">
        <f>IF('Model inputs'!C20="","",'Model inputs'!C20)</f>
        <v>125000</v>
      </c>
      <c r="D124" s="10">
        <f>IF('Model inputs'!D20="","",'Model inputs'!D20)</f>
        <v>5000</v>
      </c>
      <c r="E124" s="10">
        <f>IF('Model inputs'!E20="","",'Model inputs'!E20)</f>
        <v>5000</v>
      </c>
      <c r="F124" s="10">
        <f>IF('Model inputs'!F20="","",'Model inputs'!F20)</f>
        <v>5000</v>
      </c>
      <c r="G124" s="10">
        <f>IF('Model inputs'!G20="","",'Model inputs'!G20)</f>
        <v>5000</v>
      </c>
      <c r="H124" s="10">
        <f>IF('Model inputs'!H20="","",'Model inputs'!H20)</f>
        <v>5000</v>
      </c>
      <c r="I124" s="10">
        <f>IF('Model inputs'!I20="","",'Model inputs'!I20)</f>
        <v>5000</v>
      </c>
      <c r="J124" s="10">
        <f>IF('Model inputs'!J20="","",'Model inputs'!J20)</f>
        <v>5000</v>
      </c>
      <c r="K124" s="10">
        <f>IF('Model inputs'!K20="","",'Model inputs'!K20)</f>
        <v>5000</v>
      </c>
      <c r="L124" s="10">
        <f>IF('Model inputs'!L20="","",'Model inputs'!L20)</f>
        <v>5000</v>
      </c>
      <c r="M124" s="10">
        <f>IF('Model inputs'!M20="","",'Model inputs'!M20)</f>
        <v>5000</v>
      </c>
      <c r="N124" s="10">
        <f>IF('Model inputs'!N20="","",'Model inputs'!N20)</f>
        <v>5000</v>
      </c>
      <c r="P124" s="10">
        <f>0</f>
        <v>0</v>
      </c>
    </row>
    <row r="125" outlineLevel="1">
      <c r="A125" t="inlineStr" s="17">
        <is>
          <t xml:space="preserve">Cash collections &gt; Hybrid</t>
        </is>
      </c>
      <c r="B125" s="10">
        <f>IF('Model inputs'!B21="","",'Model inputs'!B21)</f>
        <v>0</v>
      </c>
      <c r="C125" s="10">
        <f>IF('Model inputs'!C21="","",'Model inputs'!C21)</f>
        <v>45000</v>
      </c>
      <c r="D125" s="10">
        <f>IF('Model inputs'!D21="","",'Model inputs'!D21)</f>
        <v>15000</v>
      </c>
      <c r="E125" s="10">
        <f>IF('Model inputs'!E21="","",'Model inputs'!E21)</f>
        <v>15000</v>
      </c>
      <c r="F125" s="10">
        <f>IF('Model inputs'!F21="","",'Model inputs'!F21)</f>
        <v>15000</v>
      </c>
      <c r="G125" s="10">
        <f>IF('Model inputs'!G21="","",'Model inputs'!G21)</f>
        <v>15000</v>
      </c>
      <c r="H125" s="10">
        <f>IF('Model inputs'!H21="","",'Model inputs'!H21)</f>
        <v>15000</v>
      </c>
      <c r="I125" s="10">
        <f>IF('Model inputs'!I21="","",'Model inputs'!I21)</f>
        <v>15000</v>
      </c>
      <c r="J125" s="10">
        <f>IF('Model inputs'!J21="","",'Model inputs'!J21)</f>
        <v>15000</v>
      </c>
      <c r="K125" s="10">
        <f>IF('Model inputs'!K21="","",'Model inputs'!K21)</f>
        <v>15000</v>
      </c>
      <c r="L125" s="10">
        <f>IF('Model inputs'!L21="","",'Model inputs'!L21)</f>
        <v>15000</v>
      </c>
      <c r="M125" s="10">
        <f>IF('Model inputs'!M21="","",'Model inputs'!M21)</f>
        <v>15000</v>
      </c>
      <c r="N125" s="10">
        <f>IF('Model inputs'!N21="","",'Model inputs'!N21)</f>
        <v>15000</v>
      </c>
      <c r="P125" s="10">
        <f>0</f>
        <v>0</v>
      </c>
    </row>
    <row r="126" outlineLevel="1">
      <c r="A126" t="inlineStr" s="17">
        <is>
          <t xml:space="preserve">Cash collections &gt; Per audit — base</t>
        </is>
      </c>
      <c r="B126" s="10">
        <f>IF('Model inputs'!B22="","",'Model inputs'!B22)</f>
        <v>0</v>
      </c>
      <c r="C126" s="10">
        <f>IF('Model inputs'!C22="","",'Model inputs'!C22)</f>
        <v>22500</v>
      </c>
      <c r="D126" s="10">
        <f>IF('Model inputs'!D22="","",'Model inputs'!D22)</f>
        <v>22500</v>
      </c>
      <c r="E126" s="10">
        <f>IF('Model inputs'!E22="","",'Model inputs'!E22)</f>
        <v>22500</v>
      </c>
      <c r="F126" s="10">
        <f>IF('Model inputs'!F22="","",'Model inputs'!F22)</f>
        <v>22500</v>
      </c>
      <c r="G126" s="10">
        <f>IF('Model inputs'!G22="","",'Model inputs'!G22)</f>
        <v>22500</v>
      </c>
      <c r="H126" s="10">
        <f>IF('Model inputs'!H22="","",'Model inputs'!H22)</f>
        <v>22500</v>
      </c>
      <c r="I126" s="10">
        <f>IF('Model inputs'!I22="","",'Model inputs'!I22)</f>
        <v>22500</v>
      </c>
      <c r="J126" s="10">
        <f>IF('Model inputs'!J22="","",'Model inputs'!J22)</f>
        <v>22500</v>
      </c>
      <c r="K126" s="10">
        <f>IF('Model inputs'!K22="","",'Model inputs'!K22)</f>
        <v>22500</v>
      </c>
      <c r="L126" s="10">
        <f>IF('Model inputs'!L22="","",'Model inputs'!L22)</f>
        <v>22500</v>
      </c>
      <c r="M126" s="10">
        <f>IF('Model inputs'!M22="","",'Model inputs'!M22)</f>
        <v>22500</v>
      </c>
      <c r="N126" s="10">
        <f>IF('Model inputs'!N22="","",'Model inputs'!N22)</f>
        <v>22500</v>
      </c>
      <c r="P126" s="10">
        <f>0</f>
        <v>0</v>
      </c>
    </row>
    <row r="127" outlineLevel="1">
      <c r="A127" t="inlineStr" s="17">
        <is>
          <t xml:space="preserve">Cash collections &gt; Per audit — high</t>
        </is>
      </c>
      <c r="B127" s="10">
        <f>IF('Model inputs'!B23="","",'Model inputs'!B23)</f>
        <v>0</v>
      </c>
      <c r="C127" s="10">
        <f>IF('Model inputs'!C23="","",'Model inputs'!C23)</f>
        <v>45000</v>
      </c>
      <c r="D127" s="10">
        <f>IF('Model inputs'!D23="","",'Model inputs'!D23)</f>
        <v>45000</v>
      </c>
      <c r="E127" s="10">
        <f>IF('Model inputs'!E23="","",'Model inputs'!E23)</f>
        <v>45000</v>
      </c>
      <c r="F127" s="10">
        <f>IF('Model inputs'!F23="","",'Model inputs'!F23)</f>
        <v>45000</v>
      </c>
      <c r="G127" s="10">
        <f>IF('Model inputs'!G23="","",'Model inputs'!G23)</f>
        <v>45000</v>
      </c>
      <c r="H127" s="10">
        <f>IF('Model inputs'!H23="","",'Model inputs'!H23)</f>
        <v>45000</v>
      </c>
      <c r="I127" s="10">
        <f>IF('Model inputs'!I23="","",'Model inputs'!I23)</f>
        <v>45000</v>
      </c>
      <c r="J127" s="10">
        <f>IF('Model inputs'!J23="","",'Model inputs'!J23)</f>
        <v>45000</v>
      </c>
      <c r="K127" s="10">
        <f>IF('Model inputs'!K23="","",'Model inputs'!K23)</f>
        <v>45000</v>
      </c>
      <c r="L127" s="10">
        <f>IF('Model inputs'!L23="","",'Model inputs'!L23)</f>
        <v>45000</v>
      </c>
      <c r="M127" s="10">
        <f>IF('Model inputs'!M23="","",'Model inputs'!M23)</f>
        <v>45000</v>
      </c>
      <c r="N127" s="10">
        <f>IF('Model inputs'!N23="","",'Model inputs'!N23)</f>
        <v>45000</v>
      </c>
      <c r="P127" s="10">
        <f>0</f>
        <v>0</v>
      </c>
    </row>
    <row r="128" outlineLevel="1">
      <c r="A128" t="inlineStr" s="17">
        <is>
          <t xml:space="preserve">Cash collections &gt; Per audit — low</t>
        </is>
      </c>
      <c r="B128" s="10">
        <f>IF('Model inputs'!B24="","",'Model inputs'!B24)</f>
        <v>0</v>
      </c>
      <c r="C128" s="10">
        <f>IF('Model inputs'!C24="","",'Model inputs'!C24)</f>
        <v>11250</v>
      </c>
      <c r="D128" s="10">
        <f>IF('Model inputs'!D24="","",'Model inputs'!D24)</f>
        <v>11250</v>
      </c>
      <c r="E128" s="10">
        <f>IF('Model inputs'!E24="","",'Model inputs'!E24)</f>
        <v>11250</v>
      </c>
      <c r="F128" s="10">
        <f>IF('Model inputs'!F24="","",'Model inputs'!F24)</f>
        <v>11250</v>
      </c>
      <c r="G128" s="10">
        <f>IF('Model inputs'!G24="","",'Model inputs'!G24)</f>
        <v>11250</v>
      </c>
      <c r="H128" s="10">
        <f>IF('Model inputs'!H24="","",'Model inputs'!H24)</f>
        <v>11250</v>
      </c>
      <c r="I128" s="10">
        <f>IF('Model inputs'!I24="","",'Model inputs'!I24)</f>
        <v>11250</v>
      </c>
      <c r="J128" s="10">
        <f>IF('Model inputs'!J24="","",'Model inputs'!J24)</f>
        <v>11250</v>
      </c>
      <c r="K128" s="10">
        <f>IF('Model inputs'!K24="","",'Model inputs'!K24)</f>
        <v>11250</v>
      </c>
      <c r="L128" s="10">
        <f>IF('Model inputs'!L24="","",'Model inputs'!L24)</f>
        <v>11250</v>
      </c>
      <c r="M128" s="10">
        <f>IF('Model inputs'!M24="","",'Model inputs'!M24)</f>
        <v>11250</v>
      </c>
      <c r="N128" s="10">
        <f>IF('Model inputs'!N24="","",'Model inputs'!N24)</f>
        <v>11250</v>
      </c>
      <c r="P128" s="10">
        <f>0</f>
        <v>0</v>
      </c>
    </row>
    <row r="129">
      <c r="A129" t="inlineStr" s="16">
        <is>
          <t xml:space="preserve">Net cash burn</t>
        </is>
      </c>
      <c r="B129" s="12">
        <f>IF('Model inputs'!B61="","",'Model inputs'!B61)</f>
        <v>0</v>
      </c>
      <c r="C129" t="str" s="12">
        <f>IF('Model inputs'!C61="","",'Model inputs'!C61)</f>
        <v/>
      </c>
      <c r="D129" t="str" s="12">
        <f>IF('Model inputs'!D61="","",'Model inputs'!D61)</f>
        <v/>
      </c>
      <c r="E129" t="str" s="12">
        <f>IF('Model inputs'!E61="","",'Model inputs'!E61)</f>
        <v/>
      </c>
      <c r="F129" t="str" s="12">
        <f>IF('Model inputs'!F61="","",'Model inputs'!F61)</f>
        <v/>
      </c>
      <c r="G129" t="str" s="12">
        <f>IF('Model inputs'!G61="","",'Model inputs'!G61)</f>
        <v/>
      </c>
      <c r="H129" t="str" s="12">
        <f>IF('Model inputs'!H61="","",'Model inputs'!H61)</f>
        <v/>
      </c>
      <c r="I129" t="str" s="12">
        <f>IF('Model inputs'!I61="","",'Model inputs'!I61)</f>
        <v/>
      </c>
      <c r="J129" t="str" s="12">
        <f>IF('Model inputs'!J61="","",'Model inputs'!J61)</f>
        <v/>
      </c>
      <c r="K129" t="str" s="12">
        <f>IF('Model inputs'!K61="","",'Model inputs'!K61)</f>
        <v/>
      </c>
      <c r="L129" t="str" s="12">
        <f>IF('Model inputs'!L61="","",'Model inputs'!L61)</f>
        <v/>
      </c>
      <c r="M129" t="str" s="12">
        <f>IF('Model inputs'!M61="","",'Model inputs'!M61)</f>
        <v/>
      </c>
      <c r="N129" t="str" s="12">
        <f>IF('Model inputs'!N61="","",'Model inputs'!N61)</f>
        <v/>
      </c>
      <c r="P129" s="12">
        <f>SUM('Model inputs'!P130,'Model inputs'!P131,'Model inputs'!P132,'Model inputs'!P133,'Model inputs'!P134)</f>
        <v>0</v>
      </c>
    </row>
    <row r="130" outlineLevel="1">
      <c r="A130" t="inlineStr" s="17">
        <is>
          <t xml:space="preserve">Net cash burn &gt; Annual deal-team</t>
        </is>
      </c>
      <c r="B130" s="10">
        <f>IF('Model inputs'!B62="","",'Model inputs'!B62)</f>
        <v>0</v>
      </c>
      <c r="C130" s="10">
        <f>IF('Model inputs'!C62="","",'Model inputs'!C62)</f>
        <v>-118930.25</v>
      </c>
      <c r="D130" s="10">
        <f>IF('Model inputs'!D62="","",'Model inputs'!D62)</f>
        <v>-2530.25</v>
      </c>
      <c r="E130" s="10">
        <f>IF('Model inputs'!E62="","",'Model inputs'!E62)</f>
        <v>-2530.25</v>
      </c>
      <c r="F130" s="10">
        <f>IF('Model inputs'!F62="","",'Model inputs'!F62)</f>
        <v>-2530.25</v>
      </c>
      <c r="G130" s="10">
        <f>IF('Model inputs'!G62="","",'Model inputs'!G62)</f>
        <v>-2530.25</v>
      </c>
      <c r="H130" s="10">
        <f>IF('Model inputs'!H62="","",'Model inputs'!H62)</f>
        <v>-2030.25</v>
      </c>
      <c r="I130" s="10">
        <f>IF('Model inputs'!I62="","",'Model inputs'!I62)</f>
        <v>-2030.25</v>
      </c>
      <c r="J130" s="10">
        <f>IF('Model inputs'!J62="","",'Model inputs'!J62)</f>
        <v>-2030.25</v>
      </c>
      <c r="K130" s="10">
        <f>IF('Model inputs'!K62="","",'Model inputs'!K62)</f>
        <v>-2030.25</v>
      </c>
      <c r="L130" s="10">
        <f>IF('Model inputs'!L62="","",'Model inputs'!L62)</f>
        <v>-2030.25</v>
      </c>
      <c r="M130" s="10">
        <f>IF('Model inputs'!M62="","",'Model inputs'!M62)</f>
        <v>-2030.25</v>
      </c>
      <c r="N130" s="10">
        <f>IF('Model inputs'!N62="","",'Model inputs'!N62)</f>
        <v>-2030.25</v>
      </c>
      <c r="P130" s="10">
        <f>0</f>
        <v>0</v>
      </c>
    </row>
    <row r="131" outlineLevel="1">
      <c r="A131" t="inlineStr" s="17">
        <is>
          <t xml:space="preserve">Net cash burn &gt; Hybrid</t>
        </is>
      </c>
      <c r="B131" s="10">
        <f>IF('Model inputs'!B63="","",'Model inputs'!B63)</f>
        <v>0</v>
      </c>
      <c r="C131" s="10">
        <f>IF('Model inputs'!C63="","",'Model inputs'!C63)</f>
        <v>-41330.25</v>
      </c>
      <c r="D131" s="10">
        <f>IF('Model inputs'!D63="","",'Model inputs'!D63)</f>
        <v>-12230.25</v>
      </c>
      <c r="E131" s="10">
        <f>IF('Model inputs'!E63="","",'Model inputs'!E63)</f>
        <v>-12230.25</v>
      </c>
      <c r="F131" s="10">
        <f>IF('Model inputs'!F63="","",'Model inputs'!F63)</f>
        <v>-12230.25</v>
      </c>
      <c r="G131" s="10">
        <f>IF('Model inputs'!G63="","",'Model inputs'!G63)</f>
        <v>-12230.25</v>
      </c>
      <c r="H131" s="10">
        <f>IF('Model inputs'!H63="","",'Model inputs'!H63)</f>
        <v>-11730.25</v>
      </c>
      <c r="I131" s="10">
        <f>IF('Model inputs'!I63="","",'Model inputs'!I63)</f>
        <v>-11730.25</v>
      </c>
      <c r="J131" s="10">
        <f>IF('Model inputs'!J63="","",'Model inputs'!J63)</f>
        <v>-11730.25</v>
      </c>
      <c r="K131" s="10">
        <f>IF('Model inputs'!K63="","",'Model inputs'!K63)</f>
        <v>-11730.25</v>
      </c>
      <c r="L131" s="10">
        <f>IF('Model inputs'!L63="","",'Model inputs'!L63)</f>
        <v>-11730.25</v>
      </c>
      <c r="M131" s="10">
        <f>IF('Model inputs'!M63="","",'Model inputs'!M63)</f>
        <v>-11730.25</v>
      </c>
      <c r="N131" s="10">
        <f>IF('Model inputs'!N63="","",'Model inputs'!N63)</f>
        <v>-11730.25</v>
      </c>
      <c r="P131" s="10">
        <f>0</f>
        <v>0</v>
      </c>
    </row>
    <row r="132" outlineLevel="1">
      <c r="A132" t="inlineStr" s="17">
        <is>
          <t xml:space="preserve">Net cash burn &gt; Per audit — base</t>
        </is>
      </c>
      <c r="B132" s="10">
        <f>IF('Model inputs'!B64="","",'Model inputs'!B64)</f>
        <v>0</v>
      </c>
      <c r="C132" s="10">
        <f>IF('Model inputs'!C64="","",'Model inputs'!C64)</f>
        <v>-19505.25</v>
      </c>
      <c r="D132" s="10">
        <f>IF('Model inputs'!D64="","",'Model inputs'!D64)</f>
        <v>-19505.25</v>
      </c>
      <c r="E132" s="10">
        <f>IF('Model inputs'!E64="","",'Model inputs'!E64)</f>
        <v>-19505.25</v>
      </c>
      <c r="F132" s="10">
        <f>IF('Model inputs'!F64="","",'Model inputs'!F64)</f>
        <v>-19505.25</v>
      </c>
      <c r="G132" s="10">
        <f>IF('Model inputs'!G64="","",'Model inputs'!G64)</f>
        <v>-19505.25</v>
      </c>
      <c r="H132" s="10">
        <f>IF('Model inputs'!H64="","",'Model inputs'!H64)</f>
        <v>-19005.25</v>
      </c>
      <c r="I132" s="10">
        <f>IF('Model inputs'!I64="","",'Model inputs'!I64)</f>
        <v>-19005.25</v>
      </c>
      <c r="J132" s="10">
        <f>IF('Model inputs'!J64="","",'Model inputs'!J64)</f>
        <v>-19005.25</v>
      </c>
      <c r="K132" s="10">
        <f>IF('Model inputs'!K64="","",'Model inputs'!K64)</f>
        <v>-19005.25</v>
      </c>
      <c r="L132" s="10">
        <f>IF('Model inputs'!L64="","",'Model inputs'!L64)</f>
        <v>-19005.25</v>
      </c>
      <c r="M132" s="10">
        <f>IF('Model inputs'!M64="","",'Model inputs'!M64)</f>
        <v>-19005.25</v>
      </c>
      <c r="N132" s="10">
        <f>IF('Model inputs'!N64="","",'Model inputs'!N64)</f>
        <v>-19005.25</v>
      </c>
      <c r="P132" s="10">
        <f>0</f>
        <v>0</v>
      </c>
    </row>
    <row r="133" outlineLevel="1">
      <c r="A133" t="inlineStr" s="17">
        <is>
          <t xml:space="preserve">Net cash burn &gt; Per audit — high</t>
        </is>
      </c>
      <c r="B133" s="10">
        <f>IF('Model inputs'!B65="","",'Model inputs'!B65)</f>
        <v>0</v>
      </c>
      <c r="C133" s="10">
        <f>IF('Model inputs'!C65="","",'Model inputs'!C65)</f>
        <v>-41330.25</v>
      </c>
      <c r="D133" s="10">
        <f>IF('Model inputs'!D65="","",'Model inputs'!D65)</f>
        <v>-41330.25</v>
      </c>
      <c r="E133" s="10">
        <f>IF('Model inputs'!E65="","",'Model inputs'!E65)</f>
        <v>-41330.25</v>
      </c>
      <c r="F133" s="10">
        <f>IF('Model inputs'!F65="","",'Model inputs'!F65)</f>
        <v>-41330.25</v>
      </c>
      <c r="G133" s="10">
        <f>IF('Model inputs'!G65="","",'Model inputs'!G65)</f>
        <v>-41330.25</v>
      </c>
      <c r="H133" s="10">
        <f>IF('Model inputs'!H65="","",'Model inputs'!H65)</f>
        <v>-40830.25</v>
      </c>
      <c r="I133" s="10">
        <f>IF('Model inputs'!I65="","",'Model inputs'!I65)</f>
        <v>-40830.25</v>
      </c>
      <c r="J133" s="10">
        <f>IF('Model inputs'!J65="","",'Model inputs'!J65)</f>
        <v>-40830.25</v>
      </c>
      <c r="K133" s="10">
        <f>IF('Model inputs'!K65="","",'Model inputs'!K65)</f>
        <v>-40830.25</v>
      </c>
      <c r="L133" s="10">
        <f>IF('Model inputs'!L65="","",'Model inputs'!L65)</f>
        <v>-40830.25</v>
      </c>
      <c r="M133" s="10">
        <f>IF('Model inputs'!M65="","",'Model inputs'!M65)</f>
        <v>-40830.25</v>
      </c>
      <c r="N133" s="10">
        <f>IF('Model inputs'!N65="","",'Model inputs'!N65)</f>
        <v>-40830.25</v>
      </c>
      <c r="P133" s="10">
        <f>0</f>
        <v>0</v>
      </c>
    </row>
    <row r="134" outlineLevel="1">
      <c r="A134" t="inlineStr" s="17">
        <is>
          <t xml:space="preserve">Net cash burn &gt; Per audit — low</t>
        </is>
      </c>
      <c r="B134" s="10">
        <f>IF('Model inputs'!B66="","",'Model inputs'!B66)</f>
        <v>0</v>
      </c>
      <c r="C134" s="10">
        <f>IF('Model inputs'!C66="","",'Model inputs'!C66)</f>
        <v>-8592.75</v>
      </c>
      <c r="D134" s="10">
        <f>IF('Model inputs'!D66="","",'Model inputs'!D66)</f>
        <v>-8592.75</v>
      </c>
      <c r="E134" s="10">
        <f>IF('Model inputs'!E66="","",'Model inputs'!E66)</f>
        <v>-8592.75</v>
      </c>
      <c r="F134" s="10">
        <f>IF('Model inputs'!F66="","",'Model inputs'!F66)</f>
        <v>-8592.75</v>
      </c>
      <c r="G134" s="10">
        <f>IF('Model inputs'!G66="","",'Model inputs'!G66)</f>
        <v>-8592.75</v>
      </c>
      <c r="H134" s="10">
        <f>IF('Model inputs'!H66="","",'Model inputs'!H66)</f>
        <v>-8092.75</v>
      </c>
      <c r="I134" s="10">
        <f>IF('Model inputs'!I66="","",'Model inputs'!I66)</f>
        <v>-8092.75</v>
      </c>
      <c r="J134" s="10">
        <f>IF('Model inputs'!J66="","",'Model inputs'!J66)</f>
        <v>-8092.75</v>
      </c>
      <c r="K134" s="10">
        <f>IF('Model inputs'!K66="","",'Model inputs'!K66)</f>
        <v>-8092.75</v>
      </c>
      <c r="L134" s="10">
        <f>IF('Model inputs'!L66="","",'Model inputs'!L66)</f>
        <v>-8092.75</v>
      </c>
      <c r="M134" s="10">
        <f>IF('Model inputs'!M66="","",'Model inputs'!M66)</f>
        <v>-8092.75</v>
      </c>
      <c r="N134" s="10">
        <f>IF('Model inputs'!N66="","",'Model inputs'!N66)</f>
        <v>-8092.75</v>
      </c>
      <c r="P134" s="10">
        <f>0</f>
        <v>0</v>
      </c>
    </row>
    <row r="135">
      <c r="A135" t="inlineStr" s="16">
        <is>
          <t xml:space="preserve">Earned revenue</t>
        </is>
      </c>
      <c r="B135" s="12">
        <f>IF('Model inputs'!B51="","",'Model inputs'!B51)</f>
        <v>0</v>
      </c>
      <c r="C135" t="str" s="12">
        <f>IF('Model inputs'!C51="","",'Model inputs'!C51)</f>
        <v/>
      </c>
      <c r="D135" t="str" s="12">
        <f>IF('Model inputs'!D51="","",'Model inputs'!D51)</f>
        <v/>
      </c>
      <c r="E135" t="str" s="12">
        <f>IF('Model inputs'!E51="","",'Model inputs'!E51)</f>
        <v/>
      </c>
      <c r="F135" t="str" s="12">
        <f>IF('Model inputs'!F51="","",'Model inputs'!F51)</f>
        <v/>
      </c>
      <c r="G135" t="str" s="12">
        <f>IF('Model inputs'!G51="","",'Model inputs'!G51)</f>
        <v/>
      </c>
      <c r="H135" t="str" s="12">
        <f>IF('Model inputs'!H51="","",'Model inputs'!H51)</f>
        <v/>
      </c>
      <c r="I135" t="str" s="12">
        <f>IF('Model inputs'!I51="","",'Model inputs'!I51)</f>
        <v/>
      </c>
      <c r="J135" t="str" s="12">
        <f>IF('Model inputs'!J51="","",'Model inputs'!J51)</f>
        <v/>
      </c>
      <c r="K135" t="str" s="12">
        <f>IF('Model inputs'!K51="","",'Model inputs'!K51)</f>
        <v/>
      </c>
      <c r="L135" t="str" s="12">
        <f>IF('Model inputs'!L51="","",'Model inputs'!L51)</f>
        <v/>
      </c>
      <c r="M135" t="str" s="12">
        <f>IF('Model inputs'!M51="","",'Model inputs'!M51)</f>
        <v/>
      </c>
      <c r="N135" t="str" s="12">
        <f>IF('Model inputs'!N51="","",'Model inputs'!N51)</f>
        <v/>
      </c>
      <c r="P135" s="12">
        <f>SUM('Model inputs'!P136,'Model inputs'!P137,'Model inputs'!P138,'Model inputs'!P139,'Model inputs'!P140)</f>
        <v>0</v>
      </c>
    </row>
    <row r="136" outlineLevel="1">
      <c r="A136" t="inlineStr" s="17">
        <is>
          <t xml:space="preserve">Earned revenue &gt; Annual deal-team</t>
        </is>
      </c>
      <c r="B136" s="10">
        <f>IF('Model inputs'!B52="","",'Model inputs'!B52)</f>
        <v>0</v>
      </c>
      <c r="C136" s="10">
        <f>IF('Model inputs'!C52="","",'Model inputs'!C52)</f>
        <v>15000</v>
      </c>
      <c r="D136" s="10">
        <f>IF('Model inputs'!D52="","",'Model inputs'!D52)</f>
        <v>15000</v>
      </c>
      <c r="E136" s="10">
        <f>IF('Model inputs'!E52="","",'Model inputs'!E52)</f>
        <v>15000</v>
      </c>
      <c r="F136" s="10">
        <f>IF('Model inputs'!F52="","",'Model inputs'!F52)</f>
        <v>15000</v>
      </c>
      <c r="G136" s="10">
        <f>IF('Model inputs'!G52="","",'Model inputs'!G52)</f>
        <v>15000</v>
      </c>
      <c r="H136" s="10">
        <f>IF('Model inputs'!H52="","",'Model inputs'!H52)</f>
        <v>15000</v>
      </c>
      <c r="I136" s="10">
        <f>IF('Model inputs'!I52="","",'Model inputs'!I52)</f>
        <v>15000</v>
      </c>
      <c r="J136" s="10">
        <f>IF('Model inputs'!J52="","",'Model inputs'!J52)</f>
        <v>15000</v>
      </c>
      <c r="K136" s="10">
        <f>IF('Model inputs'!K52="","",'Model inputs'!K52)</f>
        <v>15000</v>
      </c>
      <c r="L136" s="10">
        <f>IF('Model inputs'!L52="","",'Model inputs'!L52)</f>
        <v>15000</v>
      </c>
      <c r="M136" s="10">
        <f>IF('Model inputs'!M52="","",'Model inputs'!M52)</f>
        <v>15000</v>
      </c>
      <c r="N136" s="10">
        <f>IF('Model inputs'!N52="","",'Model inputs'!N52)</f>
        <v>15000</v>
      </c>
      <c r="P136" s="10">
        <f>0</f>
        <v>0</v>
      </c>
    </row>
    <row r="137" outlineLevel="1">
      <c r="A137" t="inlineStr" s="17">
        <is>
          <t xml:space="preserve">Earned revenue &gt; Hybrid</t>
        </is>
      </c>
      <c r="B137" s="10">
        <f>IF('Model inputs'!B53="","",'Model inputs'!B53)</f>
        <v>0</v>
      </c>
      <c r="C137" s="10">
        <f>IF('Model inputs'!C53="","",'Model inputs'!C53)</f>
        <v>17500</v>
      </c>
      <c r="D137" s="10">
        <f>IF('Model inputs'!D53="","",'Model inputs'!D53)</f>
        <v>17500</v>
      </c>
      <c r="E137" s="10">
        <f>IF('Model inputs'!E53="","",'Model inputs'!E53)</f>
        <v>17500</v>
      </c>
      <c r="F137" s="10">
        <f>IF('Model inputs'!F53="","",'Model inputs'!F53)</f>
        <v>17500</v>
      </c>
      <c r="G137" s="10">
        <f>IF('Model inputs'!G53="","",'Model inputs'!G53)</f>
        <v>17500</v>
      </c>
      <c r="H137" s="10">
        <f>IF('Model inputs'!H53="","",'Model inputs'!H53)</f>
        <v>17500</v>
      </c>
      <c r="I137" s="10">
        <f>IF('Model inputs'!I53="","",'Model inputs'!I53)</f>
        <v>17500</v>
      </c>
      <c r="J137" s="10">
        <f>IF('Model inputs'!J53="","",'Model inputs'!J53)</f>
        <v>17500</v>
      </c>
      <c r="K137" s="10">
        <f>IF('Model inputs'!K53="","",'Model inputs'!K53)</f>
        <v>17500</v>
      </c>
      <c r="L137" s="10">
        <f>IF('Model inputs'!L53="","",'Model inputs'!L53)</f>
        <v>17500</v>
      </c>
      <c r="M137" s="10">
        <f>IF('Model inputs'!M53="","",'Model inputs'!M53)</f>
        <v>17500</v>
      </c>
      <c r="N137" s="10">
        <f>IF('Model inputs'!N53="","",'Model inputs'!N53)</f>
        <v>17500</v>
      </c>
      <c r="P137" s="10">
        <f>0</f>
        <v>0</v>
      </c>
    </row>
    <row r="138" outlineLevel="1">
      <c r="A138" t="inlineStr" s="17">
        <is>
          <t xml:space="preserve">Earned revenue &gt; Per audit — base</t>
        </is>
      </c>
      <c r="B138" s="10">
        <f>IF('Model inputs'!B54="","",'Model inputs'!B54)</f>
        <v>0</v>
      </c>
      <c r="C138" s="10">
        <f>IF('Model inputs'!C54="","",'Model inputs'!C54)</f>
        <v>22500</v>
      </c>
      <c r="D138" s="10">
        <f>IF('Model inputs'!D54="","",'Model inputs'!D54)</f>
        <v>22500</v>
      </c>
      <c r="E138" s="10">
        <f>IF('Model inputs'!E54="","",'Model inputs'!E54)</f>
        <v>22500</v>
      </c>
      <c r="F138" s="10">
        <f>IF('Model inputs'!F54="","",'Model inputs'!F54)</f>
        <v>22500</v>
      </c>
      <c r="G138" s="10">
        <f>IF('Model inputs'!G54="","",'Model inputs'!G54)</f>
        <v>22500</v>
      </c>
      <c r="H138" s="10">
        <f>IF('Model inputs'!H54="","",'Model inputs'!H54)</f>
        <v>22500</v>
      </c>
      <c r="I138" s="10">
        <f>IF('Model inputs'!I54="","",'Model inputs'!I54)</f>
        <v>22500</v>
      </c>
      <c r="J138" s="10">
        <f>IF('Model inputs'!J54="","",'Model inputs'!J54)</f>
        <v>22500</v>
      </c>
      <c r="K138" s="10">
        <f>IF('Model inputs'!K54="","",'Model inputs'!K54)</f>
        <v>22500</v>
      </c>
      <c r="L138" s="10">
        <f>IF('Model inputs'!L54="","",'Model inputs'!L54)</f>
        <v>22500</v>
      </c>
      <c r="M138" s="10">
        <f>IF('Model inputs'!M54="","",'Model inputs'!M54)</f>
        <v>22500</v>
      </c>
      <c r="N138" s="10">
        <f>IF('Model inputs'!N54="","",'Model inputs'!N54)</f>
        <v>22500</v>
      </c>
      <c r="P138" s="10">
        <f>0</f>
        <v>0</v>
      </c>
    </row>
    <row r="139" outlineLevel="1">
      <c r="A139" t="inlineStr" s="17">
        <is>
          <t xml:space="preserve">Earned revenue &gt; Per audit — high</t>
        </is>
      </c>
      <c r="B139" s="10">
        <f>IF('Model inputs'!B55="","",'Model inputs'!B55)</f>
        <v>0</v>
      </c>
      <c r="C139" s="10">
        <f>IF('Model inputs'!C55="","",'Model inputs'!C55)</f>
        <v>45000</v>
      </c>
      <c r="D139" s="10">
        <f>IF('Model inputs'!D55="","",'Model inputs'!D55)</f>
        <v>45000</v>
      </c>
      <c r="E139" s="10">
        <f>IF('Model inputs'!E55="","",'Model inputs'!E55)</f>
        <v>45000</v>
      </c>
      <c r="F139" s="10">
        <f>IF('Model inputs'!F55="","",'Model inputs'!F55)</f>
        <v>45000</v>
      </c>
      <c r="G139" s="10">
        <f>IF('Model inputs'!G55="","",'Model inputs'!G55)</f>
        <v>45000</v>
      </c>
      <c r="H139" s="10">
        <f>IF('Model inputs'!H55="","",'Model inputs'!H55)</f>
        <v>45000</v>
      </c>
      <c r="I139" s="10">
        <f>IF('Model inputs'!I55="","",'Model inputs'!I55)</f>
        <v>45000</v>
      </c>
      <c r="J139" s="10">
        <f>IF('Model inputs'!J55="","",'Model inputs'!J55)</f>
        <v>45000</v>
      </c>
      <c r="K139" s="10">
        <f>IF('Model inputs'!K55="","",'Model inputs'!K55)</f>
        <v>45000</v>
      </c>
      <c r="L139" s="10">
        <f>IF('Model inputs'!L55="","",'Model inputs'!L55)</f>
        <v>45000</v>
      </c>
      <c r="M139" s="10">
        <f>IF('Model inputs'!M55="","",'Model inputs'!M55)</f>
        <v>45000</v>
      </c>
      <c r="N139" s="10">
        <f>IF('Model inputs'!N55="","",'Model inputs'!N55)</f>
        <v>45000</v>
      </c>
      <c r="P139" s="10">
        <f>0</f>
        <v>0</v>
      </c>
    </row>
    <row r="140" outlineLevel="1">
      <c r="A140" t="inlineStr" s="17">
        <is>
          <t xml:space="preserve">Earned revenue &gt; Per audit — low</t>
        </is>
      </c>
      <c r="B140" s="10">
        <f>IF('Model inputs'!B56="","",'Model inputs'!B56)</f>
        <v>0</v>
      </c>
      <c r="C140" s="10">
        <f>IF('Model inputs'!C56="","",'Model inputs'!C56)</f>
        <v>11250</v>
      </c>
      <c r="D140" s="10">
        <f>IF('Model inputs'!D56="","",'Model inputs'!D56)</f>
        <v>11250</v>
      </c>
      <c r="E140" s="10">
        <f>IF('Model inputs'!E56="","",'Model inputs'!E56)</f>
        <v>11250</v>
      </c>
      <c r="F140" s="10">
        <f>IF('Model inputs'!F56="","",'Model inputs'!F56)</f>
        <v>11250</v>
      </c>
      <c r="G140" s="10">
        <f>IF('Model inputs'!G56="","",'Model inputs'!G56)</f>
        <v>11250</v>
      </c>
      <c r="H140" s="10">
        <f>IF('Model inputs'!H56="","",'Model inputs'!H56)</f>
        <v>11250</v>
      </c>
      <c r="I140" s="10">
        <f>IF('Model inputs'!I56="","",'Model inputs'!I56)</f>
        <v>11250</v>
      </c>
      <c r="J140" s="10">
        <f>IF('Model inputs'!J56="","",'Model inputs'!J56)</f>
        <v>11250</v>
      </c>
      <c r="K140" s="10">
        <f>IF('Model inputs'!K56="","",'Model inputs'!K56)</f>
        <v>11250</v>
      </c>
      <c r="L140" s="10">
        <f>IF('Model inputs'!L56="","",'Model inputs'!L56)</f>
        <v>11250</v>
      </c>
      <c r="M140" s="10">
        <f>IF('Model inputs'!M56="","",'Model inputs'!M56)</f>
        <v>11250</v>
      </c>
      <c r="N140" s="10">
        <f>IF('Model inputs'!N56="","",'Model inputs'!N56)</f>
        <v>11250</v>
      </c>
      <c r="P140" s="10">
        <f>0</f>
        <v>0</v>
      </c>
    </row>
    <row r="141">
      <c r="A141" t="inlineStr" s="16">
        <is>
          <t xml:space="preserve">Annual included audits · Customer monthly earned revenue</t>
        </is>
      </c>
      <c r="O141" s="9">
        <f>24</f>
        <v>24</v>
      </c>
    </row>
    <row r="142">
      <c r="A142" t="inlineStr" s="16">
        <is>
          <t xml:space="preserve">Annual overage price · Customer monthly earned revenue</t>
        </is>
      </c>
      <c r="O142" s="10">
        <f>1000</f>
        <v>1000</v>
      </c>
    </row>
    <row r="143">
      <c r="A143" t="inlineStr" s="16">
        <is>
          <t xml:space="preserve">Crustdata dollars per credit · Delivery cost per audit</t>
        </is>
      </c>
      <c r="O143" s="10">
        <f>0.1</f>
        <v>0.1</v>
      </c>
    </row>
    <row r="144">
      <c r="A144" t="inlineStr" s="16">
        <is>
          <t xml:space="preserve">Data and model cost multiplier · Delivery cost per audit</t>
        </is>
      </c>
      <c r="O144" s="9">
        <f>1</f>
        <v>1</v>
      </c>
    </row>
    <row r="145">
      <c r="A145" t="inlineStr" s="16">
        <is>
          <t xml:space="preserve">Escalation cost multiple · Delivery cost per audit</t>
        </is>
      </c>
      <c r="O145" s="9">
        <f>5</f>
        <v>5</v>
      </c>
    </row>
    <row r="146">
      <c r="A146" t="inlineStr" s="16">
        <is>
          <t xml:space="preserve">Escalation share · Delivery cost per audit</t>
        </is>
      </c>
      <c r="O146" s="9">
        <f>0</f>
        <v>0</v>
      </c>
    </row>
    <row r="147">
      <c r="A147" t="inlineStr" s="16">
        <is>
          <t xml:space="preserve">Flash inference per audit · Delivery cost per audit</t>
        </is>
      </c>
      <c r="O147" s="10">
        <f>0.05</f>
        <v>0.05</v>
      </c>
    </row>
    <row r="148">
      <c r="A148" t="inlineStr" s="16">
        <is>
          <t xml:space="preserve">Hybrid audit price · Customer monthly earned revenue</t>
        </is>
      </c>
      <c r="O148" s="10">
        <f>1000</f>
        <v>1000</v>
      </c>
    </row>
    <row r="149">
      <c r="A149" t="inlineStr" s="16">
        <is>
          <t xml:space="preserve">QA dollars per hour · Delivery cost per audit</t>
        </is>
      </c>
      <c r="O149" s="10">
        <f>60</f>
        <v>60</v>
      </c>
    </row>
    <row r="150">
      <c r="A150" t="inlineStr" s="16">
        <is>
          <t xml:space="preserve">Account support cost</t>
        </is>
      </c>
      <c r="B150" s="12">
        <f>IF('Model inputs'!B6="","",'Model inputs'!B6)</f>
        <v>0</v>
      </c>
      <c r="C150" t="str" s="12">
        <f>IF('Model inputs'!C6="","",'Model inputs'!C6)</f>
        <v/>
      </c>
      <c r="D150" t="str" s="12">
        <f>IF('Model inputs'!D6="","",'Model inputs'!D6)</f>
        <v/>
      </c>
      <c r="E150" t="str" s="12">
        <f>IF('Model inputs'!E6="","",'Model inputs'!E6)</f>
        <v/>
      </c>
      <c r="F150" t="str" s="12">
        <f>IF('Model inputs'!F6="","",'Model inputs'!F6)</f>
        <v/>
      </c>
      <c r="G150" t="str" s="12">
        <f>IF('Model inputs'!G6="","",'Model inputs'!G6)</f>
        <v/>
      </c>
      <c r="H150" t="str" s="12">
        <f>IF('Model inputs'!H6="","",'Model inputs'!H6)</f>
        <v/>
      </c>
      <c r="I150" t="str" s="12">
        <f>IF('Model inputs'!I6="","",'Model inputs'!I6)</f>
        <v/>
      </c>
      <c r="J150" t="str" s="12">
        <f>IF('Model inputs'!J6="","",'Model inputs'!J6)</f>
        <v/>
      </c>
      <c r="K150" t="str" s="12">
        <f>IF('Model inputs'!K6="","",'Model inputs'!K6)</f>
        <v/>
      </c>
      <c r="L150" t="str" s="12">
        <f>IF('Model inputs'!L6="","",'Model inputs'!L6)</f>
        <v/>
      </c>
      <c r="M150" t="str" s="12">
        <f>IF('Model inputs'!M6="","",'Model inputs'!M6)</f>
        <v/>
      </c>
      <c r="N150" t="str" s="12">
        <f>IF('Model inputs'!N6="","",'Model inputs'!N6)</f>
        <v/>
      </c>
      <c r="P150" s="12">
        <f>SUM('Model inputs'!P151,'Model inputs'!P152,'Model inputs'!P153,'Model inputs'!P154,'Model inputs'!P155)</f>
        <v>0</v>
      </c>
    </row>
    <row r="151" outlineLevel="1">
      <c r="A151" t="inlineStr" s="17">
        <is>
          <t xml:space="preserve">Account support cost &gt; Annual deal-team</t>
        </is>
      </c>
      <c r="B151" s="10">
        <f>IF('Model inputs'!B7="","",'Model inputs'!B7)</f>
        <v>0</v>
      </c>
      <c r="C151" s="10">
        <f>IF('Model inputs'!C7="","",'Model inputs'!C7)</f>
        <v>150</v>
      </c>
      <c r="D151" s="10">
        <f>IF('Model inputs'!D7="","",'Model inputs'!D7)</f>
        <v>150</v>
      </c>
      <c r="E151" s="10">
        <f>IF('Model inputs'!E7="","",'Model inputs'!E7)</f>
        <v>150</v>
      </c>
      <c r="F151" s="10">
        <f>IF('Model inputs'!F7="","",'Model inputs'!F7)</f>
        <v>150</v>
      </c>
      <c r="G151" s="10">
        <f>IF('Model inputs'!G7="","",'Model inputs'!G7)</f>
        <v>150</v>
      </c>
      <c r="H151" s="10">
        <f>IF('Model inputs'!H7="","",'Model inputs'!H7)</f>
        <v>150</v>
      </c>
      <c r="I151" s="10">
        <f>IF('Model inputs'!I7="","",'Model inputs'!I7)</f>
        <v>150</v>
      </c>
      <c r="J151" s="10">
        <f>IF('Model inputs'!J7="","",'Model inputs'!J7)</f>
        <v>150</v>
      </c>
      <c r="K151" s="10">
        <f>IF('Model inputs'!K7="","",'Model inputs'!K7)</f>
        <v>150</v>
      </c>
      <c r="L151" s="10">
        <f>IF('Model inputs'!L7="","",'Model inputs'!L7)</f>
        <v>150</v>
      </c>
      <c r="M151" s="10">
        <f>IF('Model inputs'!M7="","",'Model inputs'!M7)</f>
        <v>150</v>
      </c>
      <c r="N151" s="10">
        <f>IF('Model inputs'!N7="","",'Model inputs'!N7)</f>
        <v>150</v>
      </c>
      <c r="P151" s="10">
        <f>0</f>
        <v>0</v>
      </c>
    </row>
    <row r="152" outlineLevel="1">
      <c r="A152" t="inlineStr" s="17">
        <is>
          <t xml:space="preserve">Account support cost &gt; Hybrid</t>
        </is>
      </c>
      <c r="B152" s="10">
        <f>IF('Model inputs'!B8="","",'Model inputs'!B8)</f>
        <v>0</v>
      </c>
      <c r="C152" s="10">
        <f>IF('Model inputs'!C8="","",'Model inputs'!C8)</f>
        <v>150</v>
      </c>
      <c r="D152" s="10">
        <f>IF('Model inputs'!D8="","",'Model inputs'!D8)</f>
        <v>150</v>
      </c>
      <c r="E152" s="10">
        <f>IF('Model inputs'!E8="","",'Model inputs'!E8)</f>
        <v>150</v>
      </c>
      <c r="F152" s="10">
        <f>IF('Model inputs'!F8="","",'Model inputs'!F8)</f>
        <v>150</v>
      </c>
      <c r="G152" s="10">
        <f>IF('Model inputs'!G8="","",'Model inputs'!G8)</f>
        <v>150</v>
      </c>
      <c r="H152" s="10">
        <f>IF('Model inputs'!H8="","",'Model inputs'!H8)</f>
        <v>150</v>
      </c>
      <c r="I152" s="10">
        <f>IF('Model inputs'!I8="","",'Model inputs'!I8)</f>
        <v>150</v>
      </c>
      <c r="J152" s="10">
        <f>IF('Model inputs'!J8="","",'Model inputs'!J8)</f>
        <v>150</v>
      </c>
      <c r="K152" s="10">
        <f>IF('Model inputs'!K8="","",'Model inputs'!K8)</f>
        <v>150</v>
      </c>
      <c r="L152" s="10">
        <f>IF('Model inputs'!L8="","",'Model inputs'!L8)</f>
        <v>150</v>
      </c>
      <c r="M152" s="10">
        <f>IF('Model inputs'!M8="","",'Model inputs'!M8)</f>
        <v>150</v>
      </c>
      <c r="N152" s="10">
        <f>IF('Model inputs'!N8="","",'Model inputs'!N8)</f>
        <v>150</v>
      </c>
      <c r="P152" s="10">
        <f>0</f>
        <v>0</v>
      </c>
    </row>
    <row r="153" outlineLevel="1">
      <c r="A153" t="inlineStr" s="17">
        <is>
          <t xml:space="preserve">Account support cost &gt; Per audit — base</t>
        </is>
      </c>
      <c r="B153" s="10">
        <f>IF('Model inputs'!B9="","",'Model inputs'!B9)</f>
        <v>0</v>
      </c>
      <c r="C153" s="10">
        <f>IF('Model inputs'!C9="","",'Model inputs'!C9)</f>
        <v>150</v>
      </c>
      <c r="D153" s="10">
        <f>IF('Model inputs'!D9="","",'Model inputs'!D9)</f>
        <v>150</v>
      </c>
      <c r="E153" s="10">
        <f>IF('Model inputs'!E9="","",'Model inputs'!E9)</f>
        <v>150</v>
      </c>
      <c r="F153" s="10">
        <f>IF('Model inputs'!F9="","",'Model inputs'!F9)</f>
        <v>150</v>
      </c>
      <c r="G153" s="10">
        <f>IF('Model inputs'!G9="","",'Model inputs'!G9)</f>
        <v>150</v>
      </c>
      <c r="H153" s="10">
        <f>IF('Model inputs'!H9="","",'Model inputs'!H9)</f>
        <v>150</v>
      </c>
      <c r="I153" s="10">
        <f>IF('Model inputs'!I9="","",'Model inputs'!I9)</f>
        <v>150</v>
      </c>
      <c r="J153" s="10">
        <f>IF('Model inputs'!J9="","",'Model inputs'!J9)</f>
        <v>150</v>
      </c>
      <c r="K153" s="10">
        <f>IF('Model inputs'!K9="","",'Model inputs'!K9)</f>
        <v>150</v>
      </c>
      <c r="L153" s="10">
        <f>IF('Model inputs'!L9="","",'Model inputs'!L9)</f>
        <v>150</v>
      </c>
      <c r="M153" s="10">
        <f>IF('Model inputs'!M9="","",'Model inputs'!M9)</f>
        <v>150</v>
      </c>
      <c r="N153" s="10">
        <f>IF('Model inputs'!N9="","",'Model inputs'!N9)</f>
        <v>150</v>
      </c>
      <c r="P153" s="10">
        <f>0</f>
        <v>0</v>
      </c>
    </row>
    <row r="154" outlineLevel="1">
      <c r="A154" t="inlineStr" s="17">
        <is>
          <t xml:space="preserve">Account support cost &gt; Per audit — high</t>
        </is>
      </c>
      <c r="B154" s="10">
        <f>IF('Model inputs'!B10="","",'Model inputs'!B10)</f>
        <v>0</v>
      </c>
      <c r="C154" s="10">
        <f>IF('Model inputs'!C10="","",'Model inputs'!C10)</f>
        <v>150</v>
      </c>
      <c r="D154" s="10">
        <f>IF('Model inputs'!D10="","",'Model inputs'!D10)</f>
        <v>150</v>
      </c>
      <c r="E154" s="10">
        <f>IF('Model inputs'!E10="","",'Model inputs'!E10)</f>
        <v>150</v>
      </c>
      <c r="F154" s="10">
        <f>IF('Model inputs'!F10="","",'Model inputs'!F10)</f>
        <v>150</v>
      </c>
      <c r="G154" s="10">
        <f>IF('Model inputs'!G10="","",'Model inputs'!G10)</f>
        <v>150</v>
      </c>
      <c r="H154" s="10">
        <f>IF('Model inputs'!H10="","",'Model inputs'!H10)</f>
        <v>150</v>
      </c>
      <c r="I154" s="10">
        <f>IF('Model inputs'!I10="","",'Model inputs'!I10)</f>
        <v>150</v>
      </c>
      <c r="J154" s="10">
        <f>IF('Model inputs'!J10="","",'Model inputs'!J10)</f>
        <v>150</v>
      </c>
      <c r="K154" s="10">
        <f>IF('Model inputs'!K10="","",'Model inputs'!K10)</f>
        <v>150</v>
      </c>
      <c r="L154" s="10">
        <f>IF('Model inputs'!L10="","",'Model inputs'!L10)</f>
        <v>150</v>
      </c>
      <c r="M154" s="10">
        <f>IF('Model inputs'!M10="","",'Model inputs'!M10)</f>
        <v>150</v>
      </c>
      <c r="N154" s="10">
        <f>IF('Model inputs'!N10="","",'Model inputs'!N10)</f>
        <v>150</v>
      </c>
      <c r="P154" s="10">
        <f>0</f>
        <v>0</v>
      </c>
    </row>
    <row r="155" outlineLevel="1">
      <c r="A155" t="inlineStr" s="17">
        <is>
          <t xml:space="preserve">Account support cost &gt; Per audit — low</t>
        </is>
      </c>
      <c r="B155" s="10">
        <f>IF('Model inputs'!B11="","",'Model inputs'!B11)</f>
        <v>0</v>
      </c>
      <c r="C155" s="10">
        <f>IF('Model inputs'!C11="","",'Model inputs'!C11)</f>
        <v>150</v>
      </c>
      <c r="D155" s="10">
        <f>IF('Model inputs'!D11="","",'Model inputs'!D11)</f>
        <v>150</v>
      </c>
      <c r="E155" s="10">
        <f>IF('Model inputs'!E11="","",'Model inputs'!E11)</f>
        <v>150</v>
      </c>
      <c r="F155" s="10">
        <f>IF('Model inputs'!F11="","",'Model inputs'!F11)</f>
        <v>150</v>
      </c>
      <c r="G155" s="10">
        <f>IF('Model inputs'!G11="","",'Model inputs'!G11)</f>
        <v>150</v>
      </c>
      <c r="H155" s="10">
        <f>IF('Model inputs'!H11="","",'Model inputs'!H11)</f>
        <v>150</v>
      </c>
      <c r="I155" s="10">
        <f>IF('Model inputs'!I11="","",'Model inputs'!I11)</f>
        <v>150</v>
      </c>
      <c r="J155" s="10">
        <f>IF('Model inputs'!J11="","",'Model inputs'!J11)</f>
        <v>150</v>
      </c>
      <c r="K155" s="10">
        <f>IF('Model inputs'!K11="","",'Model inputs'!K11)</f>
        <v>150</v>
      </c>
      <c r="L155" s="10">
        <f>IF('Model inputs'!L11="","",'Model inputs'!L11)</f>
        <v>150</v>
      </c>
      <c r="M155" s="10">
        <f>IF('Model inputs'!M11="","",'Model inputs'!M11)</f>
        <v>150</v>
      </c>
      <c r="N155" s="10">
        <f>IF('Model inputs'!N11="","",'Model inputs'!N11)</f>
        <v>150</v>
      </c>
      <c r="P155" s="10">
        <f>0</f>
        <v>0</v>
      </c>
    </row>
    <row r="156">
      <c r="A156" t="inlineStr" s="16">
        <is>
          <t xml:space="preserve">Payment fees</t>
        </is>
      </c>
      <c r="B156" s="12">
        <f>IF('Model inputs'!B69="","",'Model inputs'!B69)</f>
        <v>0</v>
      </c>
      <c r="C156" t="str" s="12">
        <f>IF('Model inputs'!C69="","",'Model inputs'!C69)</f>
        <v/>
      </c>
      <c r="D156" t="str" s="12">
        <f>IF('Model inputs'!D69="","",'Model inputs'!D69)</f>
        <v/>
      </c>
      <c r="E156" t="str" s="12">
        <f>IF('Model inputs'!E69="","",'Model inputs'!E69)</f>
        <v/>
      </c>
      <c r="F156" t="str" s="12">
        <f>IF('Model inputs'!F69="","",'Model inputs'!F69)</f>
        <v/>
      </c>
      <c r="G156" t="str" s="12">
        <f>IF('Model inputs'!G69="","",'Model inputs'!G69)</f>
        <v/>
      </c>
      <c r="H156" t="str" s="12">
        <f>IF('Model inputs'!H69="","",'Model inputs'!H69)</f>
        <v/>
      </c>
      <c r="I156" t="str" s="12">
        <f>IF('Model inputs'!I69="","",'Model inputs'!I69)</f>
        <v/>
      </c>
      <c r="J156" t="str" s="12">
        <f>IF('Model inputs'!J69="","",'Model inputs'!J69)</f>
        <v/>
      </c>
      <c r="K156" t="str" s="12">
        <f>IF('Model inputs'!K69="","",'Model inputs'!K69)</f>
        <v/>
      </c>
      <c r="L156" t="str" s="12">
        <f>IF('Model inputs'!L69="","",'Model inputs'!L69)</f>
        <v/>
      </c>
      <c r="M156" t="str" s="12">
        <f>IF('Model inputs'!M69="","",'Model inputs'!M69)</f>
        <v/>
      </c>
      <c r="N156" t="str" s="12">
        <f>IF('Model inputs'!N69="","",'Model inputs'!N69)</f>
        <v/>
      </c>
      <c r="P156" s="12">
        <f>SUM('Model inputs'!P157,'Model inputs'!P158,'Model inputs'!P159,'Model inputs'!P160,'Model inputs'!P161)</f>
        <v>0</v>
      </c>
    </row>
    <row r="157" outlineLevel="1">
      <c r="A157" t="inlineStr" s="17">
        <is>
          <t xml:space="preserve">Payment fees &gt; Annual deal-team</t>
        </is>
      </c>
      <c r="B157" s="10">
        <f>IF('Model inputs'!B70="","",'Model inputs'!B70)</f>
        <v>0</v>
      </c>
      <c r="C157" s="10">
        <f>IF('Model inputs'!C70="","",'Model inputs'!C70)</f>
        <v>3750</v>
      </c>
      <c r="D157" s="10">
        <f>IF('Model inputs'!D70="","",'Model inputs'!D70)</f>
        <v>150</v>
      </c>
      <c r="E157" s="10">
        <f>IF('Model inputs'!E70="","",'Model inputs'!E70)</f>
        <v>150</v>
      </c>
      <c r="F157" s="10">
        <f>IF('Model inputs'!F70="","",'Model inputs'!F70)</f>
        <v>150</v>
      </c>
      <c r="G157" s="10">
        <f>IF('Model inputs'!G70="","",'Model inputs'!G70)</f>
        <v>150</v>
      </c>
      <c r="H157" s="10">
        <f>IF('Model inputs'!H70="","",'Model inputs'!H70)</f>
        <v>150</v>
      </c>
      <c r="I157" s="10">
        <f>IF('Model inputs'!I70="","",'Model inputs'!I70)</f>
        <v>150</v>
      </c>
      <c r="J157" s="10">
        <f>IF('Model inputs'!J70="","",'Model inputs'!J70)</f>
        <v>150</v>
      </c>
      <c r="K157" s="10">
        <f>IF('Model inputs'!K70="","",'Model inputs'!K70)</f>
        <v>150</v>
      </c>
      <c r="L157" s="10">
        <f>IF('Model inputs'!L70="","",'Model inputs'!L70)</f>
        <v>150</v>
      </c>
      <c r="M157" s="10">
        <f>IF('Model inputs'!M70="","",'Model inputs'!M70)</f>
        <v>150</v>
      </c>
      <c r="N157" s="10">
        <f>IF('Model inputs'!N70="","",'Model inputs'!N70)</f>
        <v>150</v>
      </c>
      <c r="P157" s="10">
        <f>0</f>
        <v>0</v>
      </c>
    </row>
    <row r="158" outlineLevel="1">
      <c r="A158" t="inlineStr" s="17">
        <is>
          <t xml:space="preserve">Payment fees &gt; Hybrid</t>
        </is>
      </c>
      <c r="B158" s="10">
        <f>IF('Model inputs'!B71="","",'Model inputs'!B71)</f>
        <v>0</v>
      </c>
      <c r="C158" s="10">
        <f>IF('Model inputs'!C71="","",'Model inputs'!C71)</f>
        <v>1350</v>
      </c>
      <c r="D158" s="10">
        <f>IF('Model inputs'!D71="","",'Model inputs'!D71)</f>
        <v>450</v>
      </c>
      <c r="E158" s="10">
        <f>IF('Model inputs'!E71="","",'Model inputs'!E71)</f>
        <v>450</v>
      </c>
      <c r="F158" s="10">
        <f>IF('Model inputs'!F71="","",'Model inputs'!F71)</f>
        <v>450</v>
      </c>
      <c r="G158" s="10">
        <f>IF('Model inputs'!G71="","",'Model inputs'!G71)</f>
        <v>450</v>
      </c>
      <c r="H158" s="10">
        <f>IF('Model inputs'!H71="","",'Model inputs'!H71)</f>
        <v>450</v>
      </c>
      <c r="I158" s="10">
        <f>IF('Model inputs'!I71="","",'Model inputs'!I71)</f>
        <v>450</v>
      </c>
      <c r="J158" s="10">
        <f>IF('Model inputs'!J71="","",'Model inputs'!J71)</f>
        <v>450</v>
      </c>
      <c r="K158" s="10">
        <f>IF('Model inputs'!K71="","",'Model inputs'!K71)</f>
        <v>450</v>
      </c>
      <c r="L158" s="10">
        <f>IF('Model inputs'!L71="","",'Model inputs'!L71)</f>
        <v>450</v>
      </c>
      <c r="M158" s="10">
        <f>IF('Model inputs'!M71="","",'Model inputs'!M71)</f>
        <v>450</v>
      </c>
      <c r="N158" s="10">
        <f>IF('Model inputs'!N71="","",'Model inputs'!N71)</f>
        <v>450</v>
      </c>
      <c r="P158" s="10">
        <f>0</f>
        <v>0</v>
      </c>
    </row>
    <row r="159" outlineLevel="1">
      <c r="A159" t="inlineStr" s="17">
        <is>
          <t xml:space="preserve">Payment fees &gt; Per audit — base</t>
        </is>
      </c>
      <c r="B159" s="10">
        <f>IF('Model inputs'!B72="","",'Model inputs'!B72)</f>
        <v>0</v>
      </c>
      <c r="C159" s="10">
        <f>IF('Model inputs'!C72="","",'Model inputs'!C72)</f>
        <v>675</v>
      </c>
      <c r="D159" s="10">
        <f>IF('Model inputs'!D72="","",'Model inputs'!D72)</f>
        <v>675</v>
      </c>
      <c r="E159" s="10">
        <f>IF('Model inputs'!E72="","",'Model inputs'!E72)</f>
        <v>675</v>
      </c>
      <c r="F159" s="10">
        <f>IF('Model inputs'!F72="","",'Model inputs'!F72)</f>
        <v>675</v>
      </c>
      <c r="G159" s="10">
        <f>IF('Model inputs'!G72="","",'Model inputs'!G72)</f>
        <v>675</v>
      </c>
      <c r="H159" s="10">
        <f>IF('Model inputs'!H72="","",'Model inputs'!H72)</f>
        <v>675</v>
      </c>
      <c r="I159" s="10">
        <f>IF('Model inputs'!I72="","",'Model inputs'!I72)</f>
        <v>675</v>
      </c>
      <c r="J159" s="10">
        <f>IF('Model inputs'!J72="","",'Model inputs'!J72)</f>
        <v>675</v>
      </c>
      <c r="K159" s="10">
        <f>IF('Model inputs'!K72="","",'Model inputs'!K72)</f>
        <v>675</v>
      </c>
      <c r="L159" s="10">
        <f>IF('Model inputs'!L72="","",'Model inputs'!L72)</f>
        <v>675</v>
      </c>
      <c r="M159" s="10">
        <f>IF('Model inputs'!M72="","",'Model inputs'!M72)</f>
        <v>675</v>
      </c>
      <c r="N159" s="10">
        <f>IF('Model inputs'!N72="","",'Model inputs'!N72)</f>
        <v>675</v>
      </c>
      <c r="P159" s="10">
        <f>0</f>
        <v>0</v>
      </c>
    </row>
    <row r="160" outlineLevel="1">
      <c r="A160" t="inlineStr" s="17">
        <is>
          <t xml:space="preserve">Payment fees &gt; Per audit — high</t>
        </is>
      </c>
      <c r="B160" s="10">
        <f>IF('Model inputs'!B73="","",'Model inputs'!B73)</f>
        <v>0</v>
      </c>
      <c r="C160" s="10">
        <f>IF('Model inputs'!C73="","",'Model inputs'!C73)</f>
        <v>1350</v>
      </c>
      <c r="D160" s="10">
        <f>IF('Model inputs'!D73="","",'Model inputs'!D73)</f>
        <v>1350</v>
      </c>
      <c r="E160" s="10">
        <f>IF('Model inputs'!E73="","",'Model inputs'!E73)</f>
        <v>1350</v>
      </c>
      <c r="F160" s="10">
        <f>IF('Model inputs'!F73="","",'Model inputs'!F73)</f>
        <v>1350</v>
      </c>
      <c r="G160" s="10">
        <f>IF('Model inputs'!G73="","",'Model inputs'!G73)</f>
        <v>1350</v>
      </c>
      <c r="H160" s="10">
        <f>IF('Model inputs'!H73="","",'Model inputs'!H73)</f>
        <v>1350</v>
      </c>
      <c r="I160" s="10">
        <f>IF('Model inputs'!I73="","",'Model inputs'!I73)</f>
        <v>1350</v>
      </c>
      <c r="J160" s="10">
        <f>IF('Model inputs'!J73="","",'Model inputs'!J73)</f>
        <v>1350</v>
      </c>
      <c r="K160" s="10">
        <f>IF('Model inputs'!K73="","",'Model inputs'!K73)</f>
        <v>1350</v>
      </c>
      <c r="L160" s="10">
        <f>IF('Model inputs'!L73="","",'Model inputs'!L73)</f>
        <v>1350</v>
      </c>
      <c r="M160" s="10">
        <f>IF('Model inputs'!M73="","",'Model inputs'!M73)</f>
        <v>1350</v>
      </c>
      <c r="N160" s="10">
        <f>IF('Model inputs'!N73="","",'Model inputs'!N73)</f>
        <v>1350</v>
      </c>
      <c r="P160" s="10">
        <f>0</f>
        <v>0</v>
      </c>
    </row>
    <row r="161" outlineLevel="1">
      <c r="A161" t="inlineStr" s="17">
        <is>
          <t xml:space="preserve">Payment fees &gt; Per audit — low</t>
        </is>
      </c>
      <c r="B161" s="10">
        <f>IF('Model inputs'!B74="","",'Model inputs'!B74)</f>
        <v>0</v>
      </c>
      <c r="C161" s="10">
        <f>IF('Model inputs'!C74="","",'Model inputs'!C74)</f>
        <v>337.5</v>
      </c>
      <c r="D161" s="10">
        <f>IF('Model inputs'!D74="","",'Model inputs'!D74)</f>
        <v>337.5</v>
      </c>
      <c r="E161" s="10">
        <f>IF('Model inputs'!E74="","",'Model inputs'!E74)</f>
        <v>337.5</v>
      </c>
      <c r="F161" s="10">
        <f>IF('Model inputs'!F74="","",'Model inputs'!F74)</f>
        <v>337.5</v>
      </c>
      <c r="G161" s="10">
        <f>IF('Model inputs'!G74="","",'Model inputs'!G74)</f>
        <v>337.5</v>
      </c>
      <c r="H161" s="10">
        <f>IF('Model inputs'!H74="","",'Model inputs'!H74)</f>
        <v>337.5</v>
      </c>
      <c r="I161" s="10">
        <f>IF('Model inputs'!I74="","",'Model inputs'!I74)</f>
        <v>337.5</v>
      </c>
      <c r="J161" s="10">
        <f>IF('Model inputs'!J74="","",'Model inputs'!J74)</f>
        <v>337.5</v>
      </c>
      <c r="K161" s="10">
        <f>IF('Model inputs'!K74="","",'Model inputs'!K74)</f>
        <v>337.5</v>
      </c>
      <c r="L161" s="10">
        <f>IF('Model inputs'!L74="","",'Model inputs'!L74)</f>
        <v>337.5</v>
      </c>
      <c r="M161" s="10">
        <f>IF('Model inputs'!M74="","",'Model inputs'!M74)</f>
        <v>337.5</v>
      </c>
      <c r="N161" s="10">
        <f>IF('Model inputs'!N74="","",'Model inputs'!N74)</f>
        <v>337.5</v>
      </c>
      <c r="P161" s="10">
        <f>0</f>
        <v>0</v>
      </c>
    </row>
    <row r="162">
      <c r="A162" t="inlineStr" s="16">
        <is>
          <t xml:space="preserve">Delivery COGS</t>
        </is>
      </c>
      <c r="B162" s="12">
        <f>IF('Model inputs'!B44="","",'Model inputs'!B44)</f>
        <v>0</v>
      </c>
      <c r="C162" t="str" s="12">
        <f>IF('Model inputs'!C44="","",'Model inputs'!C44)</f>
        <v/>
      </c>
      <c r="D162" t="str" s="12">
        <f>IF('Model inputs'!D44="","",'Model inputs'!D44)</f>
        <v/>
      </c>
      <c r="E162" t="str" s="12">
        <f>IF('Model inputs'!E44="","",'Model inputs'!E44)</f>
        <v/>
      </c>
      <c r="F162" t="str" s="12">
        <f>IF('Model inputs'!F44="","",'Model inputs'!F44)</f>
        <v/>
      </c>
      <c r="G162" t="str" s="12">
        <f>IF('Model inputs'!G44="","",'Model inputs'!G44)</f>
        <v/>
      </c>
      <c r="H162" t="str" s="12">
        <f>IF('Model inputs'!H44="","",'Model inputs'!H44)</f>
        <v/>
      </c>
      <c r="I162" t="str" s="12">
        <f>IF('Model inputs'!I44="","",'Model inputs'!I44)</f>
        <v/>
      </c>
      <c r="J162" t="str" s="12">
        <f>IF('Model inputs'!J44="","",'Model inputs'!J44)</f>
        <v/>
      </c>
      <c r="K162" t="str" s="12">
        <f>IF('Model inputs'!K44="","",'Model inputs'!K44)</f>
        <v/>
      </c>
      <c r="L162" t="str" s="12">
        <f>IF('Model inputs'!L44="","",'Model inputs'!L44)</f>
        <v/>
      </c>
      <c r="M162" t="str" s="12">
        <f>IF('Model inputs'!M44="","",'Model inputs'!M44)</f>
        <v/>
      </c>
      <c r="N162" t="str" s="12">
        <f>IF('Model inputs'!N44="","",'Model inputs'!N44)</f>
        <v/>
      </c>
      <c r="P162" s="12">
        <f>SUM('Model inputs'!P163,'Model inputs'!P164,'Model inputs'!P165,'Model inputs'!P166,'Model inputs'!P167)</f>
        <v>0</v>
      </c>
    </row>
    <row r="163" outlineLevel="1">
      <c r="A163" t="inlineStr" s="17">
        <is>
          <t xml:space="preserve">Delivery COGS &gt; Annual deal-team</t>
        </is>
      </c>
      <c r="B163" s="10">
        <f>IF('Model inputs'!B45="","",'Model inputs'!B45)</f>
        <v>0</v>
      </c>
      <c r="C163" s="10">
        <f>IF('Model inputs'!C45="","",'Model inputs'!C45)</f>
        <v>1419.75</v>
      </c>
      <c r="D163" s="10">
        <f>IF('Model inputs'!D45="","",'Model inputs'!D45)</f>
        <v>1419.75</v>
      </c>
      <c r="E163" s="10">
        <f>IF('Model inputs'!E45="","",'Model inputs'!E45)</f>
        <v>1419.75</v>
      </c>
      <c r="F163" s="10">
        <f>IF('Model inputs'!F45="","",'Model inputs'!F45)</f>
        <v>1419.75</v>
      </c>
      <c r="G163" s="10">
        <f>IF('Model inputs'!G45="","",'Model inputs'!G45)</f>
        <v>1419.75</v>
      </c>
      <c r="H163" s="10">
        <f>IF('Model inputs'!H45="","",'Model inputs'!H45)</f>
        <v>1419.75</v>
      </c>
      <c r="I163" s="10">
        <f>IF('Model inputs'!I45="","",'Model inputs'!I45)</f>
        <v>1419.75</v>
      </c>
      <c r="J163" s="10">
        <f>IF('Model inputs'!J45="","",'Model inputs'!J45)</f>
        <v>1419.75</v>
      </c>
      <c r="K163" s="10">
        <f>IF('Model inputs'!K45="","",'Model inputs'!K45)</f>
        <v>1419.75</v>
      </c>
      <c r="L163" s="10">
        <f>IF('Model inputs'!L45="","",'Model inputs'!L45)</f>
        <v>1419.75</v>
      </c>
      <c r="M163" s="10">
        <f>IF('Model inputs'!M45="","",'Model inputs'!M45)</f>
        <v>1419.75</v>
      </c>
      <c r="N163" s="10">
        <f>IF('Model inputs'!N45="","",'Model inputs'!N45)</f>
        <v>1419.75</v>
      </c>
      <c r="P163" s="10">
        <f>0</f>
        <v>0</v>
      </c>
    </row>
    <row r="164" outlineLevel="1">
      <c r="A164" t="inlineStr" s="17">
        <is>
          <t xml:space="preserve">Delivery COGS &gt; Hybrid</t>
        </is>
      </c>
      <c r="B164" s="10">
        <f>IF('Model inputs'!B46="","",'Model inputs'!B46)</f>
        <v>0</v>
      </c>
      <c r="C164" s="10">
        <f>IF('Model inputs'!C46="","",'Model inputs'!C46)</f>
        <v>1419.75</v>
      </c>
      <c r="D164" s="10">
        <f>IF('Model inputs'!D46="","",'Model inputs'!D46)</f>
        <v>1419.75</v>
      </c>
      <c r="E164" s="10">
        <f>IF('Model inputs'!E46="","",'Model inputs'!E46)</f>
        <v>1419.75</v>
      </c>
      <c r="F164" s="10">
        <f>IF('Model inputs'!F46="","",'Model inputs'!F46)</f>
        <v>1419.75</v>
      </c>
      <c r="G164" s="10">
        <f>IF('Model inputs'!G46="","",'Model inputs'!G46)</f>
        <v>1419.75</v>
      </c>
      <c r="H164" s="10">
        <f>IF('Model inputs'!H46="","",'Model inputs'!H46)</f>
        <v>1419.75</v>
      </c>
      <c r="I164" s="10">
        <f>IF('Model inputs'!I46="","",'Model inputs'!I46)</f>
        <v>1419.75</v>
      </c>
      <c r="J164" s="10">
        <f>IF('Model inputs'!J46="","",'Model inputs'!J46)</f>
        <v>1419.75</v>
      </c>
      <c r="K164" s="10">
        <f>IF('Model inputs'!K46="","",'Model inputs'!K46)</f>
        <v>1419.75</v>
      </c>
      <c r="L164" s="10">
        <f>IF('Model inputs'!L46="","",'Model inputs'!L46)</f>
        <v>1419.75</v>
      </c>
      <c r="M164" s="10">
        <f>IF('Model inputs'!M46="","",'Model inputs'!M46)</f>
        <v>1419.75</v>
      </c>
      <c r="N164" s="10">
        <f>IF('Model inputs'!N46="","",'Model inputs'!N46)</f>
        <v>1419.75</v>
      </c>
      <c r="P164" s="10">
        <f>0</f>
        <v>0</v>
      </c>
    </row>
    <row r="165" outlineLevel="1">
      <c r="A165" t="inlineStr" s="17">
        <is>
          <t xml:space="preserve">Delivery COGS &gt; Per audit — base</t>
        </is>
      </c>
      <c r="B165" s="10">
        <f>IF('Model inputs'!B47="","",'Model inputs'!B47)</f>
        <v>0</v>
      </c>
      <c r="C165" s="10">
        <f>IF('Model inputs'!C47="","",'Model inputs'!C47)</f>
        <v>1419.75</v>
      </c>
      <c r="D165" s="10">
        <f>IF('Model inputs'!D47="","",'Model inputs'!D47)</f>
        <v>1419.75</v>
      </c>
      <c r="E165" s="10">
        <f>IF('Model inputs'!E47="","",'Model inputs'!E47)</f>
        <v>1419.75</v>
      </c>
      <c r="F165" s="10">
        <f>IF('Model inputs'!F47="","",'Model inputs'!F47)</f>
        <v>1419.75</v>
      </c>
      <c r="G165" s="10">
        <f>IF('Model inputs'!G47="","",'Model inputs'!G47)</f>
        <v>1419.75</v>
      </c>
      <c r="H165" s="10">
        <f>IF('Model inputs'!H47="","",'Model inputs'!H47)</f>
        <v>1419.75</v>
      </c>
      <c r="I165" s="10">
        <f>IF('Model inputs'!I47="","",'Model inputs'!I47)</f>
        <v>1419.75</v>
      </c>
      <c r="J165" s="10">
        <f>IF('Model inputs'!J47="","",'Model inputs'!J47)</f>
        <v>1419.75</v>
      </c>
      <c r="K165" s="10">
        <f>IF('Model inputs'!K47="","",'Model inputs'!K47)</f>
        <v>1419.75</v>
      </c>
      <c r="L165" s="10">
        <f>IF('Model inputs'!L47="","",'Model inputs'!L47)</f>
        <v>1419.75</v>
      </c>
      <c r="M165" s="10">
        <f>IF('Model inputs'!M47="","",'Model inputs'!M47)</f>
        <v>1419.75</v>
      </c>
      <c r="N165" s="10">
        <f>IF('Model inputs'!N47="","",'Model inputs'!N47)</f>
        <v>1419.75</v>
      </c>
      <c r="P165" s="10">
        <f>0</f>
        <v>0</v>
      </c>
    </row>
    <row r="166" outlineLevel="1">
      <c r="A166" t="inlineStr" s="17">
        <is>
          <t xml:space="preserve">Delivery COGS &gt; Per audit — high</t>
        </is>
      </c>
      <c r="B166" s="10">
        <f>IF('Model inputs'!B48="","",'Model inputs'!B48)</f>
        <v>0</v>
      </c>
      <c r="C166" s="10">
        <f>IF('Model inputs'!C48="","",'Model inputs'!C48)</f>
        <v>1419.75</v>
      </c>
      <c r="D166" s="10">
        <f>IF('Model inputs'!D48="","",'Model inputs'!D48)</f>
        <v>1419.75</v>
      </c>
      <c r="E166" s="10">
        <f>IF('Model inputs'!E48="","",'Model inputs'!E48)</f>
        <v>1419.75</v>
      </c>
      <c r="F166" s="10">
        <f>IF('Model inputs'!F48="","",'Model inputs'!F48)</f>
        <v>1419.75</v>
      </c>
      <c r="G166" s="10">
        <f>IF('Model inputs'!G48="","",'Model inputs'!G48)</f>
        <v>1419.75</v>
      </c>
      <c r="H166" s="10">
        <f>IF('Model inputs'!H48="","",'Model inputs'!H48)</f>
        <v>1419.75</v>
      </c>
      <c r="I166" s="10">
        <f>IF('Model inputs'!I48="","",'Model inputs'!I48)</f>
        <v>1419.75</v>
      </c>
      <c r="J166" s="10">
        <f>IF('Model inputs'!J48="","",'Model inputs'!J48)</f>
        <v>1419.75</v>
      </c>
      <c r="K166" s="10">
        <f>IF('Model inputs'!K48="","",'Model inputs'!K48)</f>
        <v>1419.75</v>
      </c>
      <c r="L166" s="10">
        <f>IF('Model inputs'!L48="","",'Model inputs'!L48)</f>
        <v>1419.75</v>
      </c>
      <c r="M166" s="10">
        <f>IF('Model inputs'!M48="","",'Model inputs'!M48)</f>
        <v>1419.75</v>
      </c>
      <c r="N166" s="10">
        <f>IF('Model inputs'!N48="","",'Model inputs'!N48)</f>
        <v>1419.75</v>
      </c>
      <c r="P166" s="10">
        <f>0</f>
        <v>0</v>
      </c>
    </row>
    <row r="167" outlineLevel="1">
      <c r="A167" t="inlineStr" s="17">
        <is>
          <t xml:space="preserve">Delivery COGS &gt; Per audit — low</t>
        </is>
      </c>
      <c r="B167" s="10">
        <f>IF('Model inputs'!B49="","",'Model inputs'!B49)</f>
        <v>0</v>
      </c>
      <c r="C167" s="10">
        <f>IF('Model inputs'!C49="","",'Model inputs'!C49)</f>
        <v>1419.75</v>
      </c>
      <c r="D167" s="10">
        <f>IF('Model inputs'!D49="","",'Model inputs'!D49)</f>
        <v>1419.75</v>
      </c>
      <c r="E167" s="10">
        <f>IF('Model inputs'!E49="","",'Model inputs'!E49)</f>
        <v>1419.75</v>
      </c>
      <c r="F167" s="10">
        <f>IF('Model inputs'!F49="","",'Model inputs'!F49)</f>
        <v>1419.75</v>
      </c>
      <c r="G167" s="10">
        <f>IF('Model inputs'!G49="","",'Model inputs'!G49)</f>
        <v>1419.75</v>
      </c>
      <c r="H167" s="10">
        <f>IF('Model inputs'!H49="","",'Model inputs'!H49)</f>
        <v>1419.75</v>
      </c>
      <c r="I167" s="10">
        <f>IF('Model inputs'!I49="","",'Model inputs'!I49)</f>
        <v>1419.75</v>
      </c>
      <c r="J167" s="10">
        <f>IF('Model inputs'!J49="","",'Model inputs'!J49)</f>
        <v>1419.75</v>
      </c>
      <c r="K167" s="10">
        <f>IF('Model inputs'!K49="","",'Model inputs'!K49)</f>
        <v>1419.75</v>
      </c>
      <c r="L167" s="10">
        <f>IF('Model inputs'!L49="","",'Model inputs'!L49)</f>
        <v>1419.75</v>
      </c>
      <c r="M167" s="10">
        <f>IF('Model inputs'!M49="","",'Model inputs'!M49)</f>
        <v>1419.75</v>
      </c>
      <c r="N167" s="10">
        <f>IF('Model inputs'!N49="","",'Model inputs'!N49)</f>
        <v>1419.75</v>
      </c>
      <c r="P167" s="10">
        <f>0</f>
        <v>0</v>
      </c>
    </row>
    <row r="168">
      <c r="A168" t="inlineStr" s="16">
        <is>
          <t xml:space="preserve">Audits delivered</t>
        </is>
      </c>
      <c r="B168" s="7">
        <f>IF('Model inputs'!B12="","",'Model inputs'!B12)</f>
        <v>0</v>
      </c>
      <c r="C168" t="str" s="7">
        <f>IF('Model inputs'!C12="","",'Model inputs'!C12)</f>
        <v/>
      </c>
      <c r="D168" t="str" s="7">
        <f>IF('Model inputs'!D12="","",'Model inputs'!D12)</f>
        <v/>
      </c>
      <c r="E168" t="str" s="7">
        <f>IF('Model inputs'!E12="","",'Model inputs'!E12)</f>
        <v/>
      </c>
      <c r="F168" t="str" s="7">
        <f>IF('Model inputs'!F12="","",'Model inputs'!F12)</f>
        <v/>
      </c>
      <c r="G168" t="str" s="7">
        <f>IF('Model inputs'!G12="","",'Model inputs'!G12)</f>
        <v/>
      </c>
      <c r="H168" t="str" s="7">
        <f>IF('Model inputs'!H12="","",'Model inputs'!H12)</f>
        <v/>
      </c>
      <c r="I168" t="str" s="7">
        <f>IF('Model inputs'!I12="","",'Model inputs'!I12)</f>
        <v/>
      </c>
      <c r="J168" t="str" s="7">
        <f>IF('Model inputs'!J12="","",'Model inputs'!J12)</f>
        <v/>
      </c>
      <c r="K168" t="str" s="7">
        <f>IF('Model inputs'!K12="","",'Model inputs'!K12)</f>
        <v/>
      </c>
      <c r="L168" t="str" s="7">
        <f>IF('Model inputs'!L12="","",'Model inputs'!L12)</f>
        <v/>
      </c>
      <c r="M168" t="str" s="7">
        <f>IF('Model inputs'!M12="","",'Model inputs'!M12)</f>
        <v/>
      </c>
      <c r="N168" t="str" s="7">
        <f>IF('Model inputs'!N12="","",'Model inputs'!N12)</f>
        <v/>
      </c>
      <c r="P168" s="7">
        <f>SUM('Model inputs'!P169,'Model inputs'!P170,'Model inputs'!P171,'Model inputs'!P172,'Model inputs'!P173)</f>
        <v>0</v>
      </c>
    </row>
    <row r="169" outlineLevel="1">
      <c r="A169" t="inlineStr" s="17">
        <is>
          <t xml:space="preserve">Audits delivered &gt; Annual deal-team</t>
        </is>
      </c>
      <c r="B169" s="9">
        <f>IF('Model inputs'!B13="","",'Model inputs'!B13)</f>
        <v>0</v>
      </c>
      <c r="C169" s="9">
        <f>IF('Model inputs'!C13="","",'Model inputs'!C13)</f>
        <v>15</v>
      </c>
      <c r="D169" s="9">
        <f>IF('Model inputs'!D13="","",'Model inputs'!D13)</f>
        <v>15</v>
      </c>
      <c r="E169" s="9">
        <f>IF('Model inputs'!E13="","",'Model inputs'!E13)</f>
        <v>15</v>
      </c>
      <c r="F169" s="9">
        <f>IF('Model inputs'!F13="","",'Model inputs'!F13)</f>
        <v>15</v>
      </c>
      <c r="G169" s="9">
        <f>IF('Model inputs'!G13="","",'Model inputs'!G13)</f>
        <v>15</v>
      </c>
      <c r="H169" s="9">
        <f>IF('Model inputs'!H13="","",'Model inputs'!H13)</f>
        <v>15</v>
      </c>
      <c r="I169" s="9">
        <f>IF('Model inputs'!I13="","",'Model inputs'!I13)</f>
        <v>15</v>
      </c>
      <c r="J169" s="9">
        <f>IF('Model inputs'!J13="","",'Model inputs'!J13)</f>
        <v>15</v>
      </c>
      <c r="K169" s="9">
        <f>IF('Model inputs'!K13="","",'Model inputs'!K13)</f>
        <v>15</v>
      </c>
      <c r="L169" s="9">
        <f>IF('Model inputs'!L13="","",'Model inputs'!L13)</f>
        <v>15</v>
      </c>
      <c r="M169" s="9">
        <f>IF('Model inputs'!M13="","",'Model inputs'!M13)</f>
        <v>15</v>
      </c>
      <c r="N169" s="9">
        <f>IF('Model inputs'!N13="","",'Model inputs'!N13)</f>
        <v>15</v>
      </c>
      <c r="P169" s="9">
        <f>0</f>
        <v>0</v>
      </c>
    </row>
    <row r="170" outlineLevel="1">
      <c r="A170" t="inlineStr" s="17">
        <is>
          <t xml:space="preserve">Audits delivered &gt; Hybrid</t>
        </is>
      </c>
      <c r="B170" s="9">
        <f>IF('Model inputs'!B14="","",'Model inputs'!B14)</f>
        <v>0</v>
      </c>
      <c r="C170" s="9">
        <f>IF('Model inputs'!C14="","",'Model inputs'!C14)</f>
        <v>15</v>
      </c>
      <c r="D170" s="9">
        <f>IF('Model inputs'!D14="","",'Model inputs'!D14)</f>
        <v>15</v>
      </c>
      <c r="E170" s="9">
        <f>IF('Model inputs'!E14="","",'Model inputs'!E14)</f>
        <v>15</v>
      </c>
      <c r="F170" s="9">
        <f>IF('Model inputs'!F14="","",'Model inputs'!F14)</f>
        <v>15</v>
      </c>
      <c r="G170" s="9">
        <f>IF('Model inputs'!G14="","",'Model inputs'!G14)</f>
        <v>15</v>
      </c>
      <c r="H170" s="9">
        <f>IF('Model inputs'!H14="","",'Model inputs'!H14)</f>
        <v>15</v>
      </c>
      <c r="I170" s="9">
        <f>IF('Model inputs'!I14="","",'Model inputs'!I14)</f>
        <v>15</v>
      </c>
      <c r="J170" s="9">
        <f>IF('Model inputs'!J14="","",'Model inputs'!J14)</f>
        <v>15</v>
      </c>
      <c r="K170" s="9">
        <f>IF('Model inputs'!K14="","",'Model inputs'!K14)</f>
        <v>15</v>
      </c>
      <c r="L170" s="9">
        <f>IF('Model inputs'!L14="","",'Model inputs'!L14)</f>
        <v>15</v>
      </c>
      <c r="M170" s="9">
        <f>IF('Model inputs'!M14="","",'Model inputs'!M14)</f>
        <v>15</v>
      </c>
      <c r="N170" s="9">
        <f>IF('Model inputs'!N14="","",'Model inputs'!N14)</f>
        <v>15</v>
      </c>
      <c r="P170" s="9">
        <f>0</f>
        <v>0</v>
      </c>
    </row>
    <row r="171" outlineLevel="1">
      <c r="A171" t="inlineStr" s="17">
        <is>
          <t xml:space="preserve">Audits delivered &gt; Per audit — base</t>
        </is>
      </c>
      <c r="B171" s="9">
        <f>IF('Model inputs'!B15="","",'Model inputs'!B15)</f>
        <v>0</v>
      </c>
      <c r="C171" s="9">
        <f>IF('Model inputs'!C15="","",'Model inputs'!C15)</f>
        <v>15</v>
      </c>
      <c r="D171" s="9">
        <f>IF('Model inputs'!D15="","",'Model inputs'!D15)</f>
        <v>15</v>
      </c>
      <c r="E171" s="9">
        <f>IF('Model inputs'!E15="","",'Model inputs'!E15)</f>
        <v>15</v>
      </c>
      <c r="F171" s="9">
        <f>IF('Model inputs'!F15="","",'Model inputs'!F15)</f>
        <v>15</v>
      </c>
      <c r="G171" s="9">
        <f>IF('Model inputs'!G15="","",'Model inputs'!G15)</f>
        <v>15</v>
      </c>
      <c r="H171" s="9">
        <f>IF('Model inputs'!H15="","",'Model inputs'!H15)</f>
        <v>15</v>
      </c>
      <c r="I171" s="9">
        <f>IF('Model inputs'!I15="","",'Model inputs'!I15)</f>
        <v>15</v>
      </c>
      <c r="J171" s="9">
        <f>IF('Model inputs'!J15="","",'Model inputs'!J15)</f>
        <v>15</v>
      </c>
      <c r="K171" s="9">
        <f>IF('Model inputs'!K15="","",'Model inputs'!K15)</f>
        <v>15</v>
      </c>
      <c r="L171" s="9">
        <f>IF('Model inputs'!L15="","",'Model inputs'!L15)</f>
        <v>15</v>
      </c>
      <c r="M171" s="9">
        <f>IF('Model inputs'!M15="","",'Model inputs'!M15)</f>
        <v>15</v>
      </c>
      <c r="N171" s="9">
        <f>IF('Model inputs'!N15="","",'Model inputs'!N15)</f>
        <v>15</v>
      </c>
      <c r="P171" s="9">
        <f>0</f>
        <v>0</v>
      </c>
    </row>
    <row r="172" outlineLevel="1">
      <c r="A172" t="inlineStr" s="17">
        <is>
          <t xml:space="preserve">Audits delivered &gt; Per audit — high</t>
        </is>
      </c>
      <c r="B172" s="9">
        <f>IF('Model inputs'!B16="","",'Model inputs'!B16)</f>
        <v>0</v>
      </c>
      <c r="C172" s="9">
        <f>IF('Model inputs'!C16="","",'Model inputs'!C16)</f>
        <v>15</v>
      </c>
      <c r="D172" s="9">
        <f>IF('Model inputs'!D16="","",'Model inputs'!D16)</f>
        <v>15</v>
      </c>
      <c r="E172" s="9">
        <f>IF('Model inputs'!E16="","",'Model inputs'!E16)</f>
        <v>15</v>
      </c>
      <c r="F172" s="9">
        <f>IF('Model inputs'!F16="","",'Model inputs'!F16)</f>
        <v>15</v>
      </c>
      <c r="G172" s="9">
        <f>IF('Model inputs'!G16="","",'Model inputs'!G16)</f>
        <v>15</v>
      </c>
      <c r="H172" s="9">
        <f>IF('Model inputs'!H16="","",'Model inputs'!H16)</f>
        <v>15</v>
      </c>
      <c r="I172" s="9">
        <f>IF('Model inputs'!I16="","",'Model inputs'!I16)</f>
        <v>15</v>
      </c>
      <c r="J172" s="9">
        <f>IF('Model inputs'!J16="","",'Model inputs'!J16)</f>
        <v>15</v>
      </c>
      <c r="K172" s="9">
        <f>IF('Model inputs'!K16="","",'Model inputs'!K16)</f>
        <v>15</v>
      </c>
      <c r="L172" s="9">
        <f>IF('Model inputs'!L16="","",'Model inputs'!L16)</f>
        <v>15</v>
      </c>
      <c r="M172" s="9">
        <f>IF('Model inputs'!M16="","",'Model inputs'!M16)</f>
        <v>15</v>
      </c>
      <c r="N172" s="9">
        <f>IF('Model inputs'!N16="","",'Model inputs'!N16)</f>
        <v>15</v>
      </c>
      <c r="P172" s="9">
        <f>0</f>
        <v>0</v>
      </c>
    </row>
    <row r="173" outlineLevel="1">
      <c r="A173" t="inlineStr" s="17">
        <is>
          <t xml:space="preserve">Audits delivered &gt; Per audit — low</t>
        </is>
      </c>
      <c r="B173" s="9">
        <f>IF('Model inputs'!B17="","",'Model inputs'!B17)</f>
        <v>0</v>
      </c>
      <c r="C173" s="9">
        <f>IF('Model inputs'!C17="","",'Model inputs'!C17)</f>
        <v>15</v>
      </c>
      <c r="D173" s="9">
        <f>IF('Model inputs'!D17="","",'Model inputs'!D17)</f>
        <v>15</v>
      </c>
      <c r="E173" s="9">
        <f>IF('Model inputs'!E17="","",'Model inputs'!E17)</f>
        <v>15</v>
      </c>
      <c r="F173" s="9">
        <f>IF('Model inputs'!F17="","",'Model inputs'!F17)</f>
        <v>15</v>
      </c>
      <c r="G173" s="9">
        <f>IF('Model inputs'!G17="","",'Model inputs'!G17)</f>
        <v>15</v>
      </c>
      <c r="H173" s="9">
        <f>IF('Model inputs'!H17="","",'Model inputs'!H17)</f>
        <v>15</v>
      </c>
      <c r="I173" s="9">
        <f>IF('Model inputs'!I17="","",'Model inputs'!I17)</f>
        <v>15</v>
      </c>
      <c r="J173" s="9">
        <f>IF('Model inputs'!J17="","",'Model inputs'!J17)</f>
        <v>15</v>
      </c>
      <c r="K173" s="9">
        <f>IF('Model inputs'!K17="","",'Model inputs'!K17)</f>
        <v>15</v>
      </c>
      <c r="L173" s="9">
        <f>IF('Model inputs'!L17="","",'Model inputs'!L17)</f>
        <v>15</v>
      </c>
      <c r="M173" s="9">
        <f>IF('Model inputs'!M17="","",'Model inputs'!M17)</f>
        <v>15</v>
      </c>
      <c r="N173" s="9">
        <f>IF('Model inputs'!N17="","",'Model inputs'!N17)</f>
        <v>15</v>
      </c>
      <c r="P173" s="9">
        <f>0</f>
        <v>0</v>
      </c>
    </row>
    <row r="175">
      <c r="A175" t="inlineStr" s="15">
        <is>
          <t xml:space="preserve">Dimensions</t>
        </is>
      </c>
    </row>
    <row r="176">
      <c r="A176" t="inlineStr" s="16">
        <is>
          <t xml:space="preserve">Pricing model</t>
        </is>
      </c>
      <c r="B176" t="inlineStr" s="19">
        <is>
          <t xml:space="preserve">Annual deal-team</t>
        </is>
      </c>
      <c r="C176" t="inlineStr" s="19">
        <is>
          <t xml:space="preserve">Hybrid</t>
        </is>
      </c>
      <c r="D176" t="inlineStr" s="19">
        <is>
          <t xml:space="preserve">Per audit — base</t>
        </is>
      </c>
      <c r="E176" t="inlineStr" s="19">
        <is>
          <t xml:space="preserve">Per audit — high</t>
        </is>
      </c>
      <c r="F176" t="inlineStr" s="19">
        <is>
          <t xml:space="preserve">Per audit — low</t>
        </is>
      </c>
    </row>
    <row r="178">
      <c r="A178" t="inlineStr" s="15">
        <is>
          <t xml:space="preserve">Supporting calculations</t>
        </is>
      </c>
    </row>
    <row r="179">
      <c r="A179" t="inlineStr" s="16">
        <is>
          <t xml:space="preserve">Calculation</t>
        </is>
      </c>
      <c r="B179">
        <f>IF(IF(EXACT("Annual deal-team",'Model inputs'!O83)="",FALSE,EXACT("Annual deal-team",'Model inputs'!O83)),IF('DealScope monthly model and pri'!B10="","",'DealScope monthly model and pri'!B10),"")</f>
      </c>
    </row>
    <row r="180">
      <c r="A180" t="inlineStr" s="16">
        <is>
          <t xml:space="preserve">Calculation</t>
        </is>
      </c>
      <c r="B180">
        <f>IF(IF(EXACT("Hybrid",'Model inputs'!O83)="",FALSE,EXACT("Hybrid",'Model inputs'!O83)),IF('DealScope monthly model and pri'!B11="","",'DealScope monthly model and pri'!B11),"")</f>
      </c>
    </row>
    <row r="181">
      <c r="A181" t="inlineStr" s="16">
        <is>
          <t xml:space="preserve">Calculation</t>
        </is>
      </c>
      <c r="B181">
        <f>IF(IF(EXACT("Per audit — base",'Model inputs'!O83)="",FALSE,EXACT("Per audit — base",'Model inputs'!O83)),IF('DealScope monthly model and pri'!B12="","",'DealScope monthly model and pri'!B12),"")</f>
      </c>
    </row>
    <row r="182">
      <c r="A182" t="inlineStr" s="16">
        <is>
          <t xml:space="preserve">Calculation</t>
        </is>
      </c>
      <c r="B182">
        <f>IF(IF(EXACT("Per audit — high",'Model inputs'!O83)="",FALSE,EXACT("Per audit — high",'Model inputs'!O83)),IF('DealScope monthly model and pri'!B13="","",'DealScope monthly model and pri'!B13),"")</f>
      </c>
    </row>
    <row r="183">
      <c r="A183" t="inlineStr" s="16">
        <is>
          <t xml:space="preserve">Calculation</t>
        </is>
      </c>
      <c r="B183">
        <f>IF(IF(EXACT("Per audit — low",'Model inputs'!O83)="",FALSE,EXACT("Per audit — low",'Model inputs'!O83)),IF('DealScope monthly model and pri'!B14="","",'DealScope monthly model and pri'!B14),"")</f>
      </c>
    </row>
    <row r="184">
      <c r="A184" t="inlineStr" s="16">
        <is>
          <t xml:space="preserve">Calculation</t>
        </is>
      </c>
      <c r="B184">
        <f>IF(IF(EXACT("Annual deal-team",'Model inputs'!O83)="",FALSE,EXACT("Annual deal-team",'Model inputs'!O83)),IF('DealScope monthly model and pri'!C10="","",'DealScope monthly model and pri'!C10),"")</f>
      </c>
    </row>
    <row r="185">
      <c r="A185" t="inlineStr" s="16">
        <is>
          <t xml:space="preserve">Calculation</t>
        </is>
      </c>
      <c r="B185">
        <f>IF(IF(EXACT("Hybrid",'Model inputs'!O83)="",FALSE,EXACT("Hybrid",'Model inputs'!O83)),IF('DealScope monthly model and pri'!C11="","",'DealScope monthly model and pri'!C11),"")</f>
      </c>
    </row>
    <row r="186">
      <c r="A186" t="inlineStr" s="16">
        <is>
          <t xml:space="preserve">Calculation</t>
        </is>
      </c>
      <c r="B186">
        <f>IF(IF(EXACT("Per audit — base",'Model inputs'!O83)="",FALSE,EXACT("Per audit — base",'Model inputs'!O83)),IF('DealScope monthly model and pri'!C12="","",'DealScope monthly model and pri'!C12),"")</f>
      </c>
    </row>
    <row r="187">
      <c r="A187" t="inlineStr" s="16">
        <is>
          <t xml:space="preserve">Calculation</t>
        </is>
      </c>
      <c r="B187">
        <f>IF(IF(EXACT("Per audit — high",'Model inputs'!O83)="",FALSE,EXACT("Per audit — high",'Model inputs'!O83)),IF('DealScope monthly model and pri'!C13="","",'DealScope monthly model and pri'!C13),"")</f>
      </c>
    </row>
    <row r="188">
      <c r="A188" t="inlineStr" s="16">
        <is>
          <t xml:space="preserve">Calculation</t>
        </is>
      </c>
      <c r="B188">
        <f>IF(IF(EXACT("Per audit — low",'Model inputs'!O83)="",FALSE,EXACT("Per audit — low",'Model inputs'!O83)),IF('DealScope monthly model and pri'!C14="","",'DealScope monthly model and pri'!C14),"")</f>
      </c>
    </row>
    <row r="189">
      <c r="A189" t="inlineStr" s="16">
        <is>
          <t xml:space="preserve">Calculation</t>
        </is>
      </c>
      <c r="B189">
        <f>IF(IF(EXACT("Annual deal-team",'Model inputs'!O83)="",FALSE,EXACT("Annual deal-team",'Model inputs'!O83)),IF('DealScope monthly model and pri'!D10="","",'DealScope monthly model and pri'!D10),"")</f>
      </c>
    </row>
    <row r="190">
      <c r="A190" t="inlineStr" s="16">
        <is>
          <t xml:space="preserve">Calculation</t>
        </is>
      </c>
      <c r="B190">
        <f>IF(IF(EXACT("Hybrid",'Model inputs'!O83)="",FALSE,EXACT("Hybrid",'Model inputs'!O83)),IF('DealScope monthly model and pri'!D11="","",'DealScope monthly model and pri'!D11),"")</f>
      </c>
    </row>
    <row r="191">
      <c r="A191" t="inlineStr" s="16">
        <is>
          <t xml:space="preserve">Calculation</t>
        </is>
      </c>
      <c r="B191">
        <f>IF(IF(EXACT("Per audit — base",'Model inputs'!O83)="",FALSE,EXACT("Per audit — base",'Model inputs'!O83)),IF('DealScope monthly model and pri'!D12="","",'DealScope monthly model and pri'!D12),"")</f>
      </c>
    </row>
    <row r="192">
      <c r="A192" t="inlineStr" s="16">
        <is>
          <t xml:space="preserve">Calculation</t>
        </is>
      </c>
      <c r="B192">
        <f>IF(IF(EXACT("Per audit — high",'Model inputs'!O83)="",FALSE,EXACT("Per audit — high",'Model inputs'!O83)),IF('DealScope monthly model and pri'!D13="","",'DealScope monthly model and pri'!D13),"")</f>
      </c>
    </row>
    <row r="193">
      <c r="A193" t="inlineStr" s="16">
        <is>
          <t xml:space="preserve">Calculation</t>
        </is>
      </c>
      <c r="B193">
        <f>IF(IF(EXACT("Per audit — low",'Model inputs'!O83)="",FALSE,EXACT("Per audit — low",'Model inputs'!O83)),IF('DealScope monthly model and pri'!D14="","",'DealScope monthly model and pri'!D14),"")</f>
      </c>
    </row>
    <row r="194">
      <c r="A194" t="inlineStr" s="16">
        <is>
          <t xml:space="preserve">Calculation</t>
        </is>
      </c>
      <c r="B194">
        <f>IF(IF(EXACT("Annual deal-team",'Model inputs'!O83)="",FALSE,EXACT("Annual deal-team",'Model inputs'!O83)),IF('DealScope monthly model and pri'!E10="","",'DealScope monthly model and pri'!E10),"")</f>
      </c>
    </row>
    <row r="195">
      <c r="A195" t="inlineStr" s="16">
        <is>
          <t xml:space="preserve">Calculation</t>
        </is>
      </c>
      <c r="B195">
        <f>IF(IF(EXACT("Hybrid",'Model inputs'!O83)="",FALSE,EXACT("Hybrid",'Model inputs'!O83)),IF('DealScope monthly model and pri'!E11="","",'DealScope monthly model and pri'!E11),"")</f>
      </c>
    </row>
    <row r="196">
      <c r="A196" t="inlineStr" s="16">
        <is>
          <t xml:space="preserve">Calculation</t>
        </is>
      </c>
      <c r="B196">
        <f>IF(IF(EXACT("Per audit — base",'Model inputs'!O83)="",FALSE,EXACT("Per audit — base",'Model inputs'!O83)),IF('DealScope monthly model and pri'!E12="","",'DealScope monthly model and pri'!E12),"")</f>
      </c>
    </row>
    <row r="197">
      <c r="A197" t="inlineStr" s="16">
        <is>
          <t xml:space="preserve">Calculation</t>
        </is>
      </c>
      <c r="B197">
        <f>IF(IF(EXACT("Per audit — high",'Model inputs'!O83)="",FALSE,EXACT("Per audit — high",'Model inputs'!O83)),IF('DealScope monthly model and pri'!E13="","",'DealScope monthly model and pri'!E13),"")</f>
      </c>
    </row>
    <row r="198">
      <c r="A198" t="inlineStr" s="16">
        <is>
          <t xml:space="preserve">Calculation</t>
        </is>
      </c>
      <c r="B198">
        <f>IF(IF(EXACT("Per audit — low",'Model inputs'!O83)="",FALSE,EXACT("Per audit — low",'Model inputs'!O83)),IF('DealScope monthly model and pri'!E14="","",'DealScope monthly model and pri'!E14),"")</f>
      </c>
    </row>
    <row r="199">
      <c r="A199" t="inlineStr" s="16">
        <is>
          <t xml:space="preserve">Calculation</t>
        </is>
      </c>
      <c r="B199">
        <f>IF(IF(EXACT("Annual deal-team",'Model inputs'!O83)="",FALSE,EXACT("Annual deal-team",'Model inputs'!O83)),IF('DealScope monthly model and pri'!F10="","",'DealScope monthly model and pri'!F10),"")</f>
      </c>
    </row>
    <row r="200">
      <c r="A200" t="inlineStr" s="16">
        <is>
          <t xml:space="preserve">Calculation</t>
        </is>
      </c>
      <c r="B200">
        <f>IF(IF(EXACT("Hybrid",'Model inputs'!O83)="",FALSE,EXACT("Hybrid",'Model inputs'!O83)),IF('DealScope monthly model and pri'!F11="","",'DealScope monthly model and pri'!F11),"")</f>
      </c>
    </row>
    <row r="201">
      <c r="A201" t="inlineStr" s="16">
        <is>
          <t xml:space="preserve">Calculation</t>
        </is>
      </c>
      <c r="B201">
        <f>IF(IF(EXACT("Per audit — base",'Model inputs'!O83)="",FALSE,EXACT("Per audit — base",'Model inputs'!O83)),IF('DealScope monthly model and pri'!F12="","",'DealScope monthly model and pri'!F12),"")</f>
      </c>
    </row>
    <row r="202">
      <c r="A202" t="inlineStr" s="16">
        <is>
          <t xml:space="preserve">Calculation</t>
        </is>
      </c>
      <c r="B202">
        <f>IF(IF(EXACT("Per audit — high",'Model inputs'!O83)="",FALSE,EXACT("Per audit — high",'Model inputs'!O83)),IF('DealScope monthly model and pri'!F13="","",'DealScope monthly model and pri'!F13),"")</f>
      </c>
    </row>
    <row r="203">
      <c r="A203" t="inlineStr" s="16">
        <is>
          <t xml:space="preserve">Calculation</t>
        </is>
      </c>
      <c r="B203">
        <f>IF(IF(EXACT("Per audit — low",'Model inputs'!O83)="",FALSE,EXACT("Per audit — low",'Model inputs'!O83)),IF('DealScope monthly model and pri'!F14="","",'DealScope monthly model and pri'!F14),"")</f>
      </c>
    </row>
    <row r="204">
      <c r="A204" t="inlineStr" s="16">
        <is>
          <t xml:space="preserve">Calculation</t>
        </is>
      </c>
      <c r="B204">
        <f>IF(IF(EXACT("Annual deal-team",'Model inputs'!O83)="",FALSE,EXACT("Annual deal-team",'Model inputs'!O83)),IF('DealScope monthly model and pri'!G10="","",'DealScope monthly model and pri'!G10),"")</f>
      </c>
    </row>
    <row r="205">
      <c r="A205" t="inlineStr" s="16">
        <is>
          <t xml:space="preserve">Calculation</t>
        </is>
      </c>
      <c r="B205">
        <f>IF(IF(EXACT("Hybrid",'Model inputs'!O83)="",FALSE,EXACT("Hybrid",'Model inputs'!O83)),IF('DealScope monthly model and pri'!G11="","",'DealScope monthly model and pri'!G11),"")</f>
      </c>
    </row>
    <row r="206">
      <c r="A206" t="inlineStr" s="16">
        <is>
          <t xml:space="preserve">Calculation</t>
        </is>
      </c>
      <c r="B206">
        <f>IF(IF(EXACT("Per audit — base",'Model inputs'!O83)="",FALSE,EXACT("Per audit — base",'Model inputs'!O83)),IF('DealScope monthly model and pri'!G12="","",'DealScope monthly model and pri'!G12),"")</f>
      </c>
    </row>
    <row r="207">
      <c r="A207" t="inlineStr" s="16">
        <is>
          <t xml:space="preserve">Calculation</t>
        </is>
      </c>
      <c r="B207">
        <f>IF(IF(EXACT("Per audit — high",'Model inputs'!O83)="",FALSE,EXACT("Per audit — high",'Model inputs'!O83)),IF('DealScope monthly model and pri'!G13="","",'DealScope monthly model and pri'!G13),"")</f>
      </c>
    </row>
    <row r="208">
      <c r="A208" t="inlineStr" s="16">
        <is>
          <t xml:space="preserve">Calculation</t>
        </is>
      </c>
      <c r="B208">
        <f>IF(IF(EXACT("Per audit — low",'Model inputs'!O83)="",FALSE,EXACT("Per audit — low",'Model inputs'!O83)),IF('DealScope monthly model and pri'!G14="","",'DealScope monthly model and pri'!G14),"")</f>
      </c>
    </row>
    <row r="209">
      <c r="A209" t="inlineStr" s="16">
        <is>
          <t xml:space="preserve">Calculation</t>
        </is>
      </c>
      <c r="B209">
        <f>IF(IF(EXACT("Annual deal-team",'Model inputs'!O83)="",FALSE,EXACT("Annual deal-team",'Model inputs'!O83)),IF('DealScope monthly model and pri'!H10="","",'DealScope monthly model and pri'!H10),"")</f>
      </c>
    </row>
    <row r="210">
      <c r="A210" t="inlineStr" s="16">
        <is>
          <t xml:space="preserve">Calculation</t>
        </is>
      </c>
      <c r="B210">
        <f>IF(IF(EXACT("Hybrid",'Model inputs'!O83)="",FALSE,EXACT("Hybrid",'Model inputs'!O83)),IF('DealScope monthly model and pri'!H11="","",'DealScope monthly model and pri'!H11),"")</f>
      </c>
    </row>
    <row r="211">
      <c r="A211" t="inlineStr" s="16">
        <is>
          <t xml:space="preserve">Calculation</t>
        </is>
      </c>
      <c r="B211">
        <f>IF(IF(EXACT("Per audit — base",'Model inputs'!O83)="",FALSE,EXACT("Per audit — base",'Model inputs'!O83)),IF('DealScope monthly model and pri'!H12="","",'DealScope monthly model and pri'!H12),"")</f>
      </c>
    </row>
    <row r="212">
      <c r="A212" t="inlineStr" s="16">
        <is>
          <t xml:space="preserve">Calculation</t>
        </is>
      </c>
      <c r="B212">
        <f>IF(IF(EXACT("Per audit — high",'Model inputs'!O83)="",FALSE,EXACT("Per audit — high",'Model inputs'!O83)),IF('DealScope monthly model and pri'!H13="","",'DealScope monthly model and pri'!H13),"")</f>
      </c>
    </row>
    <row r="213">
      <c r="A213" t="inlineStr" s="16">
        <is>
          <t xml:space="preserve">Calculation</t>
        </is>
      </c>
      <c r="B213">
        <f>IF(IF(EXACT("Per audit — low",'Model inputs'!O83)="",FALSE,EXACT("Per audit — low",'Model inputs'!O83)),IF('DealScope monthly model and pri'!H14="","",'DealScope monthly model and pri'!H14),"")</f>
      </c>
    </row>
    <row r="214">
      <c r="A214" t="inlineStr" s="16">
        <is>
          <t xml:space="preserve">Calculation</t>
        </is>
      </c>
      <c r="B214">
        <f>IF(IF(EXACT("Annual deal-team",'Model inputs'!O83)="",FALSE,EXACT("Annual deal-team",'Model inputs'!O83)),IF('DealScope monthly model and pri'!I10="","",'DealScope monthly model and pri'!I10),"")</f>
      </c>
    </row>
    <row r="215">
      <c r="A215" t="inlineStr" s="16">
        <is>
          <t xml:space="preserve">Calculation</t>
        </is>
      </c>
      <c r="B215">
        <f>IF(IF(EXACT("Hybrid",'Model inputs'!O83)="",FALSE,EXACT("Hybrid",'Model inputs'!O83)),IF('DealScope monthly model and pri'!I11="","",'DealScope monthly model and pri'!I11),"")</f>
      </c>
    </row>
    <row r="216">
      <c r="A216" t="inlineStr" s="16">
        <is>
          <t xml:space="preserve">Calculation</t>
        </is>
      </c>
      <c r="B216">
        <f>IF(IF(EXACT("Per audit — base",'Model inputs'!O83)="",FALSE,EXACT("Per audit — base",'Model inputs'!O83)),IF('DealScope monthly model and pri'!I12="","",'DealScope monthly model and pri'!I12),"")</f>
      </c>
    </row>
    <row r="217">
      <c r="A217" t="inlineStr" s="16">
        <is>
          <t xml:space="preserve">Calculation</t>
        </is>
      </c>
      <c r="B217">
        <f>IF(IF(EXACT("Per audit — high",'Model inputs'!O83)="",FALSE,EXACT("Per audit — high",'Model inputs'!O83)),IF('DealScope monthly model and pri'!I13="","",'DealScope monthly model and pri'!I13),"")</f>
      </c>
    </row>
    <row r="218">
      <c r="A218" t="inlineStr" s="16">
        <is>
          <t xml:space="preserve">Calculation</t>
        </is>
      </c>
      <c r="B218">
        <f>IF(IF(EXACT("Per audit — low",'Model inputs'!O83)="",FALSE,EXACT("Per audit — low",'Model inputs'!O83)),IF('DealScope monthly model and pri'!I14="","",'DealScope monthly model and pri'!I14),"")</f>
      </c>
    </row>
    <row r="219">
      <c r="A219" t="inlineStr" s="16">
        <is>
          <t xml:space="preserve">Calculation</t>
        </is>
      </c>
      <c r="B219">
        <f>IF(IF(EXACT("Annual deal-team",'Model inputs'!O83)="",FALSE,EXACT("Annual deal-team",'Model inputs'!O83)),IF('DealScope monthly model and pri'!J10="","",'DealScope monthly model and pri'!J10),"")</f>
      </c>
    </row>
    <row r="220">
      <c r="A220" t="inlineStr" s="16">
        <is>
          <t xml:space="preserve">Calculation</t>
        </is>
      </c>
      <c r="B220">
        <f>IF(IF(EXACT("Hybrid",'Model inputs'!O83)="",FALSE,EXACT("Hybrid",'Model inputs'!O83)),IF('DealScope monthly model and pri'!J11="","",'DealScope monthly model and pri'!J11),"")</f>
      </c>
    </row>
    <row r="221">
      <c r="A221" t="inlineStr" s="16">
        <is>
          <t xml:space="preserve">Calculation</t>
        </is>
      </c>
      <c r="B221">
        <f>IF(IF(EXACT("Per audit — base",'Model inputs'!O83)="",FALSE,EXACT("Per audit — base",'Model inputs'!O83)),IF('DealScope monthly model and pri'!J12="","",'DealScope monthly model and pri'!J12),"")</f>
      </c>
    </row>
    <row r="222">
      <c r="A222" t="inlineStr" s="16">
        <is>
          <t xml:space="preserve">Calculation</t>
        </is>
      </c>
      <c r="B222">
        <f>IF(IF(EXACT("Per audit — high",'Model inputs'!O83)="",FALSE,EXACT("Per audit — high",'Model inputs'!O83)),IF('DealScope monthly model and pri'!J13="","",'DealScope monthly model and pri'!J13),"")</f>
      </c>
    </row>
    <row r="223">
      <c r="A223" t="inlineStr" s="16">
        <is>
          <t xml:space="preserve">Calculation</t>
        </is>
      </c>
      <c r="B223">
        <f>IF(IF(EXACT("Per audit — low",'Model inputs'!O83)="",FALSE,EXACT("Per audit — low",'Model inputs'!O83)),IF('DealScope monthly model and pri'!J14="","",'DealScope monthly model and pri'!J14),"")</f>
      </c>
    </row>
    <row r="224">
      <c r="A224" t="inlineStr" s="16">
        <is>
          <t xml:space="preserve">Calculation</t>
        </is>
      </c>
      <c r="B224">
        <f>IF(IF(EXACT("Annual deal-team",'Model inputs'!O83)="",FALSE,EXACT("Annual deal-team",'Model inputs'!O83)),IF('DealScope monthly model and pri'!K10="","",'DealScope monthly model and pri'!K10),"")</f>
      </c>
    </row>
    <row r="225">
      <c r="A225" t="inlineStr" s="16">
        <is>
          <t xml:space="preserve">Calculation</t>
        </is>
      </c>
      <c r="B225">
        <f>IF(IF(EXACT("Hybrid",'Model inputs'!O83)="",FALSE,EXACT("Hybrid",'Model inputs'!O83)),IF('DealScope monthly model and pri'!K11="","",'DealScope monthly model and pri'!K11),"")</f>
      </c>
    </row>
    <row r="226">
      <c r="A226" t="inlineStr" s="16">
        <is>
          <t xml:space="preserve">Calculation</t>
        </is>
      </c>
      <c r="B226">
        <f>IF(IF(EXACT("Per audit — base",'Model inputs'!O83)="",FALSE,EXACT("Per audit — base",'Model inputs'!O83)),IF('DealScope monthly model and pri'!K12="","",'DealScope monthly model and pri'!K12),"")</f>
      </c>
    </row>
    <row r="227">
      <c r="A227" t="inlineStr" s="16">
        <is>
          <t xml:space="preserve">Calculation</t>
        </is>
      </c>
      <c r="B227">
        <f>IF(IF(EXACT("Per audit — high",'Model inputs'!O83)="",FALSE,EXACT("Per audit — high",'Model inputs'!O83)),IF('DealScope monthly model and pri'!K13="","",'DealScope monthly model and pri'!K13),"")</f>
      </c>
    </row>
    <row r="228">
      <c r="A228" t="inlineStr" s="16">
        <is>
          <t xml:space="preserve">Calculation</t>
        </is>
      </c>
      <c r="B228">
        <f>IF(IF(EXACT("Per audit — low",'Model inputs'!O83)="",FALSE,EXACT("Per audit — low",'Model inputs'!O83)),IF('DealScope monthly model and pri'!K14="","",'DealScope monthly model and pri'!K14),"")</f>
      </c>
    </row>
    <row r="229">
      <c r="A229" t="inlineStr" s="16">
        <is>
          <t xml:space="preserve">Calculation</t>
        </is>
      </c>
      <c r="B229">
        <f>IF(IF(EXACT("Annual deal-team",'Model inputs'!O83)="",FALSE,EXACT("Annual deal-team",'Model inputs'!O83)),IF('DealScope monthly model and pri'!L10="","",'DealScope monthly model and pri'!L10),"")</f>
      </c>
    </row>
    <row r="230">
      <c r="A230" t="inlineStr" s="16">
        <is>
          <t xml:space="preserve">Calculation</t>
        </is>
      </c>
      <c r="B230">
        <f>IF(IF(EXACT("Hybrid",'Model inputs'!O83)="",FALSE,EXACT("Hybrid",'Model inputs'!O83)),IF('DealScope monthly model and pri'!L11="","",'DealScope monthly model and pri'!L11),"")</f>
      </c>
    </row>
    <row r="231">
      <c r="A231" t="inlineStr" s="16">
        <is>
          <t xml:space="preserve">Calculation</t>
        </is>
      </c>
      <c r="B231">
        <f>IF(IF(EXACT("Per audit — base",'Model inputs'!O83)="",FALSE,EXACT("Per audit — base",'Model inputs'!O83)),IF('DealScope monthly model and pri'!L12="","",'DealScope monthly model and pri'!L12),"")</f>
      </c>
    </row>
    <row r="232">
      <c r="A232" t="inlineStr" s="16">
        <is>
          <t xml:space="preserve">Calculation</t>
        </is>
      </c>
      <c r="B232">
        <f>IF(IF(EXACT("Per audit — high",'Model inputs'!O83)="",FALSE,EXACT("Per audit — high",'Model inputs'!O83)),IF('DealScope monthly model and pri'!L13="","",'DealScope monthly model and pri'!L13),"")</f>
      </c>
    </row>
    <row r="233">
      <c r="A233" t="inlineStr" s="16">
        <is>
          <t xml:space="preserve">Calculation</t>
        </is>
      </c>
      <c r="B233">
        <f>IF(IF(EXACT("Per audit — low",'Model inputs'!O83)="",FALSE,EXACT("Per audit — low",'Model inputs'!O83)),IF('DealScope monthly model and pri'!L14="","",'DealScope monthly model and pri'!L14),"")</f>
      </c>
    </row>
    <row r="234">
      <c r="A234" t="inlineStr" s="16">
        <is>
          <t xml:space="preserve">Calculation</t>
        </is>
      </c>
      <c r="B234">
        <f>IF(IF(EXACT("Annual deal-team",'Model inputs'!O83)="",FALSE,EXACT("Annual deal-team",'Model inputs'!O83)),IF('DealScope monthly model and pri'!M10="","",'DealScope monthly model and pri'!M10),"")</f>
      </c>
    </row>
    <row r="235">
      <c r="A235" t="inlineStr" s="16">
        <is>
          <t xml:space="preserve">Calculation</t>
        </is>
      </c>
      <c r="B235">
        <f>IF(IF(EXACT("Hybrid",'Model inputs'!O83)="",FALSE,EXACT("Hybrid",'Model inputs'!O83)),IF('DealScope monthly model and pri'!M11="","",'DealScope monthly model and pri'!M11),"")</f>
      </c>
    </row>
    <row r="236">
      <c r="A236" t="inlineStr" s="16">
        <is>
          <t xml:space="preserve">Calculation</t>
        </is>
      </c>
      <c r="B236">
        <f>IF(IF(EXACT("Per audit — base",'Model inputs'!O83)="",FALSE,EXACT("Per audit — base",'Model inputs'!O83)),IF('DealScope monthly model and pri'!M12="","",'DealScope monthly model and pri'!M12),"")</f>
      </c>
    </row>
    <row r="237">
      <c r="A237" t="inlineStr" s="16">
        <is>
          <t xml:space="preserve">Calculation</t>
        </is>
      </c>
      <c r="B237">
        <f>IF(IF(EXACT("Per audit — high",'Model inputs'!O83)="",FALSE,EXACT("Per audit — high",'Model inputs'!O83)),IF('DealScope monthly model and pri'!M13="","",'DealScope monthly model and pri'!M13),"")</f>
      </c>
    </row>
    <row r="238">
      <c r="A238" t="inlineStr" s="16">
        <is>
          <t xml:space="preserve">Calculation</t>
        </is>
      </c>
      <c r="B238">
        <f>IF(IF(EXACT("Per audit — low",'Model inputs'!O83)="",FALSE,EXACT("Per audit — low",'Model inputs'!O83)),IF('DealScope monthly model and pri'!M14="","",'DealScope monthly model and pri'!M14),"")</f>
      </c>
    </row>
    <row r="239">
      <c r="A239" t="inlineStr" s="16">
        <is>
          <t xml:space="preserve">Calculation</t>
        </is>
      </c>
      <c r="B239">
        <f>IF(IF(EXACT("Annual deal-team",'Model inputs'!O83)="",FALSE,EXACT("Annual deal-team",'Model inputs'!O83)),IF('DealScope monthly model and pri'!B16="","",'DealScope monthly model and pri'!B16),"")</f>
      </c>
    </row>
    <row r="240">
      <c r="A240" t="inlineStr" s="16">
        <is>
          <t xml:space="preserve">Calculation</t>
        </is>
      </c>
      <c r="B240">
        <f>IF(IF(EXACT("Hybrid",'Model inputs'!O83)="",FALSE,EXACT("Hybrid",'Model inputs'!O83)),IF('DealScope monthly model and pri'!B17="","",'DealScope monthly model and pri'!B17),"")</f>
      </c>
    </row>
    <row r="241">
      <c r="A241" t="inlineStr" s="16">
        <is>
          <t xml:space="preserve">Calculation</t>
        </is>
      </c>
      <c r="B241">
        <f>IF(IF(EXACT("Per audit — base",'Model inputs'!O83)="",FALSE,EXACT("Per audit — base",'Model inputs'!O83)),IF('DealScope monthly model and pri'!B18="","",'DealScope monthly model and pri'!B18),"")</f>
      </c>
    </row>
    <row r="242">
      <c r="A242" t="inlineStr" s="16">
        <is>
          <t xml:space="preserve">Calculation</t>
        </is>
      </c>
      <c r="B242">
        <f>IF(IF(EXACT("Per audit — high",'Model inputs'!O83)="",FALSE,EXACT("Per audit — high",'Model inputs'!O83)),IF('DealScope monthly model and pri'!B19="","",'DealScope monthly model and pri'!B19),"")</f>
      </c>
    </row>
    <row r="243">
      <c r="A243" t="inlineStr" s="16">
        <is>
          <t xml:space="preserve">Calculation</t>
        </is>
      </c>
      <c r="B243">
        <f>IF(IF(EXACT("Per audit — low",'Model inputs'!O83)="",FALSE,EXACT("Per audit — low",'Model inputs'!O83)),IF('DealScope monthly model and pri'!B20="","",'DealScope monthly model and pri'!B20),"")</f>
      </c>
    </row>
    <row r="244">
      <c r="A244" t="inlineStr" s="16">
        <is>
          <t xml:space="preserve">Calculation</t>
        </is>
      </c>
      <c r="B244">
        <f>IF(IF(EXACT("Annual deal-team",'Model inputs'!O83)="",FALSE,EXACT("Annual deal-team",'Model inputs'!O83)),IF('DealScope monthly model and pri'!C16="","",'DealScope monthly model and pri'!C16),"")</f>
      </c>
    </row>
    <row r="245">
      <c r="A245" t="inlineStr" s="16">
        <is>
          <t xml:space="preserve">Calculation</t>
        </is>
      </c>
      <c r="B245">
        <f>IF(IF(EXACT("Hybrid",'Model inputs'!O83)="",FALSE,EXACT("Hybrid",'Model inputs'!O83)),IF('DealScope monthly model and pri'!C17="","",'DealScope monthly model and pri'!C17),"")</f>
      </c>
    </row>
    <row r="246">
      <c r="A246" t="inlineStr" s="16">
        <is>
          <t xml:space="preserve">Calculation</t>
        </is>
      </c>
      <c r="B246">
        <f>IF(IF(EXACT("Per audit — base",'Model inputs'!O83)="",FALSE,EXACT("Per audit — base",'Model inputs'!O83)),IF('DealScope monthly model and pri'!C18="","",'DealScope monthly model and pri'!C18),"")</f>
      </c>
    </row>
    <row r="247">
      <c r="A247" t="inlineStr" s="16">
        <is>
          <t xml:space="preserve">Calculation</t>
        </is>
      </c>
      <c r="B247">
        <f>IF(IF(EXACT("Per audit — high",'Model inputs'!O83)="",FALSE,EXACT("Per audit — high",'Model inputs'!O83)),IF('DealScope monthly model and pri'!C19="","",'DealScope monthly model and pri'!C19),"")</f>
      </c>
    </row>
    <row r="248">
      <c r="A248" t="inlineStr" s="16">
        <is>
          <t xml:space="preserve">Calculation</t>
        </is>
      </c>
      <c r="B248">
        <f>IF(IF(EXACT("Per audit — low",'Model inputs'!O83)="",FALSE,EXACT("Per audit — low",'Model inputs'!O83)),IF('DealScope monthly model and pri'!C20="","",'DealScope monthly model and pri'!C20),"")</f>
      </c>
    </row>
    <row r="249">
      <c r="A249" t="inlineStr" s="16">
        <is>
          <t xml:space="preserve">Calculation</t>
        </is>
      </c>
      <c r="B249">
        <f>IF(IF(EXACT("Annual deal-team",'Model inputs'!O83)="",FALSE,EXACT("Annual deal-team",'Model inputs'!O83)),IF('DealScope monthly model and pri'!D16="","",'DealScope monthly model and pri'!D16),"")</f>
      </c>
    </row>
    <row r="250">
      <c r="A250" t="inlineStr" s="16">
        <is>
          <t xml:space="preserve">Calculation</t>
        </is>
      </c>
      <c r="B250">
        <f>IF(IF(EXACT("Hybrid",'Model inputs'!O83)="",FALSE,EXACT("Hybrid",'Model inputs'!O83)),IF('DealScope monthly model and pri'!D17="","",'DealScope monthly model and pri'!D17),"")</f>
      </c>
    </row>
    <row r="251">
      <c r="A251" t="inlineStr" s="16">
        <is>
          <t xml:space="preserve">Calculation</t>
        </is>
      </c>
      <c r="B251">
        <f>IF(IF(EXACT("Per audit — base",'Model inputs'!O83)="",FALSE,EXACT("Per audit — base",'Model inputs'!O83)),IF('DealScope monthly model and pri'!D18="","",'DealScope monthly model and pri'!D18),"")</f>
      </c>
    </row>
    <row r="252">
      <c r="A252" t="inlineStr" s="16">
        <is>
          <t xml:space="preserve">Calculation</t>
        </is>
      </c>
      <c r="B252">
        <f>IF(IF(EXACT("Per audit — high",'Model inputs'!O83)="",FALSE,EXACT("Per audit — high",'Model inputs'!O83)),IF('DealScope monthly model and pri'!D19="","",'DealScope monthly model and pri'!D19),"")</f>
      </c>
    </row>
    <row r="253">
      <c r="A253" t="inlineStr" s="16">
        <is>
          <t xml:space="preserve">Calculation</t>
        </is>
      </c>
      <c r="B253">
        <f>IF(IF(EXACT("Per audit — low",'Model inputs'!O83)="",FALSE,EXACT("Per audit — low",'Model inputs'!O83)),IF('DealScope monthly model and pri'!D20="","",'DealScope monthly model and pri'!D20),"")</f>
      </c>
    </row>
    <row r="254">
      <c r="A254" t="inlineStr" s="16">
        <is>
          <t xml:space="preserve">Calculation</t>
        </is>
      </c>
      <c r="B254">
        <f>IF(IF(EXACT("Annual deal-team",'Model inputs'!O83)="",FALSE,EXACT("Annual deal-team",'Model inputs'!O83)),IF('DealScope monthly model and pri'!E16="","",'DealScope monthly model and pri'!E16),"")</f>
      </c>
    </row>
    <row r="255">
      <c r="A255" t="inlineStr" s="16">
        <is>
          <t xml:space="preserve">Calculation</t>
        </is>
      </c>
      <c r="B255">
        <f>IF(IF(EXACT("Hybrid",'Model inputs'!O83)="",FALSE,EXACT("Hybrid",'Model inputs'!O83)),IF('DealScope monthly model and pri'!E17="","",'DealScope monthly model and pri'!E17),"")</f>
      </c>
    </row>
    <row r="256">
      <c r="A256" t="inlineStr" s="16">
        <is>
          <t xml:space="preserve">Calculation</t>
        </is>
      </c>
      <c r="B256">
        <f>IF(IF(EXACT("Per audit — base",'Model inputs'!O83)="",FALSE,EXACT("Per audit — base",'Model inputs'!O83)),IF('DealScope monthly model and pri'!E18="","",'DealScope monthly model and pri'!E18),"")</f>
      </c>
    </row>
    <row r="257">
      <c r="A257" t="inlineStr" s="16">
        <is>
          <t xml:space="preserve">Calculation</t>
        </is>
      </c>
      <c r="B257">
        <f>IF(IF(EXACT("Per audit — high",'Model inputs'!O83)="",FALSE,EXACT("Per audit — high",'Model inputs'!O83)),IF('DealScope monthly model and pri'!E19="","",'DealScope monthly model and pri'!E19),"")</f>
      </c>
    </row>
    <row r="258">
      <c r="A258" t="inlineStr" s="16">
        <is>
          <t xml:space="preserve">Calculation</t>
        </is>
      </c>
      <c r="B258">
        <f>IF(IF(EXACT("Per audit — low",'Model inputs'!O83)="",FALSE,EXACT("Per audit — low",'Model inputs'!O83)),IF('DealScope monthly model and pri'!E20="","",'DealScope monthly model and pri'!E20),"")</f>
      </c>
    </row>
    <row r="259">
      <c r="A259" t="inlineStr" s="16">
        <is>
          <t xml:space="preserve">Calculation</t>
        </is>
      </c>
      <c r="B259">
        <f>IF(IF(EXACT("Annual deal-team",'Model inputs'!O83)="",FALSE,EXACT("Annual deal-team",'Model inputs'!O83)),IF('DealScope monthly model and pri'!F16="","",'DealScope monthly model and pri'!F16),"")</f>
      </c>
    </row>
    <row r="260">
      <c r="A260" t="inlineStr" s="16">
        <is>
          <t xml:space="preserve">Calculation</t>
        </is>
      </c>
      <c r="B260">
        <f>IF(IF(EXACT("Hybrid",'Model inputs'!O83)="",FALSE,EXACT("Hybrid",'Model inputs'!O83)),IF('DealScope monthly model and pri'!F17="","",'DealScope monthly model and pri'!F17),"")</f>
      </c>
    </row>
    <row r="261">
      <c r="A261" t="inlineStr" s="16">
        <is>
          <t xml:space="preserve">Calculation</t>
        </is>
      </c>
      <c r="B261">
        <f>IF(IF(EXACT("Per audit — base",'Model inputs'!O83)="",FALSE,EXACT("Per audit — base",'Model inputs'!O83)),IF('DealScope monthly model and pri'!F18="","",'DealScope monthly model and pri'!F18),"")</f>
      </c>
    </row>
    <row r="262">
      <c r="A262" t="inlineStr" s="16">
        <is>
          <t xml:space="preserve">Calculation</t>
        </is>
      </c>
      <c r="B262">
        <f>IF(IF(EXACT("Per audit — high",'Model inputs'!O83)="",FALSE,EXACT("Per audit — high",'Model inputs'!O83)),IF('DealScope monthly model and pri'!F19="","",'DealScope monthly model and pri'!F19),"")</f>
      </c>
    </row>
    <row r="263">
      <c r="A263" t="inlineStr" s="16">
        <is>
          <t xml:space="preserve">Calculation</t>
        </is>
      </c>
      <c r="B263">
        <f>IF(IF(EXACT("Per audit — low",'Model inputs'!O83)="",FALSE,EXACT("Per audit — low",'Model inputs'!O83)),IF('DealScope monthly model and pri'!F20="","",'DealScope monthly model and pri'!F20),"")</f>
      </c>
    </row>
    <row r="264">
      <c r="A264" t="inlineStr" s="16">
        <is>
          <t xml:space="preserve">Calculation</t>
        </is>
      </c>
      <c r="B264">
        <f>IF(IF(EXACT("Annual deal-team",'Model inputs'!O83)="",FALSE,EXACT("Annual deal-team",'Model inputs'!O83)),IF('DealScope monthly model and pri'!G16="","",'DealScope monthly model and pri'!G16),"")</f>
      </c>
    </row>
    <row r="265">
      <c r="A265" t="inlineStr" s="16">
        <is>
          <t xml:space="preserve">Calculation</t>
        </is>
      </c>
      <c r="B265">
        <f>IF(IF(EXACT("Hybrid",'Model inputs'!O83)="",FALSE,EXACT("Hybrid",'Model inputs'!O83)),IF('DealScope monthly model and pri'!G17="","",'DealScope monthly model and pri'!G17),"")</f>
      </c>
    </row>
    <row r="266">
      <c r="A266" t="inlineStr" s="16">
        <is>
          <t xml:space="preserve">Calculation</t>
        </is>
      </c>
      <c r="B266">
        <f>IF(IF(EXACT("Per audit — base",'Model inputs'!O83)="",FALSE,EXACT("Per audit — base",'Model inputs'!O83)),IF('DealScope monthly model and pri'!G18="","",'DealScope monthly model and pri'!G18),"")</f>
      </c>
    </row>
    <row r="267">
      <c r="A267" t="inlineStr" s="16">
        <is>
          <t xml:space="preserve">Calculation</t>
        </is>
      </c>
      <c r="B267">
        <f>IF(IF(EXACT("Per audit — high",'Model inputs'!O83)="",FALSE,EXACT("Per audit — high",'Model inputs'!O83)),IF('DealScope monthly model and pri'!G19="","",'DealScope monthly model and pri'!G19),"")</f>
      </c>
    </row>
    <row r="268">
      <c r="A268" t="inlineStr" s="16">
        <is>
          <t xml:space="preserve">Calculation</t>
        </is>
      </c>
      <c r="B268">
        <f>IF(IF(EXACT("Per audit — low",'Model inputs'!O83)="",FALSE,EXACT("Per audit — low",'Model inputs'!O83)),IF('DealScope monthly model and pri'!G20="","",'DealScope monthly model and pri'!G20),"")</f>
      </c>
    </row>
    <row r="269">
      <c r="A269" t="inlineStr" s="16">
        <is>
          <t xml:space="preserve">Calculation</t>
        </is>
      </c>
      <c r="B269">
        <f>IF(IF(EXACT("Annual deal-team",'Model inputs'!O83)="",FALSE,EXACT("Annual deal-team",'Model inputs'!O83)),IF('DealScope monthly model and pri'!H16="","",'DealScope monthly model and pri'!H16),"")</f>
      </c>
    </row>
    <row r="270">
      <c r="A270" t="inlineStr" s="16">
        <is>
          <t xml:space="preserve">Calculation</t>
        </is>
      </c>
      <c r="B270">
        <f>IF(IF(EXACT("Hybrid",'Model inputs'!O83)="",FALSE,EXACT("Hybrid",'Model inputs'!O83)),IF('DealScope monthly model and pri'!H17="","",'DealScope monthly model and pri'!H17),"")</f>
      </c>
    </row>
    <row r="271">
      <c r="A271" t="inlineStr" s="16">
        <is>
          <t xml:space="preserve">Calculation</t>
        </is>
      </c>
      <c r="B271">
        <f>IF(IF(EXACT("Per audit — base",'Model inputs'!O83)="",FALSE,EXACT("Per audit — base",'Model inputs'!O83)),IF('DealScope monthly model and pri'!H18="","",'DealScope monthly model and pri'!H18),"")</f>
      </c>
    </row>
    <row r="272">
      <c r="A272" t="inlineStr" s="16">
        <is>
          <t xml:space="preserve">Calculation</t>
        </is>
      </c>
      <c r="B272">
        <f>IF(IF(EXACT("Per audit — high",'Model inputs'!O83)="",FALSE,EXACT("Per audit — high",'Model inputs'!O83)),IF('DealScope monthly model and pri'!H19="","",'DealScope monthly model and pri'!H19),"")</f>
      </c>
    </row>
    <row r="273">
      <c r="A273" t="inlineStr" s="16">
        <is>
          <t xml:space="preserve">Calculation</t>
        </is>
      </c>
      <c r="B273">
        <f>IF(IF(EXACT("Per audit — low",'Model inputs'!O83)="",FALSE,EXACT("Per audit — low",'Model inputs'!O83)),IF('DealScope monthly model and pri'!H20="","",'DealScope monthly model and pri'!H20),"")</f>
      </c>
    </row>
    <row r="274">
      <c r="A274" t="inlineStr" s="16">
        <is>
          <t xml:space="preserve">Calculation</t>
        </is>
      </c>
      <c r="B274">
        <f>IF(IF(EXACT("Annual deal-team",'Model inputs'!O83)="",FALSE,EXACT("Annual deal-team",'Model inputs'!O83)),IF('DealScope monthly model and pri'!I16="","",'DealScope monthly model and pri'!I16),"")</f>
      </c>
    </row>
    <row r="275">
      <c r="A275" t="inlineStr" s="16">
        <is>
          <t xml:space="preserve">Calculation</t>
        </is>
      </c>
      <c r="B275">
        <f>IF(IF(EXACT("Hybrid",'Model inputs'!O83)="",FALSE,EXACT("Hybrid",'Model inputs'!O83)),IF('DealScope monthly model and pri'!I17="","",'DealScope monthly model and pri'!I17),"")</f>
      </c>
    </row>
    <row r="276">
      <c r="A276" t="inlineStr" s="16">
        <is>
          <t xml:space="preserve">Calculation</t>
        </is>
      </c>
      <c r="B276">
        <f>IF(IF(EXACT("Per audit — base",'Model inputs'!O83)="",FALSE,EXACT("Per audit — base",'Model inputs'!O83)),IF('DealScope monthly model and pri'!I18="","",'DealScope monthly model and pri'!I18),"")</f>
      </c>
    </row>
    <row r="277">
      <c r="A277" t="inlineStr" s="16">
        <is>
          <t xml:space="preserve">Calculation</t>
        </is>
      </c>
      <c r="B277">
        <f>IF(IF(EXACT("Per audit — high",'Model inputs'!O83)="",FALSE,EXACT("Per audit — high",'Model inputs'!O83)),IF('DealScope monthly model and pri'!I19="","",'DealScope monthly model and pri'!I19),"")</f>
      </c>
    </row>
    <row r="278">
      <c r="A278" t="inlineStr" s="16">
        <is>
          <t xml:space="preserve">Calculation</t>
        </is>
      </c>
      <c r="B278">
        <f>IF(IF(EXACT("Per audit — low",'Model inputs'!O83)="",FALSE,EXACT("Per audit — low",'Model inputs'!O83)),IF('DealScope monthly model and pri'!I20="","",'DealScope monthly model and pri'!I20),"")</f>
      </c>
    </row>
    <row r="279">
      <c r="A279" t="inlineStr" s="16">
        <is>
          <t xml:space="preserve">Calculation</t>
        </is>
      </c>
      <c r="B279">
        <f>IF(IF(EXACT("Annual deal-team",'Model inputs'!O83)="",FALSE,EXACT("Annual deal-team",'Model inputs'!O83)),IF('DealScope monthly model and pri'!J16="","",'DealScope monthly model and pri'!J16),"")</f>
      </c>
    </row>
    <row r="280">
      <c r="A280" t="inlineStr" s="16">
        <is>
          <t xml:space="preserve">Calculation</t>
        </is>
      </c>
      <c r="B280">
        <f>IF(IF(EXACT("Hybrid",'Model inputs'!O83)="",FALSE,EXACT("Hybrid",'Model inputs'!O83)),IF('DealScope monthly model and pri'!J17="","",'DealScope monthly model and pri'!J17),"")</f>
      </c>
    </row>
    <row r="281">
      <c r="A281" t="inlineStr" s="16">
        <is>
          <t xml:space="preserve">Calculation</t>
        </is>
      </c>
      <c r="B281">
        <f>IF(IF(EXACT("Per audit — base",'Model inputs'!O83)="",FALSE,EXACT("Per audit — base",'Model inputs'!O83)),IF('DealScope monthly model and pri'!J18="","",'DealScope monthly model and pri'!J18),"")</f>
      </c>
    </row>
    <row r="282">
      <c r="A282" t="inlineStr" s="16">
        <is>
          <t xml:space="preserve">Calculation</t>
        </is>
      </c>
      <c r="B282">
        <f>IF(IF(EXACT("Per audit — high",'Model inputs'!O83)="",FALSE,EXACT("Per audit — high",'Model inputs'!O83)),IF('DealScope monthly model and pri'!J19="","",'DealScope monthly model and pri'!J19),"")</f>
      </c>
    </row>
    <row r="283">
      <c r="A283" t="inlineStr" s="16">
        <is>
          <t xml:space="preserve">Calculation</t>
        </is>
      </c>
      <c r="B283">
        <f>IF(IF(EXACT("Per audit — low",'Model inputs'!O83)="",FALSE,EXACT("Per audit — low",'Model inputs'!O83)),IF('DealScope monthly model and pri'!J20="","",'DealScope monthly model and pri'!J20),"")</f>
      </c>
    </row>
    <row r="284">
      <c r="A284" t="inlineStr" s="16">
        <is>
          <t xml:space="preserve">Calculation</t>
        </is>
      </c>
      <c r="B284">
        <f>IF(IF(EXACT("Annual deal-team",'Model inputs'!O83)="",FALSE,EXACT("Annual deal-team",'Model inputs'!O83)),IF('DealScope monthly model and pri'!K16="","",'DealScope monthly model and pri'!K16),"")</f>
      </c>
    </row>
    <row r="285">
      <c r="A285" t="inlineStr" s="16">
        <is>
          <t xml:space="preserve">Calculation</t>
        </is>
      </c>
      <c r="B285">
        <f>IF(IF(EXACT("Hybrid",'Model inputs'!O83)="",FALSE,EXACT("Hybrid",'Model inputs'!O83)),IF('DealScope monthly model and pri'!K17="","",'DealScope monthly model and pri'!K17),"")</f>
      </c>
    </row>
    <row r="286">
      <c r="A286" t="inlineStr" s="16">
        <is>
          <t xml:space="preserve">Calculation</t>
        </is>
      </c>
      <c r="B286">
        <f>IF(IF(EXACT("Per audit — base",'Model inputs'!O83)="",FALSE,EXACT("Per audit — base",'Model inputs'!O83)),IF('DealScope monthly model and pri'!K18="","",'DealScope monthly model and pri'!K18),"")</f>
      </c>
    </row>
    <row r="287">
      <c r="A287" t="inlineStr" s="16">
        <is>
          <t xml:space="preserve">Calculation</t>
        </is>
      </c>
      <c r="B287">
        <f>IF(IF(EXACT("Per audit — high",'Model inputs'!O83)="",FALSE,EXACT("Per audit — high",'Model inputs'!O83)),IF('DealScope monthly model and pri'!K19="","",'DealScope monthly model and pri'!K19),"")</f>
      </c>
    </row>
    <row r="288">
      <c r="A288" t="inlineStr" s="16">
        <is>
          <t xml:space="preserve">Calculation</t>
        </is>
      </c>
      <c r="B288">
        <f>IF(IF(EXACT("Per audit — low",'Model inputs'!O83)="",FALSE,EXACT("Per audit — low",'Model inputs'!O83)),IF('DealScope monthly model and pri'!K20="","",'DealScope monthly model and pri'!K20),"")</f>
      </c>
    </row>
    <row r="289">
      <c r="A289" t="inlineStr" s="16">
        <is>
          <t xml:space="preserve">Calculation</t>
        </is>
      </c>
      <c r="B289">
        <f>IF(IF(EXACT("Annual deal-team",'Model inputs'!O83)="",FALSE,EXACT("Annual deal-team",'Model inputs'!O83)),IF('DealScope monthly model and pri'!L16="","",'DealScope monthly model and pri'!L16),"")</f>
      </c>
    </row>
    <row r="290">
      <c r="A290" t="inlineStr" s="16">
        <is>
          <t xml:space="preserve">Calculation</t>
        </is>
      </c>
      <c r="B290">
        <f>IF(IF(EXACT("Hybrid",'Model inputs'!O83)="",FALSE,EXACT("Hybrid",'Model inputs'!O83)),IF('DealScope monthly model and pri'!L17="","",'DealScope monthly model and pri'!L17),"")</f>
      </c>
    </row>
    <row r="291">
      <c r="A291" t="inlineStr" s="16">
        <is>
          <t xml:space="preserve">Calculation</t>
        </is>
      </c>
      <c r="B291">
        <f>IF(IF(EXACT("Per audit — base",'Model inputs'!O83)="",FALSE,EXACT("Per audit — base",'Model inputs'!O83)),IF('DealScope monthly model and pri'!L18="","",'DealScope monthly model and pri'!L18),"")</f>
      </c>
    </row>
    <row r="292">
      <c r="A292" t="inlineStr" s="16">
        <is>
          <t xml:space="preserve">Calculation</t>
        </is>
      </c>
      <c r="B292">
        <f>IF(IF(EXACT("Per audit — high",'Model inputs'!O83)="",FALSE,EXACT("Per audit — high",'Model inputs'!O83)),IF('DealScope monthly model and pri'!L19="","",'DealScope monthly model and pri'!L19),"")</f>
      </c>
    </row>
    <row r="293">
      <c r="A293" t="inlineStr" s="16">
        <is>
          <t xml:space="preserve">Calculation</t>
        </is>
      </c>
      <c r="B293">
        <f>IF(IF(EXACT("Per audit — low",'Model inputs'!O83)="",FALSE,EXACT("Per audit — low",'Model inputs'!O83)),IF('DealScope monthly model and pri'!L20="","",'DealScope monthly model and pri'!L20),"")</f>
      </c>
    </row>
    <row r="294">
      <c r="A294" t="inlineStr" s="16">
        <is>
          <t xml:space="preserve">Calculation</t>
        </is>
      </c>
      <c r="B294">
        <f>IF(IF(EXACT("Annual deal-team",'Model inputs'!O83)="",FALSE,EXACT("Annual deal-team",'Model inputs'!O83)),IF('DealScope monthly model and pri'!M16="","",'DealScope monthly model and pri'!M16),"")</f>
      </c>
    </row>
    <row r="295">
      <c r="A295" t="inlineStr" s="16">
        <is>
          <t xml:space="preserve">Calculation</t>
        </is>
      </c>
      <c r="B295">
        <f>IF(IF(EXACT("Hybrid",'Model inputs'!O83)="",FALSE,EXACT("Hybrid",'Model inputs'!O83)),IF('DealScope monthly model and pri'!M17="","",'DealScope monthly model and pri'!M17),"")</f>
      </c>
    </row>
    <row r="296">
      <c r="A296" t="inlineStr" s="16">
        <is>
          <t xml:space="preserve">Calculation</t>
        </is>
      </c>
      <c r="B296">
        <f>IF(IF(EXACT("Per audit — base",'Model inputs'!O83)="",FALSE,EXACT("Per audit — base",'Model inputs'!O83)),IF('DealScope monthly model and pri'!M18="","",'DealScope monthly model and pri'!M18),"")</f>
      </c>
    </row>
    <row r="297">
      <c r="A297" t="inlineStr" s="16">
        <is>
          <t xml:space="preserve">Calculation</t>
        </is>
      </c>
      <c r="B297">
        <f>IF(IF(EXACT("Per audit — high",'Model inputs'!O83)="",FALSE,EXACT("Per audit — high",'Model inputs'!O83)),IF('DealScope monthly model and pri'!M19="","",'DealScope monthly model and pri'!M19),"")</f>
      </c>
    </row>
    <row r="298">
      <c r="A298" t="inlineStr" s="16">
        <is>
          <t xml:space="preserve">Calculation</t>
        </is>
      </c>
      <c r="B298">
        <f>IF(IF(EXACT("Per audit — low",'Model inputs'!O83)="",FALSE,EXACT("Per audit — low",'Model inputs'!O83)),IF('DealScope monthly model and pri'!M20="","",'DealScope monthly model and pri'!M20),"")</f>
      </c>
    </row>
    <row r="299">
      <c r="A299" t="inlineStr" s="16">
        <is>
          <t xml:space="preserve">Calculation</t>
        </is>
      </c>
      <c r="B299">
        <f>IF(IF(EXACT("Annual deal-team",'Model inputs'!O83)="",FALSE,EXACT("Annual deal-team",'Model inputs'!O83)),IF('DealScope monthly model and pri'!B22="","",'DealScope monthly model and pri'!B22),"")</f>
      </c>
    </row>
    <row r="300">
      <c r="A300" t="inlineStr" s="16">
        <is>
          <t xml:space="preserve">Calculation</t>
        </is>
      </c>
      <c r="B300">
        <f>IF(IF(EXACT("Hybrid",'Model inputs'!O83)="",FALSE,EXACT("Hybrid",'Model inputs'!O83)),IF('DealScope monthly model and pri'!B23="","",'DealScope monthly model and pri'!B23),"")</f>
      </c>
    </row>
    <row r="301">
      <c r="A301" t="inlineStr" s="16">
        <is>
          <t xml:space="preserve">Calculation</t>
        </is>
      </c>
      <c r="B301">
        <f>IF(IF(EXACT("Per audit — base",'Model inputs'!O83)="",FALSE,EXACT("Per audit — base",'Model inputs'!O83)),IF('DealScope monthly model and pri'!B24="","",'DealScope monthly model and pri'!B24),"")</f>
      </c>
    </row>
    <row r="302">
      <c r="A302" t="inlineStr" s="16">
        <is>
          <t xml:space="preserve">Calculation</t>
        </is>
      </c>
      <c r="B302">
        <f>IF(IF(EXACT("Per audit — high",'Model inputs'!O83)="",FALSE,EXACT("Per audit — high",'Model inputs'!O83)),IF('DealScope monthly model and pri'!B25="","",'DealScope monthly model and pri'!B25),"")</f>
      </c>
    </row>
    <row r="303">
      <c r="A303" t="inlineStr" s="16">
        <is>
          <t xml:space="preserve">Calculation</t>
        </is>
      </c>
      <c r="B303">
        <f>IF(IF(EXACT("Per audit — low",'Model inputs'!O83)="",FALSE,EXACT("Per audit — low",'Model inputs'!O83)),IF('DealScope monthly model and pri'!B26="","",'DealScope monthly model and pri'!B26),"")</f>
      </c>
    </row>
    <row r="304">
      <c r="A304" t="inlineStr" s="16">
        <is>
          <t xml:space="preserve">Calculation</t>
        </is>
      </c>
      <c r="B304">
        <f>IF(IF(EXACT("Annual deal-team",'Model inputs'!O83)="",FALSE,EXACT("Annual deal-team",'Model inputs'!O83)),IF('DealScope monthly model and pri'!C22="","",'DealScope monthly model and pri'!C22),"")</f>
      </c>
    </row>
    <row r="305">
      <c r="A305" t="inlineStr" s="16">
        <is>
          <t xml:space="preserve">Calculation</t>
        </is>
      </c>
      <c r="B305">
        <f>IF(IF(EXACT("Hybrid",'Model inputs'!O83)="",FALSE,EXACT("Hybrid",'Model inputs'!O83)),IF('DealScope monthly model and pri'!C23="","",'DealScope monthly model and pri'!C23),"")</f>
      </c>
    </row>
    <row r="306">
      <c r="A306" t="inlineStr" s="16">
        <is>
          <t xml:space="preserve">Calculation</t>
        </is>
      </c>
      <c r="B306">
        <f>IF(IF(EXACT("Per audit — base",'Model inputs'!O83)="",FALSE,EXACT("Per audit — base",'Model inputs'!O83)),IF('DealScope monthly model and pri'!C24="","",'DealScope monthly model and pri'!C24),"")</f>
      </c>
    </row>
    <row r="307">
      <c r="A307" t="inlineStr" s="16">
        <is>
          <t xml:space="preserve">Calculation</t>
        </is>
      </c>
      <c r="B307">
        <f>IF(IF(EXACT("Per audit — high",'Model inputs'!O83)="",FALSE,EXACT("Per audit — high",'Model inputs'!O83)),IF('DealScope monthly model and pri'!C25="","",'DealScope monthly model and pri'!C25),"")</f>
      </c>
    </row>
    <row r="308">
      <c r="A308" t="inlineStr" s="16">
        <is>
          <t xml:space="preserve">Calculation</t>
        </is>
      </c>
      <c r="B308">
        <f>IF(IF(EXACT("Per audit — low",'Model inputs'!O83)="",FALSE,EXACT("Per audit — low",'Model inputs'!O83)),IF('DealScope monthly model and pri'!C26="","",'DealScope monthly model and pri'!C26),"")</f>
      </c>
    </row>
    <row r="309">
      <c r="A309" t="inlineStr" s="16">
        <is>
          <t xml:space="preserve">Calculation</t>
        </is>
      </c>
      <c r="B309">
        <f>IF(IF(EXACT("Annual deal-team",'Model inputs'!O83)="",FALSE,EXACT("Annual deal-team",'Model inputs'!O83)),IF('DealScope monthly model and pri'!D22="","",'DealScope monthly model and pri'!D22),"")</f>
      </c>
    </row>
    <row r="310">
      <c r="A310" t="inlineStr" s="16">
        <is>
          <t xml:space="preserve">Calculation</t>
        </is>
      </c>
      <c r="B310">
        <f>IF(IF(EXACT("Hybrid",'Model inputs'!O83)="",FALSE,EXACT("Hybrid",'Model inputs'!O83)),IF('DealScope monthly model and pri'!D23="","",'DealScope monthly model and pri'!D23),"")</f>
      </c>
    </row>
    <row r="311">
      <c r="A311" t="inlineStr" s="16">
        <is>
          <t xml:space="preserve">Calculation</t>
        </is>
      </c>
      <c r="B311">
        <f>IF(IF(EXACT("Per audit — base",'Model inputs'!O83)="",FALSE,EXACT("Per audit — base",'Model inputs'!O83)),IF('DealScope monthly model and pri'!D24="","",'DealScope monthly model and pri'!D24),"")</f>
      </c>
    </row>
    <row r="312">
      <c r="A312" t="inlineStr" s="16">
        <is>
          <t xml:space="preserve">Calculation</t>
        </is>
      </c>
      <c r="B312">
        <f>IF(IF(EXACT("Per audit — high",'Model inputs'!O83)="",FALSE,EXACT("Per audit — high",'Model inputs'!O83)),IF('DealScope monthly model and pri'!D25="","",'DealScope monthly model and pri'!D25),"")</f>
      </c>
    </row>
    <row r="313">
      <c r="A313" t="inlineStr" s="16">
        <is>
          <t xml:space="preserve">Calculation</t>
        </is>
      </c>
      <c r="B313">
        <f>IF(IF(EXACT("Per audit — low",'Model inputs'!O83)="",FALSE,EXACT("Per audit — low",'Model inputs'!O83)),IF('DealScope monthly model and pri'!D26="","",'DealScope monthly model and pri'!D26),"")</f>
      </c>
    </row>
    <row r="314">
      <c r="A314" t="inlineStr" s="16">
        <is>
          <t xml:space="preserve">Calculation</t>
        </is>
      </c>
      <c r="B314">
        <f>IF(IF(EXACT("Annual deal-team",'Model inputs'!O83)="",FALSE,EXACT("Annual deal-team",'Model inputs'!O83)),IF('DealScope monthly model and pri'!E22="","",'DealScope monthly model and pri'!E22),"")</f>
      </c>
    </row>
    <row r="315">
      <c r="A315" t="inlineStr" s="16">
        <is>
          <t xml:space="preserve">Calculation</t>
        </is>
      </c>
      <c r="B315">
        <f>IF(IF(EXACT("Hybrid",'Model inputs'!O83)="",FALSE,EXACT("Hybrid",'Model inputs'!O83)),IF('DealScope monthly model and pri'!E23="","",'DealScope monthly model and pri'!E23),"")</f>
      </c>
    </row>
    <row r="316">
      <c r="A316" t="inlineStr" s="16">
        <is>
          <t xml:space="preserve">Calculation</t>
        </is>
      </c>
      <c r="B316">
        <f>IF(IF(EXACT("Per audit — base",'Model inputs'!O83)="",FALSE,EXACT("Per audit — base",'Model inputs'!O83)),IF('DealScope monthly model and pri'!E24="","",'DealScope monthly model and pri'!E24),"")</f>
      </c>
    </row>
    <row r="317">
      <c r="A317" t="inlineStr" s="16">
        <is>
          <t xml:space="preserve">Calculation</t>
        </is>
      </c>
      <c r="B317">
        <f>IF(IF(EXACT("Per audit — high",'Model inputs'!O83)="",FALSE,EXACT("Per audit — high",'Model inputs'!O83)),IF('DealScope monthly model and pri'!E25="","",'DealScope monthly model and pri'!E25),"")</f>
      </c>
    </row>
    <row r="318">
      <c r="A318" t="inlineStr" s="16">
        <is>
          <t xml:space="preserve">Calculation</t>
        </is>
      </c>
      <c r="B318">
        <f>IF(IF(EXACT("Per audit — low",'Model inputs'!O83)="",FALSE,EXACT("Per audit — low",'Model inputs'!O83)),IF('DealScope monthly model and pri'!E26="","",'DealScope monthly model and pri'!E26),"")</f>
      </c>
    </row>
    <row r="319">
      <c r="A319" t="inlineStr" s="16">
        <is>
          <t xml:space="preserve">Calculation</t>
        </is>
      </c>
      <c r="B319">
        <f>IF(IF(EXACT("Annual deal-team",'Model inputs'!O83)="",FALSE,EXACT("Annual deal-team",'Model inputs'!O83)),IF('DealScope monthly model and pri'!F22="","",'DealScope monthly model and pri'!F22),"")</f>
      </c>
    </row>
    <row r="320">
      <c r="A320" t="inlineStr" s="16">
        <is>
          <t xml:space="preserve">Calculation</t>
        </is>
      </c>
      <c r="B320">
        <f>IF(IF(EXACT("Hybrid",'Model inputs'!O83)="",FALSE,EXACT("Hybrid",'Model inputs'!O83)),IF('DealScope monthly model and pri'!F23="","",'DealScope monthly model and pri'!F23),"")</f>
      </c>
    </row>
    <row r="321">
      <c r="A321" t="inlineStr" s="16">
        <is>
          <t xml:space="preserve">Calculation</t>
        </is>
      </c>
      <c r="B321">
        <f>IF(IF(EXACT("Per audit — base",'Model inputs'!O83)="",FALSE,EXACT("Per audit — base",'Model inputs'!O83)),IF('DealScope monthly model and pri'!F24="","",'DealScope monthly model and pri'!F24),"")</f>
      </c>
    </row>
    <row r="322">
      <c r="A322" t="inlineStr" s="16">
        <is>
          <t xml:space="preserve">Calculation</t>
        </is>
      </c>
      <c r="B322">
        <f>IF(IF(EXACT("Per audit — high",'Model inputs'!O83)="",FALSE,EXACT("Per audit — high",'Model inputs'!O83)),IF('DealScope monthly model and pri'!F25="","",'DealScope monthly model and pri'!F25),"")</f>
      </c>
    </row>
    <row r="323">
      <c r="A323" t="inlineStr" s="16">
        <is>
          <t xml:space="preserve">Calculation</t>
        </is>
      </c>
      <c r="B323">
        <f>IF(IF(EXACT("Per audit — low",'Model inputs'!O83)="",FALSE,EXACT("Per audit — low",'Model inputs'!O83)),IF('DealScope monthly model and pri'!F26="","",'DealScope monthly model and pri'!F26),"")</f>
      </c>
    </row>
    <row r="324">
      <c r="A324" t="inlineStr" s="16">
        <is>
          <t xml:space="preserve">Calculation</t>
        </is>
      </c>
      <c r="B324">
        <f>IF(IF(EXACT("Annual deal-team",'Model inputs'!O83)="",FALSE,EXACT("Annual deal-team",'Model inputs'!O83)),IF('DealScope monthly model and pri'!G22="","",'DealScope monthly model and pri'!G22),"")</f>
      </c>
    </row>
    <row r="325">
      <c r="A325" t="inlineStr" s="16">
        <is>
          <t xml:space="preserve">Calculation</t>
        </is>
      </c>
      <c r="B325">
        <f>IF(IF(EXACT("Hybrid",'Model inputs'!O83)="",FALSE,EXACT("Hybrid",'Model inputs'!O83)),IF('DealScope monthly model and pri'!G23="","",'DealScope monthly model and pri'!G23),"")</f>
      </c>
    </row>
    <row r="326">
      <c r="A326" t="inlineStr" s="16">
        <is>
          <t xml:space="preserve">Calculation</t>
        </is>
      </c>
      <c r="B326">
        <f>IF(IF(EXACT("Per audit — base",'Model inputs'!O83)="",FALSE,EXACT("Per audit — base",'Model inputs'!O83)),IF('DealScope monthly model and pri'!G24="","",'DealScope monthly model and pri'!G24),"")</f>
      </c>
    </row>
    <row r="327">
      <c r="A327" t="inlineStr" s="16">
        <is>
          <t xml:space="preserve">Calculation</t>
        </is>
      </c>
      <c r="B327">
        <f>IF(IF(EXACT("Per audit — high",'Model inputs'!O83)="",FALSE,EXACT("Per audit — high",'Model inputs'!O83)),IF('DealScope monthly model and pri'!G25="","",'DealScope monthly model and pri'!G25),"")</f>
      </c>
    </row>
    <row r="328">
      <c r="A328" t="inlineStr" s="16">
        <is>
          <t xml:space="preserve">Calculation</t>
        </is>
      </c>
      <c r="B328">
        <f>IF(IF(EXACT("Per audit — low",'Model inputs'!O83)="",FALSE,EXACT("Per audit — low",'Model inputs'!O83)),IF('DealScope monthly model and pri'!G26="","",'DealScope monthly model and pri'!G26),"")</f>
      </c>
    </row>
    <row r="329">
      <c r="A329" t="inlineStr" s="16">
        <is>
          <t xml:space="preserve">Calculation</t>
        </is>
      </c>
      <c r="B329">
        <f>IF(IF(EXACT("Annual deal-team",'Model inputs'!O83)="",FALSE,EXACT("Annual deal-team",'Model inputs'!O83)),IF('DealScope monthly model and pri'!H22="","",'DealScope monthly model and pri'!H22),"")</f>
      </c>
    </row>
    <row r="330">
      <c r="A330" t="inlineStr" s="16">
        <is>
          <t xml:space="preserve">Calculation</t>
        </is>
      </c>
      <c r="B330">
        <f>IF(IF(EXACT("Hybrid",'Model inputs'!O83)="",FALSE,EXACT("Hybrid",'Model inputs'!O83)),IF('DealScope monthly model and pri'!H23="","",'DealScope monthly model and pri'!H23),"")</f>
      </c>
    </row>
    <row r="331">
      <c r="A331" t="inlineStr" s="16">
        <is>
          <t xml:space="preserve">Calculation</t>
        </is>
      </c>
      <c r="B331">
        <f>IF(IF(EXACT("Per audit — base",'Model inputs'!O83)="",FALSE,EXACT("Per audit — base",'Model inputs'!O83)),IF('DealScope monthly model and pri'!H24="","",'DealScope monthly model and pri'!H24),"")</f>
      </c>
    </row>
    <row r="332">
      <c r="A332" t="inlineStr" s="16">
        <is>
          <t xml:space="preserve">Calculation</t>
        </is>
      </c>
      <c r="B332">
        <f>IF(IF(EXACT("Per audit — high",'Model inputs'!O83)="",FALSE,EXACT("Per audit — high",'Model inputs'!O83)),IF('DealScope monthly model and pri'!H25="","",'DealScope monthly model and pri'!H25),"")</f>
      </c>
    </row>
    <row r="333">
      <c r="A333" t="inlineStr" s="16">
        <is>
          <t xml:space="preserve">Calculation</t>
        </is>
      </c>
      <c r="B333">
        <f>IF(IF(EXACT("Per audit — low",'Model inputs'!O83)="",FALSE,EXACT("Per audit — low",'Model inputs'!O83)),IF('DealScope monthly model and pri'!H26="","",'DealScope monthly model and pri'!H26),"")</f>
      </c>
    </row>
    <row r="334">
      <c r="A334" t="inlineStr" s="16">
        <is>
          <t xml:space="preserve">Calculation</t>
        </is>
      </c>
      <c r="B334">
        <f>IF(IF(EXACT("Annual deal-team",'Model inputs'!O83)="",FALSE,EXACT("Annual deal-team",'Model inputs'!O83)),IF('DealScope monthly model and pri'!I22="","",'DealScope monthly model and pri'!I22),"")</f>
      </c>
    </row>
    <row r="335">
      <c r="A335" t="inlineStr" s="16">
        <is>
          <t xml:space="preserve">Calculation</t>
        </is>
      </c>
      <c r="B335">
        <f>IF(IF(EXACT("Hybrid",'Model inputs'!O83)="",FALSE,EXACT("Hybrid",'Model inputs'!O83)),IF('DealScope monthly model and pri'!I23="","",'DealScope monthly model and pri'!I23),"")</f>
      </c>
    </row>
    <row r="336">
      <c r="A336" t="inlineStr" s="16">
        <is>
          <t xml:space="preserve">Calculation</t>
        </is>
      </c>
      <c r="B336">
        <f>IF(IF(EXACT("Per audit — base",'Model inputs'!O83)="",FALSE,EXACT("Per audit — base",'Model inputs'!O83)),IF('DealScope monthly model and pri'!I24="","",'DealScope monthly model and pri'!I24),"")</f>
      </c>
    </row>
    <row r="337">
      <c r="A337" t="inlineStr" s="16">
        <is>
          <t xml:space="preserve">Calculation</t>
        </is>
      </c>
      <c r="B337">
        <f>IF(IF(EXACT("Per audit — high",'Model inputs'!O83)="",FALSE,EXACT("Per audit — high",'Model inputs'!O83)),IF('DealScope monthly model and pri'!I25="","",'DealScope monthly model and pri'!I25),"")</f>
      </c>
    </row>
    <row r="338">
      <c r="A338" t="inlineStr" s="16">
        <is>
          <t xml:space="preserve">Calculation</t>
        </is>
      </c>
      <c r="B338">
        <f>IF(IF(EXACT("Per audit — low",'Model inputs'!O83)="",FALSE,EXACT("Per audit — low",'Model inputs'!O83)),IF('DealScope monthly model and pri'!I26="","",'DealScope monthly model and pri'!I26),"")</f>
      </c>
    </row>
    <row r="339">
      <c r="A339" t="inlineStr" s="16">
        <is>
          <t xml:space="preserve">Calculation</t>
        </is>
      </c>
      <c r="B339">
        <f>IF(IF(EXACT("Annual deal-team",'Model inputs'!O83)="",FALSE,EXACT("Annual deal-team",'Model inputs'!O83)),IF('DealScope monthly model and pri'!J22="","",'DealScope monthly model and pri'!J22),"")</f>
      </c>
    </row>
    <row r="340">
      <c r="A340" t="inlineStr" s="16">
        <is>
          <t xml:space="preserve">Calculation</t>
        </is>
      </c>
      <c r="B340">
        <f>IF(IF(EXACT("Hybrid",'Model inputs'!O83)="",FALSE,EXACT("Hybrid",'Model inputs'!O83)),IF('DealScope monthly model and pri'!J23="","",'DealScope monthly model and pri'!J23),"")</f>
      </c>
    </row>
    <row r="341">
      <c r="A341" t="inlineStr" s="16">
        <is>
          <t xml:space="preserve">Calculation</t>
        </is>
      </c>
      <c r="B341">
        <f>IF(IF(EXACT("Per audit — base",'Model inputs'!O83)="",FALSE,EXACT("Per audit — base",'Model inputs'!O83)),IF('DealScope monthly model and pri'!J24="","",'DealScope monthly model and pri'!J24),"")</f>
      </c>
    </row>
    <row r="342">
      <c r="A342" t="inlineStr" s="16">
        <is>
          <t xml:space="preserve">Calculation</t>
        </is>
      </c>
      <c r="B342">
        <f>IF(IF(EXACT("Per audit — high",'Model inputs'!O83)="",FALSE,EXACT("Per audit — high",'Model inputs'!O83)),IF('DealScope monthly model and pri'!J25="","",'DealScope monthly model and pri'!J25),"")</f>
      </c>
    </row>
    <row r="343">
      <c r="A343" t="inlineStr" s="16">
        <is>
          <t xml:space="preserve">Calculation</t>
        </is>
      </c>
      <c r="B343">
        <f>IF(IF(EXACT("Per audit — low",'Model inputs'!O83)="",FALSE,EXACT("Per audit — low",'Model inputs'!O83)),IF('DealScope monthly model and pri'!J26="","",'DealScope monthly model and pri'!J26),"")</f>
      </c>
    </row>
    <row r="344">
      <c r="A344" t="inlineStr" s="16">
        <is>
          <t xml:space="preserve">Calculation</t>
        </is>
      </c>
      <c r="B344">
        <f>IF(IF(EXACT("Annual deal-team",'Model inputs'!O83)="",FALSE,EXACT("Annual deal-team",'Model inputs'!O83)),IF('DealScope monthly model and pri'!K22="","",'DealScope monthly model and pri'!K22),"")</f>
      </c>
    </row>
    <row r="345">
      <c r="A345" t="inlineStr" s="16">
        <is>
          <t xml:space="preserve">Calculation</t>
        </is>
      </c>
      <c r="B345">
        <f>IF(IF(EXACT("Hybrid",'Model inputs'!O83)="",FALSE,EXACT("Hybrid",'Model inputs'!O83)),IF('DealScope monthly model and pri'!K23="","",'DealScope monthly model and pri'!K23),"")</f>
      </c>
    </row>
    <row r="346">
      <c r="A346" t="inlineStr" s="16">
        <is>
          <t xml:space="preserve">Calculation</t>
        </is>
      </c>
      <c r="B346">
        <f>IF(IF(EXACT("Per audit — base",'Model inputs'!O83)="",FALSE,EXACT("Per audit — base",'Model inputs'!O83)),IF('DealScope monthly model and pri'!K24="","",'DealScope monthly model and pri'!K24),"")</f>
      </c>
    </row>
    <row r="347">
      <c r="A347" t="inlineStr" s="16">
        <is>
          <t xml:space="preserve">Calculation</t>
        </is>
      </c>
      <c r="B347">
        <f>IF(IF(EXACT("Per audit — high",'Model inputs'!O83)="",FALSE,EXACT("Per audit — high",'Model inputs'!O83)),IF('DealScope monthly model and pri'!K25="","",'DealScope monthly model and pri'!K25),"")</f>
      </c>
    </row>
    <row r="348">
      <c r="A348" t="inlineStr" s="16">
        <is>
          <t xml:space="preserve">Calculation</t>
        </is>
      </c>
      <c r="B348">
        <f>IF(IF(EXACT("Per audit — low",'Model inputs'!O83)="",FALSE,EXACT("Per audit — low",'Model inputs'!O83)),IF('DealScope monthly model and pri'!K26="","",'DealScope monthly model and pri'!K26),"")</f>
      </c>
    </row>
    <row r="349">
      <c r="A349" t="inlineStr" s="16">
        <is>
          <t xml:space="preserve">Calculation</t>
        </is>
      </c>
      <c r="B349">
        <f>IF(IF(EXACT("Annual deal-team",'Model inputs'!O83)="",FALSE,EXACT("Annual deal-team",'Model inputs'!O83)),IF('DealScope monthly model and pri'!L22="","",'DealScope monthly model and pri'!L22),"")</f>
      </c>
    </row>
    <row r="350">
      <c r="A350" t="inlineStr" s="16">
        <is>
          <t xml:space="preserve">Calculation</t>
        </is>
      </c>
      <c r="B350">
        <f>IF(IF(EXACT("Hybrid",'Model inputs'!O83)="",FALSE,EXACT("Hybrid",'Model inputs'!O83)),IF('DealScope monthly model and pri'!L23="","",'DealScope monthly model and pri'!L23),"")</f>
      </c>
    </row>
    <row r="351">
      <c r="A351" t="inlineStr" s="16">
        <is>
          <t xml:space="preserve">Calculation</t>
        </is>
      </c>
      <c r="B351">
        <f>IF(IF(EXACT("Per audit — base",'Model inputs'!O83)="",FALSE,EXACT("Per audit — base",'Model inputs'!O83)),IF('DealScope monthly model and pri'!L24="","",'DealScope monthly model and pri'!L24),"")</f>
      </c>
    </row>
    <row r="352">
      <c r="A352" t="inlineStr" s="16">
        <is>
          <t xml:space="preserve">Calculation</t>
        </is>
      </c>
      <c r="B352">
        <f>IF(IF(EXACT("Per audit — high",'Model inputs'!O83)="",FALSE,EXACT("Per audit — high",'Model inputs'!O83)),IF('DealScope monthly model and pri'!L25="","",'DealScope monthly model and pri'!L25),"")</f>
      </c>
    </row>
    <row r="353">
      <c r="A353" t="inlineStr" s="16">
        <is>
          <t xml:space="preserve">Calculation</t>
        </is>
      </c>
      <c r="B353">
        <f>IF(IF(EXACT("Per audit — low",'Model inputs'!O83)="",FALSE,EXACT("Per audit — low",'Model inputs'!O83)),IF('DealScope monthly model and pri'!L26="","",'DealScope monthly model and pri'!L26),"")</f>
      </c>
    </row>
    <row r="354">
      <c r="A354" t="inlineStr" s="16">
        <is>
          <t xml:space="preserve">Calculation</t>
        </is>
      </c>
      <c r="B354">
        <f>IF(IF(EXACT("Annual deal-team",'Model inputs'!O83)="",FALSE,EXACT("Annual deal-team",'Model inputs'!O83)),IF('DealScope monthly model and pri'!M22="","",'DealScope monthly model and pri'!M22),"")</f>
      </c>
    </row>
    <row r="355">
      <c r="A355" t="inlineStr" s="16">
        <is>
          <t xml:space="preserve">Calculation</t>
        </is>
      </c>
      <c r="B355">
        <f>IF(IF(EXACT("Hybrid",'Model inputs'!O83)="",FALSE,EXACT("Hybrid",'Model inputs'!O83)),IF('DealScope monthly model and pri'!M23="","",'DealScope monthly model and pri'!M23),"")</f>
      </c>
    </row>
    <row r="356">
      <c r="A356" t="inlineStr" s="16">
        <is>
          <t xml:space="preserve">Calculation</t>
        </is>
      </c>
      <c r="B356">
        <f>IF(IF(EXACT("Per audit — base",'Model inputs'!O83)="",FALSE,EXACT("Per audit — base",'Model inputs'!O83)),IF('DealScope monthly model and pri'!M24="","",'DealScope monthly model and pri'!M24),"")</f>
      </c>
    </row>
    <row r="357">
      <c r="A357" t="inlineStr" s="16">
        <is>
          <t xml:space="preserve">Calculation</t>
        </is>
      </c>
      <c r="B357">
        <f>IF(IF(EXACT("Per audit — high",'Model inputs'!O83)="",FALSE,EXACT("Per audit — high",'Model inputs'!O83)),IF('DealScope monthly model and pri'!M25="","",'DealScope monthly model and pri'!M25),"")</f>
      </c>
    </row>
    <row r="358">
      <c r="A358" t="inlineStr" s="16">
        <is>
          <t xml:space="preserve">Calculation</t>
        </is>
      </c>
      <c r="B358">
        <f>IF(IF(EXACT("Per audit — low",'Model inputs'!O83)="",FALSE,EXACT("Per audit — low",'Model inputs'!O83)),IF('DealScope monthly model and pri'!M26="","",'DealScope monthly model and pri'!M26),"")</f>
      </c>
    </row>
    <row r="359">
      <c r="A359" t="inlineStr" s="16">
        <is>
          <t xml:space="preserve">Calculation</t>
        </is>
      </c>
      <c r="B359">
        <f>IF(IF(EXACT("Annual deal-team",'Model inputs'!O83)="",FALSE,EXACT("Annual deal-team",'Model inputs'!O83)),IF('DealScope monthly model and pri'!B28="","",'DealScope monthly model and pri'!B28),"")</f>
      </c>
    </row>
    <row r="360">
      <c r="A360" t="inlineStr" s="16">
        <is>
          <t xml:space="preserve">Calculation</t>
        </is>
      </c>
      <c r="B360">
        <f>IF(IF(EXACT("Hybrid",'Model inputs'!O83)="",FALSE,EXACT("Hybrid",'Model inputs'!O83)),IF('DealScope monthly model and pri'!B29="","",'DealScope monthly model and pri'!B29),"")</f>
      </c>
    </row>
    <row r="361">
      <c r="A361" t="inlineStr" s="16">
        <is>
          <t xml:space="preserve">Calculation</t>
        </is>
      </c>
      <c r="B361">
        <f>IF(IF(EXACT("Per audit — base",'Model inputs'!O83)="",FALSE,EXACT("Per audit — base",'Model inputs'!O83)),IF('DealScope monthly model and pri'!B30="","",'DealScope monthly model and pri'!B30),"")</f>
      </c>
    </row>
    <row r="362">
      <c r="A362" t="inlineStr" s="16">
        <is>
          <t xml:space="preserve">Calculation</t>
        </is>
      </c>
      <c r="B362">
        <f>IF(IF(EXACT("Per audit — high",'Model inputs'!O83)="",FALSE,EXACT("Per audit — high",'Model inputs'!O83)),IF('DealScope monthly model and pri'!B31="","",'DealScope monthly model and pri'!B31),"")</f>
      </c>
    </row>
    <row r="363">
      <c r="A363" t="inlineStr" s="16">
        <is>
          <t xml:space="preserve">Calculation</t>
        </is>
      </c>
      <c r="B363">
        <f>IF(IF(EXACT("Per audit — low",'Model inputs'!O83)="",FALSE,EXACT("Per audit — low",'Model inputs'!O83)),IF('DealScope monthly model and pri'!B32="","",'DealScope monthly model and pri'!B32),"")</f>
      </c>
    </row>
    <row r="364">
      <c r="A364" t="inlineStr" s="16">
        <is>
          <t xml:space="preserve">Calculation</t>
        </is>
      </c>
      <c r="B364">
        <f>IF(IF(EXACT("Annual deal-team",'Model inputs'!O83)="",FALSE,EXACT("Annual deal-team",'Model inputs'!O83)),IF('DealScope monthly model and pri'!C28="","",'DealScope monthly model and pri'!C28),"")</f>
      </c>
    </row>
    <row r="365">
      <c r="A365" t="inlineStr" s="16">
        <is>
          <t xml:space="preserve">Calculation</t>
        </is>
      </c>
      <c r="B365">
        <f>IF(IF(EXACT("Hybrid",'Model inputs'!O83)="",FALSE,EXACT("Hybrid",'Model inputs'!O83)),IF('DealScope monthly model and pri'!C29="","",'DealScope monthly model and pri'!C29),"")</f>
      </c>
    </row>
    <row r="366">
      <c r="A366" t="inlineStr" s="16">
        <is>
          <t xml:space="preserve">Calculation</t>
        </is>
      </c>
      <c r="B366">
        <f>IF(IF(EXACT("Per audit — base",'Model inputs'!O83)="",FALSE,EXACT("Per audit — base",'Model inputs'!O83)),IF('DealScope monthly model and pri'!C30="","",'DealScope monthly model and pri'!C30),"")</f>
      </c>
    </row>
    <row r="367">
      <c r="A367" t="inlineStr" s="16">
        <is>
          <t xml:space="preserve">Calculation</t>
        </is>
      </c>
      <c r="B367">
        <f>IF(IF(EXACT("Per audit — high",'Model inputs'!O83)="",FALSE,EXACT("Per audit — high",'Model inputs'!O83)),IF('DealScope monthly model and pri'!C31="","",'DealScope monthly model and pri'!C31),"")</f>
      </c>
    </row>
    <row r="368">
      <c r="A368" t="inlineStr" s="16">
        <is>
          <t xml:space="preserve">Calculation</t>
        </is>
      </c>
      <c r="B368">
        <f>IF(IF(EXACT("Per audit — low",'Model inputs'!O83)="",FALSE,EXACT("Per audit — low",'Model inputs'!O83)),IF('DealScope monthly model and pri'!C32="","",'DealScope monthly model and pri'!C32),"")</f>
      </c>
    </row>
    <row r="369">
      <c r="A369" t="inlineStr" s="16">
        <is>
          <t xml:space="preserve">Calculation</t>
        </is>
      </c>
      <c r="B369">
        <f>IF(IF(EXACT("Annual deal-team",'Model inputs'!O83)="",FALSE,EXACT("Annual deal-team",'Model inputs'!O83)),IF('DealScope monthly model and pri'!D28="","",'DealScope monthly model and pri'!D28),"")</f>
      </c>
    </row>
    <row r="370">
      <c r="A370" t="inlineStr" s="16">
        <is>
          <t xml:space="preserve">Calculation</t>
        </is>
      </c>
      <c r="B370">
        <f>IF(IF(EXACT("Hybrid",'Model inputs'!O83)="",FALSE,EXACT("Hybrid",'Model inputs'!O83)),IF('DealScope monthly model and pri'!D29="","",'DealScope monthly model and pri'!D29),"")</f>
      </c>
    </row>
    <row r="371">
      <c r="A371" t="inlineStr" s="16">
        <is>
          <t xml:space="preserve">Calculation</t>
        </is>
      </c>
      <c r="B371">
        <f>IF(IF(EXACT("Per audit — base",'Model inputs'!O83)="",FALSE,EXACT("Per audit — base",'Model inputs'!O83)),IF('DealScope monthly model and pri'!D30="","",'DealScope monthly model and pri'!D30),"")</f>
      </c>
    </row>
    <row r="372">
      <c r="A372" t="inlineStr" s="16">
        <is>
          <t xml:space="preserve">Calculation</t>
        </is>
      </c>
      <c r="B372">
        <f>IF(IF(EXACT("Per audit — high",'Model inputs'!O83)="",FALSE,EXACT("Per audit — high",'Model inputs'!O83)),IF('DealScope monthly model and pri'!D31="","",'DealScope monthly model and pri'!D31),"")</f>
      </c>
    </row>
    <row r="373">
      <c r="A373" t="inlineStr" s="16">
        <is>
          <t xml:space="preserve">Calculation</t>
        </is>
      </c>
      <c r="B373">
        <f>IF(IF(EXACT("Per audit — low",'Model inputs'!O83)="",FALSE,EXACT("Per audit — low",'Model inputs'!O83)),IF('DealScope monthly model and pri'!D32="","",'DealScope monthly model and pri'!D32),"")</f>
      </c>
    </row>
    <row r="374">
      <c r="A374" t="inlineStr" s="16">
        <is>
          <t xml:space="preserve">Calculation</t>
        </is>
      </c>
      <c r="B374">
        <f>IF(IF(EXACT("Annual deal-team",'Model inputs'!O83)="",FALSE,EXACT("Annual deal-team",'Model inputs'!O83)),IF('DealScope monthly model and pri'!E28="","",'DealScope monthly model and pri'!E28),"")</f>
      </c>
    </row>
    <row r="375">
      <c r="A375" t="inlineStr" s="16">
        <is>
          <t xml:space="preserve">Calculation</t>
        </is>
      </c>
      <c r="B375">
        <f>IF(IF(EXACT("Hybrid",'Model inputs'!O83)="",FALSE,EXACT("Hybrid",'Model inputs'!O83)),IF('DealScope monthly model and pri'!E29="","",'DealScope monthly model and pri'!E29),"")</f>
      </c>
    </row>
    <row r="376">
      <c r="A376" t="inlineStr" s="16">
        <is>
          <t xml:space="preserve">Calculation</t>
        </is>
      </c>
      <c r="B376">
        <f>IF(IF(EXACT("Per audit — base",'Model inputs'!O83)="",FALSE,EXACT("Per audit — base",'Model inputs'!O83)),IF('DealScope monthly model and pri'!E30="","",'DealScope monthly model and pri'!E30),"")</f>
      </c>
    </row>
    <row r="377">
      <c r="A377" t="inlineStr" s="16">
        <is>
          <t xml:space="preserve">Calculation</t>
        </is>
      </c>
      <c r="B377">
        <f>IF(IF(EXACT("Per audit — high",'Model inputs'!O83)="",FALSE,EXACT("Per audit — high",'Model inputs'!O83)),IF('DealScope monthly model and pri'!E31="","",'DealScope monthly model and pri'!E31),"")</f>
      </c>
    </row>
    <row r="378">
      <c r="A378" t="inlineStr" s="16">
        <is>
          <t xml:space="preserve">Calculation</t>
        </is>
      </c>
      <c r="B378">
        <f>IF(IF(EXACT("Per audit — low",'Model inputs'!O83)="",FALSE,EXACT("Per audit — low",'Model inputs'!O83)),IF('DealScope monthly model and pri'!E32="","",'DealScope monthly model and pri'!E32),"")</f>
      </c>
    </row>
    <row r="379">
      <c r="A379" t="inlineStr" s="16">
        <is>
          <t xml:space="preserve">Calculation</t>
        </is>
      </c>
      <c r="B379">
        <f>IF(IF(EXACT("Annual deal-team",'Model inputs'!O83)="",FALSE,EXACT("Annual deal-team",'Model inputs'!O83)),IF('DealScope monthly model and pri'!F28="","",'DealScope monthly model and pri'!F28),"")</f>
      </c>
    </row>
    <row r="380">
      <c r="A380" t="inlineStr" s="16">
        <is>
          <t xml:space="preserve">Calculation</t>
        </is>
      </c>
      <c r="B380">
        <f>IF(IF(EXACT("Hybrid",'Model inputs'!O83)="",FALSE,EXACT("Hybrid",'Model inputs'!O83)),IF('DealScope monthly model and pri'!F29="","",'DealScope monthly model and pri'!F29),"")</f>
      </c>
    </row>
    <row r="381">
      <c r="A381" t="inlineStr" s="16">
        <is>
          <t xml:space="preserve">Calculation</t>
        </is>
      </c>
      <c r="B381">
        <f>IF(IF(EXACT("Per audit — base",'Model inputs'!O83)="",FALSE,EXACT("Per audit — base",'Model inputs'!O83)),IF('DealScope monthly model and pri'!F30="","",'DealScope monthly model and pri'!F30),"")</f>
      </c>
    </row>
    <row r="382">
      <c r="A382" t="inlineStr" s="16">
        <is>
          <t xml:space="preserve">Calculation</t>
        </is>
      </c>
      <c r="B382">
        <f>IF(IF(EXACT("Per audit — high",'Model inputs'!O83)="",FALSE,EXACT("Per audit — high",'Model inputs'!O83)),IF('DealScope monthly model and pri'!F31="","",'DealScope monthly model and pri'!F31),"")</f>
      </c>
    </row>
    <row r="383">
      <c r="A383" t="inlineStr" s="16">
        <is>
          <t xml:space="preserve">Calculation</t>
        </is>
      </c>
      <c r="B383">
        <f>IF(IF(EXACT("Per audit — low",'Model inputs'!O83)="",FALSE,EXACT("Per audit — low",'Model inputs'!O83)),IF('DealScope monthly model and pri'!F32="","",'DealScope monthly model and pri'!F32),"")</f>
      </c>
    </row>
    <row r="384">
      <c r="A384" t="inlineStr" s="16">
        <is>
          <t xml:space="preserve">Calculation</t>
        </is>
      </c>
      <c r="B384">
        <f>IF(IF(EXACT("Annual deal-team",'Model inputs'!O83)="",FALSE,EXACT("Annual deal-team",'Model inputs'!O83)),IF('DealScope monthly model and pri'!G28="","",'DealScope monthly model and pri'!G28),"")</f>
      </c>
    </row>
    <row r="385">
      <c r="A385" t="inlineStr" s="16">
        <is>
          <t xml:space="preserve">Calculation</t>
        </is>
      </c>
      <c r="B385">
        <f>IF(IF(EXACT("Hybrid",'Model inputs'!O83)="",FALSE,EXACT("Hybrid",'Model inputs'!O83)),IF('DealScope monthly model and pri'!G29="","",'DealScope monthly model and pri'!G29),"")</f>
      </c>
    </row>
    <row r="386">
      <c r="A386" t="inlineStr" s="16">
        <is>
          <t xml:space="preserve">Calculation</t>
        </is>
      </c>
      <c r="B386">
        <f>IF(IF(EXACT("Per audit — base",'Model inputs'!O83)="",FALSE,EXACT("Per audit — base",'Model inputs'!O83)),IF('DealScope monthly model and pri'!G30="","",'DealScope monthly model and pri'!G30),"")</f>
      </c>
    </row>
    <row r="387">
      <c r="A387" t="inlineStr" s="16">
        <is>
          <t xml:space="preserve">Calculation</t>
        </is>
      </c>
      <c r="B387">
        <f>IF(IF(EXACT("Per audit — high",'Model inputs'!O83)="",FALSE,EXACT("Per audit — high",'Model inputs'!O83)),IF('DealScope monthly model and pri'!G31="","",'DealScope monthly model and pri'!G31),"")</f>
      </c>
    </row>
    <row r="388">
      <c r="A388" t="inlineStr" s="16">
        <is>
          <t xml:space="preserve">Calculation</t>
        </is>
      </c>
      <c r="B388">
        <f>IF(IF(EXACT("Per audit — low",'Model inputs'!O83)="",FALSE,EXACT("Per audit — low",'Model inputs'!O83)),IF('DealScope monthly model and pri'!G32="","",'DealScope monthly model and pri'!G32),"")</f>
      </c>
    </row>
    <row r="389">
      <c r="A389" t="inlineStr" s="16">
        <is>
          <t xml:space="preserve">Calculation</t>
        </is>
      </c>
      <c r="B389">
        <f>IF(IF(EXACT("Annual deal-team",'Model inputs'!O83)="",FALSE,EXACT("Annual deal-team",'Model inputs'!O83)),IF('DealScope monthly model and pri'!H28="","",'DealScope monthly model and pri'!H28),"")</f>
      </c>
    </row>
    <row r="390">
      <c r="A390" t="inlineStr" s="16">
        <is>
          <t xml:space="preserve">Calculation</t>
        </is>
      </c>
      <c r="B390">
        <f>IF(IF(EXACT("Hybrid",'Model inputs'!O83)="",FALSE,EXACT("Hybrid",'Model inputs'!O83)),IF('DealScope monthly model and pri'!H29="","",'DealScope monthly model and pri'!H29),"")</f>
      </c>
    </row>
    <row r="391">
      <c r="A391" t="inlineStr" s="16">
        <is>
          <t xml:space="preserve">Calculation</t>
        </is>
      </c>
      <c r="B391">
        <f>IF(IF(EXACT("Per audit — base",'Model inputs'!O83)="",FALSE,EXACT("Per audit — base",'Model inputs'!O83)),IF('DealScope monthly model and pri'!H30="","",'DealScope monthly model and pri'!H30),"")</f>
      </c>
    </row>
    <row r="392">
      <c r="A392" t="inlineStr" s="16">
        <is>
          <t xml:space="preserve">Calculation</t>
        </is>
      </c>
      <c r="B392">
        <f>IF(IF(EXACT("Per audit — high",'Model inputs'!O83)="",FALSE,EXACT("Per audit — high",'Model inputs'!O83)),IF('DealScope monthly model and pri'!H31="","",'DealScope monthly model and pri'!H31),"")</f>
      </c>
    </row>
    <row r="393">
      <c r="A393" t="inlineStr" s="16">
        <is>
          <t xml:space="preserve">Calculation</t>
        </is>
      </c>
      <c r="B393">
        <f>IF(IF(EXACT("Per audit — low",'Model inputs'!O83)="",FALSE,EXACT("Per audit — low",'Model inputs'!O83)),IF('DealScope monthly model and pri'!H32="","",'DealScope monthly model and pri'!H32),"")</f>
      </c>
    </row>
    <row r="394">
      <c r="A394" t="inlineStr" s="16">
        <is>
          <t xml:space="preserve">Calculation</t>
        </is>
      </c>
      <c r="B394">
        <f>IF(IF(EXACT("Annual deal-team",'Model inputs'!O83)="",FALSE,EXACT("Annual deal-team",'Model inputs'!O83)),IF('DealScope monthly model and pri'!I28="","",'DealScope monthly model and pri'!I28),"")</f>
      </c>
    </row>
    <row r="395">
      <c r="A395" t="inlineStr" s="16">
        <is>
          <t xml:space="preserve">Calculation</t>
        </is>
      </c>
      <c r="B395">
        <f>IF(IF(EXACT("Hybrid",'Model inputs'!O83)="",FALSE,EXACT("Hybrid",'Model inputs'!O83)),IF('DealScope monthly model and pri'!I29="","",'DealScope monthly model and pri'!I29),"")</f>
      </c>
    </row>
    <row r="396">
      <c r="A396" t="inlineStr" s="16">
        <is>
          <t xml:space="preserve">Calculation</t>
        </is>
      </c>
      <c r="B396">
        <f>IF(IF(EXACT("Per audit — base",'Model inputs'!O83)="",FALSE,EXACT("Per audit — base",'Model inputs'!O83)),IF('DealScope monthly model and pri'!I30="","",'DealScope monthly model and pri'!I30),"")</f>
      </c>
    </row>
    <row r="397">
      <c r="A397" t="inlineStr" s="16">
        <is>
          <t xml:space="preserve">Calculation</t>
        </is>
      </c>
      <c r="B397">
        <f>IF(IF(EXACT("Per audit — high",'Model inputs'!O83)="",FALSE,EXACT("Per audit — high",'Model inputs'!O83)),IF('DealScope monthly model and pri'!I31="","",'DealScope monthly model and pri'!I31),"")</f>
      </c>
    </row>
    <row r="398">
      <c r="A398" t="inlineStr" s="16">
        <is>
          <t xml:space="preserve">Calculation</t>
        </is>
      </c>
      <c r="B398">
        <f>IF(IF(EXACT("Per audit — low",'Model inputs'!O83)="",FALSE,EXACT("Per audit — low",'Model inputs'!O83)),IF('DealScope monthly model and pri'!I32="","",'DealScope monthly model and pri'!I32),"")</f>
      </c>
    </row>
    <row r="399">
      <c r="A399" t="inlineStr" s="16">
        <is>
          <t xml:space="preserve">Calculation</t>
        </is>
      </c>
      <c r="B399">
        <f>IF(IF(EXACT("Annual deal-team",'Model inputs'!O83)="",FALSE,EXACT("Annual deal-team",'Model inputs'!O83)),IF('DealScope monthly model and pri'!J28="","",'DealScope monthly model and pri'!J28),"")</f>
      </c>
    </row>
    <row r="400">
      <c r="A400" t="inlineStr" s="16">
        <is>
          <t xml:space="preserve">Calculation</t>
        </is>
      </c>
      <c r="B400">
        <f>IF(IF(EXACT("Hybrid",'Model inputs'!O83)="",FALSE,EXACT("Hybrid",'Model inputs'!O83)),IF('DealScope monthly model and pri'!J29="","",'DealScope monthly model and pri'!J29),"")</f>
      </c>
    </row>
    <row r="401">
      <c r="A401" t="inlineStr" s="16">
        <is>
          <t xml:space="preserve">Calculation</t>
        </is>
      </c>
      <c r="B401">
        <f>IF(IF(EXACT("Per audit — base",'Model inputs'!O83)="",FALSE,EXACT("Per audit — base",'Model inputs'!O83)),IF('DealScope monthly model and pri'!J30="","",'DealScope monthly model and pri'!J30),"")</f>
      </c>
    </row>
    <row r="402">
      <c r="A402" t="inlineStr" s="16">
        <is>
          <t xml:space="preserve">Calculation</t>
        </is>
      </c>
      <c r="B402">
        <f>IF(IF(EXACT("Per audit — high",'Model inputs'!O83)="",FALSE,EXACT("Per audit — high",'Model inputs'!O83)),IF('DealScope monthly model and pri'!J31="","",'DealScope monthly model and pri'!J31),"")</f>
      </c>
    </row>
    <row r="403">
      <c r="A403" t="inlineStr" s="16">
        <is>
          <t xml:space="preserve">Calculation</t>
        </is>
      </c>
      <c r="B403">
        <f>IF(IF(EXACT("Per audit — low",'Model inputs'!O83)="",FALSE,EXACT("Per audit — low",'Model inputs'!O83)),IF('DealScope monthly model and pri'!J32="","",'DealScope monthly model and pri'!J32),"")</f>
      </c>
    </row>
    <row r="404">
      <c r="A404" t="inlineStr" s="16">
        <is>
          <t xml:space="preserve">Calculation</t>
        </is>
      </c>
      <c r="B404">
        <f>IF(IF(EXACT("Annual deal-team",'Model inputs'!O83)="",FALSE,EXACT("Annual deal-team",'Model inputs'!O83)),IF('DealScope monthly model and pri'!K28="","",'DealScope monthly model and pri'!K28),"")</f>
      </c>
    </row>
    <row r="405">
      <c r="A405" t="inlineStr" s="16">
        <is>
          <t xml:space="preserve">Calculation</t>
        </is>
      </c>
      <c r="B405">
        <f>IF(IF(EXACT("Hybrid",'Model inputs'!O83)="",FALSE,EXACT("Hybrid",'Model inputs'!O83)),IF('DealScope monthly model and pri'!K29="","",'DealScope monthly model and pri'!K29),"")</f>
      </c>
    </row>
    <row r="406">
      <c r="A406" t="inlineStr" s="16">
        <is>
          <t xml:space="preserve">Calculation</t>
        </is>
      </c>
      <c r="B406">
        <f>IF(IF(EXACT("Per audit — base",'Model inputs'!O83)="",FALSE,EXACT("Per audit — base",'Model inputs'!O83)),IF('DealScope monthly model and pri'!K30="","",'DealScope monthly model and pri'!K30),"")</f>
      </c>
    </row>
    <row r="407">
      <c r="A407" t="inlineStr" s="16">
        <is>
          <t xml:space="preserve">Calculation</t>
        </is>
      </c>
      <c r="B407">
        <f>IF(IF(EXACT("Per audit — high",'Model inputs'!O83)="",FALSE,EXACT("Per audit — high",'Model inputs'!O83)),IF('DealScope monthly model and pri'!K31="","",'DealScope monthly model and pri'!K31),"")</f>
      </c>
    </row>
    <row r="408">
      <c r="A408" t="inlineStr" s="16">
        <is>
          <t xml:space="preserve">Calculation</t>
        </is>
      </c>
      <c r="B408">
        <f>IF(IF(EXACT("Per audit — low",'Model inputs'!O83)="",FALSE,EXACT("Per audit — low",'Model inputs'!O83)),IF('DealScope monthly model and pri'!K32="","",'DealScope monthly model and pri'!K32),"")</f>
      </c>
    </row>
    <row r="409">
      <c r="A409" t="inlineStr" s="16">
        <is>
          <t xml:space="preserve">Calculation</t>
        </is>
      </c>
      <c r="B409">
        <f>IF(IF(EXACT("Annual deal-team",'Model inputs'!O83)="",FALSE,EXACT("Annual deal-team",'Model inputs'!O83)),IF('DealScope monthly model and pri'!L28="","",'DealScope monthly model and pri'!L28),"")</f>
      </c>
    </row>
    <row r="410">
      <c r="A410" t="inlineStr" s="16">
        <is>
          <t xml:space="preserve">Calculation</t>
        </is>
      </c>
      <c r="B410">
        <f>IF(IF(EXACT("Hybrid",'Model inputs'!O83)="",FALSE,EXACT("Hybrid",'Model inputs'!O83)),IF('DealScope monthly model and pri'!L29="","",'DealScope monthly model and pri'!L29),"")</f>
      </c>
    </row>
    <row r="411">
      <c r="A411" t="inlineStr" s="16">
        <is>
          <t xml:space="preserve">Calculation</t>
        </is>
      </c>
      <c r="B411">
        <f>IF(IF(EXACT("Per audit — base",'Model inputs'!O83)="",FALSE,EXACT("Per audit — base",'Model inputs'!O83)),IF('DealScope monthly model and pri'!L30="","",'DealScope monthly model and pri'!L30),"")</f>
      </c>
    </row>
    <row r="412">
      <c r="A412" t="inlineStr" s="16">
        <is>
          <t xml:space="preserve">Calculation</t>
        </is>
      </c>
      <c r="B412">
        <f>IF(IF(EXACT("Per audit — high",'Model inputs'!O83)="",FALSE,EXACT("Per audit — high",'Model inputs'!O83)),IF('DealScope monthly model and pri'!L31="","",'DealScope monthly model and pri'!L31),"")</f>
      </c>
    </row>
    <row r="413">
      <c r="A413" t="inlineStr" s="16">
        <is>
          <t xml:space="preserve">Calculation</t>
        </is>
      </c>
      <c r="B413">
        <f>IF(IF(EXACT("Per audit — low",'Model inputs'!O83)="",FALSE,EXACT("Per audit — low",'Model inputs'!O83)),IF('DealScope monthly model and pri'!L32="","",'DealScope monthly model and pri'!L32),"")</f>
      </c>
    </row>
    <row r="414">
      <c r="A414" t="inlineStr" s="16">
        <is>
          <t xml:space="preserve">Calculation</t>
        </is>
      </c>
      <c r="B414">
        <f>IF(IF(EXACT("Annual deal-team",'Model inputs'!O83)="",FALSE,EXACT("Annual deal-team",'Model inputs'!O83)),IF('DealScope monthly model and pri'!M28="","",'DealScope monthly model and pri'!M28),"")</f>
      </c>
    </row>
    <row r="415">
      <c r="A415" t="inlineStr" s="16">
        <is>
          <t xml:space="preserve">Calculation</t>
        </is>
      </c>
      <c r="B415">
        <f>IF(IF(EXACT("Hybrid",'Model inputs'!O83)="",FALSE,EXACT("Hybrid",'Model inputs'!O83)),IF('DealScope monthly model and pri'!M29="","",'DealScope monthly model and pri'!M29),"")</f>
      </c>
    </row>
    <row r="416">
      <c r="A416" t="inlineStr" s="16">
        <is>
          <t xml:space="preserve">Calculation</t>
        </is>
      </c>
      <c r="B416">
        <f>IF(IF(EXACT("Per audit — base",'Model inputs'!O83)="",FALSE,EXACT("Per audit — base",'Model inputs'!O83)),IF('DealScope monthly model and pri'!M30="","",'DealScope monthly model and pri'!M30),"")</f>
      </c>
    </row>
    <row r="417">
      <c r="A417" t="inlineStr" s="16">
        <is>
          <t xml:space="preserve">Calculation</t>
        </is>
      </c>
      <c r="B417">
        <f>IF(IF(EXACT("Per audit — high",'Model inputs'!O83)="",FALSE,EXACT("Per audit — high",'Model inputs'!O83)),IF('DealScope monthly model and pri'!M31="","",'DealScope monthly model and pri'!M31),"")</f>
      </c>
    </row>
    <row r="418">
      <c r="A418" t="inlineStr" s="16">
        <is>
          <t xml:space="preserve">Calculation</t>
        </is>
      </c>
      <c r="B418">
        <f>IF(IF(EXACT("Per audit — low",'Model inputs'!O83)="",FALSE,EXACT("Per audit — low",'Model inputs'!O83)),IF('DealScope monthly model and pri'!M32="","",'DealScope monthly model and pri'!M32),"")</f>
      </c>
    </row>
    <row r="419">
      <c r="A419" t="inlineStr" s="16">
        <is>
          <t xml:space="preserve">Calculation</t>
        </is>
      </c>
      <c r="B419">
        <f>IF(IF(EXACT("Annual deal-team",'Model inputs'!O83)="",FALSE,EXACT("Annual deal-team",'Model inputs'!O83)),IF('DealScope monthly model and pri'!B34="","",'DealScope monthly model and pri'!B34),"")</f>
      </c>
    </row>
    <row r="420">
      <c r="A420" t="inlineStr" s="16">
        <is>
          <t xml:space="preserve">Calculation</t>
        </is>
      </c>
      <c r="B420">
        <f>IF(IF(EXACT("Hybrid",'Model inputs'!O83)="",FALSE,EXACT("Hybrid",'Model inputs'!O83)),IF('DealScope monthly model and pri'!B35="","",'DealScope monthly model and pri'!B35),"")</f>
      </c>
    </row>
    <row r="421">
      <c r="A421" t="inlineStr" s="16">
        <is>
          <t xml:space="preserve">Calculation</t>
        </is>
      </c>
      <c r="B421">
        <f>IF(IF(EXACT("Per audit — base",'Model inputs'!O83)="",FALSE,EXACT("Per audit — base",'Model inputs'!O83)),IF('DealScope monthly model and pri'!B36="","",'DealScope monthly model and pri'!B36),"")</f>
      </c>
    </row>
    <row r="422">
      <c r="A422" t="inlineStr" s="16">
        <is>
          <t xml:space="preserve">Calculation</t>
        </is>
      </c>
      <c r="B422">
        <f>IF(IF(EXACT("Per audit — high",'Model inputs'!O83)="",FALSE,EXACT("Per audit — high",'Model inputs'!O83)),IF('DealScope monthly model and pri'!B37="","",'DealScope monthly model and pri'!B37),"")</f>
      </c>
    </row>
    <row r="423">
      <c r="A423" t="inlineStr" s="16">
        <is>
          <t xml:space="preserve">Calculation</t>
        </is>
      </c>
      <c r="B423">
        <f>IF(IF(EXACT("Per audit — low",'Model inputs'!O83)="",FALSE,EXACT("Per audit — low",'Model inputs'!O83)),IF('DealScope monthly model and pri'!B38="","",'DealScope monthly model and pri'!B38),"")</f>
      </c>
    </row>
    <row r="424">
      <c r="A424" t="inlineStr" s="16">
        <is>
          <t xml:space="preserve">Calculation</t>
        </is>
      </c>
      <c r="B424">
        <f>IF(IF(EXACT("Annual deal-team",'Model inputs'!O83)="",FALSE,EXACT("Annual deal-team",'Model inputs'!O83)),IF('DealScope monthly model and pri'!C34="","",'DealScope monthly model and pri'!C34),"")</f>
      </c>
    </row>
    <row r="425">
      <c r="A425" t="inlineStr" s="16">
        <is>
          <t xml:space="preserve">Calculation</t>
        </is>
      </c>
      <c r="B425">
        <f>IF(IF(EXACT("Hybrid",'Model inputs'!O83)="",FALSE,EXACT("Hybrid",'Model inputs'!O83)),IF('DealScope monthly model and pri'!C35="","",'DealScope monthly model and pri'!C35),"")</f>
      </c>
    </row>
    <row r="426">
      <c r="A426" t="inlineStr" s="16">
        <is>
          <t xml:space="preserve">Calculation</t>
        </is>
      </c>
      <c r="B426">
        <f>IF(IF(EXACT("Per audit — base",'Model inputs'!O83)="",FALSE,EXACT("Per audit — base",'Model inputs'!O83)),IF('DealScope monthly model and pri'!C36="","",'DealScope monthly model and pri'!C36),"")</f>
      </c>
    </row>
    <row r="427">
      <c r="A427" t="inlineStr" s="16">
        <is>
          <t xml:space="preserve">Calculation</t>
        </is>
      </c>
      <c r="B427">
        <f>IF(IF(EXACT("Per audit — high",'Model inputs'!O83)="",FALSE,EXACT("Per audit — high",'Model inputs'!O83)),IF('DealScope monthly model and pri'!C37="","",'DealScope monthly model and pri'!C37),"")</f>
      </c>
    </row>
    <row r="428">
      <c r="A428" t="inlineStr" s="16">
        <is>
          <t xml:space="preserve">Calculation</t>
        </is>
      </c>
      <c r="B428">
        <f>IF(IF(EXACT("Per audit — low",'Model inputs'!O83)="",FALSE,EXACT("Per audit — low",'Model inputs'!O83)),IF('DealScope monthly model and pri'!C38="","",'DealScope monthly model and pri'!C38),"")</f>
      </c>
    </row>
    <row r="429">
      <c r="A429" t="inlineStr" s="16">
        <is>
          <t xml:space="preserve">Calculation</t>
        </is>
      </c>
      <c r="B429">
        <f>IF(IF(EXACT("Annual deal-team",'Model inputs'!O83)="",FALSE,EXACT("Annual deal-team",'Model inputs'!O83)),IF('DealScope monthly model and pri'!D34="","",'DealScope monthly model and pri'!D34),"")</f>
      </c>
    </row>
    <row r="430">
      <c r="A430" t="inlineStr" s="16">
        <is>
          <t xml:space="preserve">Calculation</t>
        </is>
      </c>
      <c r="B430">
        <f>IF(IF(EXACT("Hybrid",'Model inputs'!O83)="",FALSE,EXACT("Hybrid",'Model inputs'!O83)),IF('DealScope monthly model and pri'!D35="","",'DealScope monthly model and pri'!D35),"")</f>
      </c>
    </row>
    <row r="431">
      <c r="A431" t="inlineStr" s="16">
        <is>
          <t xml:space="preserve">Calculation</t>
        </is>
      </c>
      <c r="B431">
        <f>IF(IF(EXACT("Per audit — base",'Model inputs'!O83)="",FALSE,EXACT("Per audit — base",'Model inputs'!O83)),IF('DealScope monthly model and pri'!D36="","",'DealScope monthly model and pri'!D36),"")</f>
      </c>
    </row>
    <row r="432">
      <c r="A432" t="inlineStr" s="16">
        <is>
          <t xml:space="preserve">Calculation</t>
        </is>
      </c>
      <c r="B432">
        <f>IF(IF(EXACT("Per audit — high",'Model inputs'!O83)="",FALSE,EXACT("Per audit — high",'Model inputs'!O83)),IF('DealScope monthly model and pri'!D37="","",'DealScope monthly model and pri'!D37),"")</f>
      </c>
    </row>
    <row r="433">
      <c r="A433" t="inlineStr" s="16">
        <is>
          <t xml:space="preserve">Calculation</t>
        </is>
      </c>
      <c r="B433">
        <f>IF(IF(EXACT("Per audit — low",'Model inputs'!O83)="",FALSE,EXACT("Per audit — low",'Model inputs'!O83)),IF('DealScope monthly model and pri'!D38="","",'DealScope monthly model and pri'!D38),"")</f>
      </c>
    </row>
    <row r="434">
      <c r="A434" t="inlineStr" s="16">
        <is>
          <t xml:space="preserve">Calculation</t>
        </is>
      </c>
      <c r="B434">
        <f>IF(IF(EXACT("Annual deal-team",'Model inputs'!O83)="",FALSE,EXACT("Annual deal-team",'Model inputs'!O83)),IF('DealScope monthly model and pri'!E34="","",'DealScope monthly model and pri'!E34),"")</f>
      </c>
    </row>
    <row r="435">
      <c r="A435" t="inlineStr" s="16">
        <is>
          <t xml:space="preserve">Calculation</t>
        </is>
      </c>
      <c r="B435">
        <f>IF(IF(EXACT("Hybrid",'Model inputs'!O83)="",FALSE,EXACT("Hybrid",'Model inputs'!O83)),IF('DealScope monthly model and pri'!E35="","",'DealScope monthly model and pri'!E35),"")</f>
      </c>
    </row>
    <row r="436">
      <c r="A436" t="inlineStr" s="16">
        <is>
          <t xml:space="preserve">Calculation</t>
        </is>
      </c>
      <c r="B436">
        <f>IF(IF(EXACT("Per audit — base",'Model inputs'!O83)="",FALSE,EXACT("Per audit — base",'Model inputs'!O83)),IF('DealScope monthly model and pri'!E36="","",'DealScope monthly model and pri'!E36),"")</f>
      </c>
    </row>
    <row r="437">
      <c r="A437" t="inlineStr" s="16">
        <is>
          <t xml:space="preserve">Calculation</t>
        </is>
      </c>
      <c r="B437">
        <f>IF(IF(EXACT("Per audit — high",'Model inputs'!O83)="",FALSE,EXACT("Per audit — high",'Model inputs'!O83)),IF('DealScope monthly model and pri'!E37="","",'DealScope monthly model and pri'!E37),"")</f>
      </c>
    </row>
    <row r="438">
      <c r="A438" t="inlineStr" s="16">
        <is>
          <t xml:space="preserve">Calculation</t>
        </is>
      </c>
      <c r="B438">
        <f>IF(IF(EXACT("Per audit — low",'Model inputs'!O83)="",FALSE,EXACT("Per audit — low",'Model inputs'!O83)),IF('DealScope monthly model and pri'!E38="","",'DealScope monthly model and pri'!E38),"")</f>
      </c>
    </row>
    <row r="439">
      <c r="A439" t="inlineStr" s="16">
        <is>
          <t xml:space="preserve">Calculation</t>
        </is>
      </c>
      <c r="B439">
        <f>IF(IF(EXACT("Annual deal-team",'Model inputs'!O83)="",FALSE,EXACT("Annual deal-team",'Model inputs'!O83)),IF('DealScope monthly model and pri'!F34="","",'DealScope monthly model and pri'!F34),"")</f>
      </c>
    </row>
    <row r="440">
      <c r="A440" t="inlineStr" s="16">
        <is>
          <t xml:space="preserve">Calculation</t>
        </is>
      </c>
      <c r="B440">
        <f>IF(IF(EXACT("Hybrid",'Model inputs'!O83)="",FALSE,EXACT("Hybrid",'Model inputs'!O83)),IF('DealScope monthly model and pri'!F35="","",'DealScope monthly model and pri'!F35),"")</f>
      </c>
    </row>
    <row r="441">
      <c r="A441" t="inlineStr" s="16">
        <is>
          <t xml:space="preserve">Calculation</t>
        </is>
      </c>
      <c r="B441">
        <f>IF(IF(EXACT("Per audit — base",'Model inputs'!O83)="",FALSE,EXACT("Per audit — base",'Model inputs'!O83)),IF('DealScope monthly model and pri'!F36="","",'DealScope monthly model and pri'!F36),"")</f>
      </c>
    </row>
    <row r="442">
      <c r="A442" t="inlineStr" s="16">
        <is>
          <t xml:space="preserve">Calculation</t>
        </is>
      </c>
      <c r="B442">
        <f>IF(IF(EXACT("Per audit — high",'Model inputs'!O83)="",FALSE,EXACT("Per audit — high",'Model inputs'!O83)),IF('DealScope monthly model and pri'!F37="","",'DealScope monthly model and pri'!F37),"")</f>
      </c>
    </row>
    <row r="443">
      <c r="A443" t="inlineStr" s="16">
        <is>
          <t xml:space="preserve">Calculation</t>
        </is>
      </c>
      <c r="B443">
        <f>IF(IF(EXACT("Per audit — low",'Model inputs'!O83)="",FALSE,EXACT("Per audit — low",'Model inputs'!O83)),IF('DealScope monthly model and pri'!F38="","",'DealScope monthly model and pri'!F38),"")</f>
      </c>
    </row>
    <row r="444">
      <c r="A444" t="inlineStr" s="16">
        <is>
          <t xml:space="preserve">Calculation</t>
        </is>
      </c>
      <c r="B444">
        <f>IF(IF(EXACT("Annual deal-team",'Model inputs'!O83)="",FALSE,EXACT("Annual deal-team",'Model inputs'!O83)),IF('DealScope monthly model and pri'!G34="","",'DealScope monthly model and pri'!G34),"")</f>
      </c>
    </row>
    <row r="445">
      <c r="A445" t="inlineStr" s="16">
        <is>
          <t xml:space="preserve">Calculation</t>
        </is>
      </c>
      <c r="B445">
        <f>IF(IF(EXACT("Hybrid",'Model inputs'!O83)="",FALSE,EXACT("Hybrid",'Model inputs'!O83)),IF('DealScope monthly model and pri'!G35="","",'DealScope monthly model and pri'!G35),"")</f>
      </c>
    </row>
    <row r="446">
      <c r="A446" t="inlineStr" s="16">
        <is>
          <t xml:space="preserve">Calculation</t>
        </is>
      </c>
      <c r="B446">
        <f>IF(IF(EXACT("Per audit — base",'Model inputs'!O83)="",FALSE,EXACT("Per audit — base",'Model inputs'!O83)),IF('DealScope monthly model and pri'!G36="","",'DealScope monthly model and pri'!G36),"")</f>
      </c>
    </row>
    <row r="447">
      <c r="A447" t="inlineStr" s="16">
        <is>
          <t xml:space="preserve">Calculation</t>
        </is>
      </c>
      <c r="B447">
        <f>IF(IF(EXACT("Per audit — high",'Model inputs'!O83)="",FALSE,EXACT("Per audit — high",'Model inputs'!O83)),IF('DealScope monthly model and pri'!G37="","",'DealScope monthly model and pri'!G37),"")</f>
      </c>
    </row>
    <row r="448">
      <c r="A448" t="inlineStr" s="16">
        <is>
          <t xml:space="preserve">Calculation</t>
        </is>
      </c>
      <c r="B448">
        <f>IF(IF(EXACT("Per audit — low",'Model inputs'!O83)="",FALSE,EXACT("Per audit — low",'Model inputs'!O83)),IF('DealScope monthly model and pri'!G38="","",'DealScope monthly model and pri'!G38),"")</f>
      </c>
    </row>
    <row r="449">
      <c r="A449" t="inlineStr" s="16">
        <is>
          <t xml:space="preserve">Calculation</t>
        </is>
      </c>
      <c r="B449">
        <f>IF(IF(EXACT("Annual deal-team",'Model inputs'!O83)="",FALSE,EXACT("Annual deal-team",'Model inputs'!O83)),IF('DealScope monthly model and pri'!H34="","",'DealScope monthly model and pri'!H34),"")</f>
      </c>
    </row>
    <row r="450">
      <c r="A450" t="inlineStr" s="16">
        <is>
          <t xml:space="preserve">Calculation</t>
        </is>
      </c>
      <c r="B450">
        <f>IF(IF(EXACT("Hybrid",'Model inputs'!O83)="",FALSE,EXACT("Hybrid",'Model inputs'!O83)),IF('DealScope monthly model and pri'!H35="","",'DealScope monthly model and pri'!H35),"")</f>
      </c>
    </row>
    <row r="451">
      <c r="A451" t="inlineStr" s="16">
        <is>
          <t xml:space="preserve">Calculation</t>
        </is>
      </c>
      <c r="B451">
        <f>IF(IF(EXACT("Per audit — base",'Model inputs'!O83)="",FALSE,EXACT("Per audit — base",'Model inputs'!O83)),IF('DealScope monthly model and pri'!H36="","",'DealScope monthly model and pri'!H36),"")</f>
      </c>
    </row>
    <row r="452">
      <c r="A452" t="inlineStr" s="16">
        <is>
          <t xml:space="preserve">Calculation</t>
        </is>
      </c>
      <c r="B452">
        <f>IF(IF(EXACT("Per audit — high",'Model inputs'!O83)="",FALSE,EXACT("Per audit — high",'Model inputs'!O83)),IF('DealScope monthly model and pri'!H37="","",'DealScope monthly model and pri'!H37),"")</f>
      </c>
    </row>
    <row r="453">
      <c r="A453" t="inlineStr" s="16">
        <is>
          <t xml:space="preserve">Calculation</t>
        </is>
      </c>
      <c r="B453">
        <f>IF(IF(EXACT("Per audit — low",'Model inputs'!O83)="",FALSE,EXACT("Per audit — low",'Model inputs'!O83)),IF('DealScope monthly model and pri'!H38="","",'DealScope monthly model and pri'!H38),"")</f>
      </c>
    </row>
    <row r="454">
      <c r="A454" t="inlineStr" s="16">
        <is>
          <t xml:space="preserve">Calculation</t>
        </is>
      </c>
      <c r="B454">
        <f>IF(IF(EXACT("Annual deal-team",'Model inputs'!O83)="",FALSE,EXACT("Annual deal-team",'Model inputs'!O83)),IF('DealScope monthly model and pri'!I34="","",'DealScope monthly model and pri'!I34),"")</f>
      </c>
    </row>
    <row r="455">
      <c r="A455" t="inlineStr" s="16">
        <is>
          <t xml:space="preserve">Calculation</t>
        </is>
      </c>
      <c r="B455">
        <f>IF(IF(EXACT("Hybrid",'Model inputs'!O83)="",FALSE,EXACT("Hybrid",'Model inputs'!O83)),IF('DealScope monthly model and pri'!I35="","",'DealScope monthly model and pri'!I35),"")</f>
      </c>
    </row>
    <row r="456">
      <c r="A456" t="inlineStr" s="16">
        <is>
          <t xml:space="preserve">Calculation</t>
        </is>
      </c>
      <c r="B456">
        <f>IF(IF(EXACT("Per audit — base",'Model inputs'!O83)="",FALSE,EXACT("Per audit — base",'Model inputs'!O83)),IF('DealScope monthly model and pri'!I36="","",'DealScope monthly model and pri'!I36),"")</f>
      </c>
    </row>
    <row r="457">
      <c r="A457" t="inlineStr" s="16">
        <is>
          <t xml:space="preserve">Calculation</t>
        </is>
      </c>
      <c r="B457">
        <f>IF(IF(EXACT("Per audit — high",'Model inputs'!O83)="",FALSE,EXACT("Per audit — high",'Model inputs'!O83)),IF('DealScope monthly model and pri'!I37="","",'DealScope monthly model and pri'!I37),"")</f>
      </c>
    </row>
    <row r="458">
      <c r="A458" t="inlineStr" s="16">
        <is>
          <t xml:space="preserve">Calculation</t>
        </is>
      </c>
      <c r="B458">
        <f>IF(IF(EXACT("Per audit — low",'Model inputs'!O83)="",FALSE,EXACT("Per audit — low",'Model inputs'!O83)),IF('DealScope monthly model and pri'!I38="","",'DealScope monthly model and pri'!I38),"")</f>
      </c>
    </row>
    <row r="459">
      <c r="A459" t="inlineStr" s="16">
        <is>
          <t xml:space="preserve">Calculation</t>
        </is>
      </c>
      <c r="B459">
        <f>IF(IF(EXACT("Annual deal-team",'Model inputs'!O83)="",FALSE,EXACT("Annual deal-team",'Model inputs'!O83)),IF('DealScope monthly model and pri'!J34="","",'DealScope monthly model and pri'!J34),"")</f>
      </c>
    </row>
    <row r="460">
      <c r="A460" t="inlineStr" s="16">
        <is>
          <t xml:space="preserve">Calculation</t>
        </is>
      </c>
      <c r="B460">
        <f>IF(IF(EXACT("Hybrid",'Model inputs'!O83)="",FALSE,EXACT("Hybrid",'Model inputs'!O83)),IF('DealScope monthly model and pri'!J35="","",'DealScope monthly model and pri'!J35),"")</f>
      </c>
    </row>
    <row r="461">
      <c r="A461" t="inlineStr" s="16">
        <is>
          <t xml:space="preserve">Calculation</t>
        </is>
      </c>
      <c r="B461">
        <f>IF(IF(EXACT("Per audit — base",'Model inputs'!O83)="",FALSE,EXACT("Per audit — base",'Model inputs'!O83)),IF('DealScope monthly model and pri'!J36="","",'DealScope monthly model and pri'!J36),"")</f>
      </c>
    </row>
    <row r="462">
      <c r="A462" t="inlineStr" s="16">
        <is>
          <t xml:space="preserve">Calculation</t>
        </is>
      </c>
      <c r="B462">
        <f>IF(IF(EXACT("Per audit — high",'Model inputs'!O83)="",FALSE,EXACT("Per audit — high",'Model inputs'!O83)),IF('DealScope monthly model and pri'!J37="","",'DealScope monthly model and pri'!J37),"")</f>
      </c>
    </row>
    <row r="463">
      <c r="A463" t="inlineStr" s="16">
        <is>
          <t xml:space="preserve">Calculation</t>
        </is>
      </c>
      <c r="B463">
        <f>IF(IF(EXACT("Per audit — low",'Model inputs'!O83)="",FALSE,EXACT("Per audit — low",'Model inputs'!O83)),IF('DealScope monthly model and pri'!J38="","",'DealScope monthly model and pri'!J38),"")</f>
      </c>
    </row>
    <row r="464">
      <c r="A464" t="inlineStr" s="16">
        <is>
          <t xml:space="preserve">Calculation</t>
        </is>
      </c>
      <c r="B464">
        <f>IF(IF(EXACT("Annual deal-team",'Model inputs'!O83)="",FALSE,EXACT("Annual deal-team",'Model inputs'!O83)),IF('DealScope monthly model and pri'!K34="","",'DealScope monthly model and pri'!K34),"")</f>
      </c>
    </row>
    <row r="465">
      <c r="A465" t="inlineStr" s="16">
        <is>
          <t xml:space="preserve">Calculation</t>
        </is>
      </c>
      <c r="B465">
        <f>IF(IF(EXACT("Hybrid",'Model inputs'!O83)="",FALSE,EXACT("Hybrid",'Model inputs'!O83)),IF('DealScope monthly model and pri'!K35="","",'DealScope monthly model and pri'!K35),"")</f>
      </c>
    </row>
    <row r="466">
      <c r="A466" t="inlineStr" s="16">
        <is>
          <t xml:space="preserve">Calculation</t>
        </is>
      </c>
      <c r="B466">
        <f>IF(IF(EXACT("Per audit — base",'Model inputs'!O83)="",FALSE,EXACT("Per audit — base",'Model inputs'!O83)),IF('DealScope monthly model and pri'!K36="","",'DealScope monthly model and pri'!K36),"")</f>
      </c>
    </row>
    <row r="467">
      <c r="A467" t="inlineStr" s="16">
        <is>
          <t xml:space="preserve">Calculation</t>
        </is>
      </c>
      <c r="B467">
        <f>IF(IF(EXACT("Per audit — high",'Model inputs'!O83)="",FALSE,EXACT("Per audit — high",'Model inputs'!O83)),IF('DealScope monthly model and pri'!K37="","",'DealScope monthly model and pri'!K37),"")</f>
      </c>
    </row>
    <row r="468">
      <c r="A468" t="inlineStr" s="16">
        <is>
          <t xml:space="preserve">Calculation</t>
        </is>
      </c>
      <c r="B468">
        <f>IF(IF(EXACT("Per audit — low",'Model inputs'!O83)="",FALSE,EXACT("Per audit — low",'Model inputs'!O83)),IF('DealScope monthly model and pri'!K38="","",'DealScope monthly model and pri'!K38),"")</f>
      </c>
    </row>
    <row r="469">
      <c r="A469" t="inlineStr" s="16">
        <is>
          <t xml:space="preserve">Calculation</t>
        </is>
      </c>
      <c r="B469">
        <f>IF(IF(EXACT("Annual deal-team",'Model inputs'!O83)="",FALSE,EXACT("Annual deal-team",'Model inputs'!O83)),IF('DealScope monthly model and pri'!L34="","",'DealScope monthly model and pri'!L34),"")</f>
      </c>
    </row>
    <row r="470">
      <c r="A470" t="inlineStr" s="16">
        <is>
          <t xml:space="preserve">Calculation</t>
        </is>
      </c>
      <c r="B470">
        <f>IF(IF(EXACT("Hybrid",'Model inputs'!O83)="",FALSE,EXACT("Hybrid",'Model inputs'!O83)),IF('DealScope monthly model and pri'!L35="","",'DealScope monthly model and pri'!L35),"")</f>
      </c>
    </row>
    <row r="471">
      <c r="A471" t="inlineStr" s="16">
        <is>
          <t xml:space="preserve">Calculation</t>
        </is>
      </c>
      <c r="B471">
        <f>IF(IF(EXACT("Per audit — base",'Model inputs'!O83)="",FALSE,EXACT("Per audit — base",'Model inputs'!O83)),IF('DealScope monthly model and pri'!L36="","",'DealScope monthly model and pri'!L36),"")</f>
      </c>
    </row>
    <row r="472">
      <c r="A472" t="inlineStr" s="16">
        <is>
          <t xml:space="preserve">Calculation</t>
        </is>
      </c>
      <c r="B472">
        <f>IF(IF(EXACT("Per audit — high",'Model inputs'!O83)="",FALSE,EXACT("Per audit — high",'Model inputs'!O83)),IF('DealScope monthly model and pri'!L37="","",'DealScope monthly model and pri'!L37),"")</f>
      </c>
    </row>
    <row r="473">
      <c r="A473" t="inlineStr" s="16">
        <is>
          <t xml:space="preserve">Calculation</t>
        </is>
      </c>
      <c r="B473">
        <f>IF(IF(EXACT("Per audit — low",'Model inputs'!O83)="",FALSE,EXACT("Per audit — low",'Model inputs'!O83)),IF('DealScope monthly model and pri'!L38="","",'DealScope monthly model and pri'!L38),"")</f>
      </c>
    </row>
    <row r="474">
      <c r="A474" t="inlineStr" s="16">
        <is>
          <t xml:space="preserve">Calculation</t>
        </is>
      </c>
      <c r="B474">
        <f>IF(IF(EXACT("Annual deal-team",'Model inputs'!O83)="",FALSE,EXACT("Annual deal-team",'Model inputs'!O83)),IF('DealScope monthly model and pri'!M34="","",'DealScope monthly model and pri'!M34),"")</f>
      </c>
    </row>
    <row r="475">
      <c r="A475" t="inlineStr" s="16">
        <is>
          <t xml:space="preserve">Calculation</t>
        </is>
      </c>
      <c r="B475">
        <f>IF(IF(EXACT("Hybrid",'Model inputs'!O83)="",FALSE,EXACT("Hybrid",'Model inputs'!O83)),IF('DealScope monthly model and pri'!M35="","",'DealScope monthly model and pri'!M35),"")</f>
      </c>
    </row>
    <row r="476">
      <c r="A476" t="inlineStr" s="16">
        <is>
          <t xml:space="preserve">Calculation</t>
        </is>
      </c>
      <c r="B476">
        <f>IF(IF(EXACT("Per audit — base",'Model inputs'!O83)="",FALSE,EXACT("Per audit — base",'Model inputs'!O83)),IF('DealScope monthly model and pri'!M36="","",'DealScope monthly model and pri'!M36),"")</f>
      </c>
    </row>
    <row r="477">
      <c r="A477" t="inlineStr" s="16">
        <is>
          <t xml:space="preserve">Calculation</t>
        </is>
      </c>
      <c r="B477">
        <f>IF(IF(EXACT("Per audit — high",'Model inputs'!O83)="",FALSE,EXACT("Per audit — high",'Model inputs'!O83)),IF('DealScope monthly model and pri'!M37="","",'DealScope monthly model and pri'!M37),"")</f>
      </c>
    </row>
    <row r="478">
      <c r="A478" t="inlineStr" s="16">
        <is>
          <t xml:space="preserve">Calculation</t>
        </is>
      </c>
      <c r="B478">
        <f>IF(IF(EXACT("Per audit — low",'Model inputs'!O83)="",FALSE,EXACT("Per audit — low",'Model inputs'!O83)),IF('DealScope monthly model and pri'!M38="","",'DealScope monthly model and pri'!M38),"")</f>
      </c>
    </row>
    <row r="479">
      <c r="A479" t="inlineStr" s="16">
        <is>
          <t xml:space="preserve">Calculation</t>
        </is>
      </c>
      <c r="B479">
        <f>IF(IF(EXACT("Annual deal-team",'Model inputs'!O83)="",FALSE,EXACT("Annual deal-team",'Model inputs'!O83)),IF('DealScope monthly model and pri'!B40="","",'DealScope monthly model and pri'!B40),"")</f>
      </c>
    </row>
    <row r="480">
      <c r="A480" t="inlineStr" s="16">
        <is>
          <t xml:space="preserve">Calculation</t>
        </is>
      </c>
      <c r="B480">
        <f>IF(IF(EXACT("Hybrid",'Model inputs'!O83)="",FALSE,EXACT("Hybrid",'Model inputs'!O83)),IF('DealScope monthly model and pri'!B41="","",'DealScope monthly model and pri'!B41),"")</f>
      </c>
    </row>
    <row r="481">
      <c r="A481" t="inlineStr" s="16">
        <is>
          <t xml:space="preserve">Calculation</t>
        </is>
      </c>
      <c r="B481">
        <f>IF(IF(EXACT("Per audit — base",'Model inputs'!O83)="",FALSE,EXACT("Per audit — base",'Model inputs'!O83)),IF('DealScope monthly model and pri'!B42="","",'DealScope monthly model and pri'!B42),"")</f>
      </c>
    </row>
    <row r="482">
      <c r="A482" t="inlineStr" s="16">
        <is>
          <t xml:space="preserve">Calculation</t>
        </is>
      </c>
      <c r="B482">
        <f>IF(IF(EXACT("Per audit — high",'Model inputs'!O83)="",FALSE,EXACT("Per audit — high",'Model inputs'!O83)),IF('DealScope monthly model and pri'!B43="","",'DealScope monthly model and pri'!B43),"")</f>
      </c>
    </row>
    <row r="483">
      <c r="A483" t="inlineStr" s="16">
        <is>
          <t xml:space="preserve">Calculation</t>
        </is>
      </c>
      <c r="B483">
        <f>IF(IF(EXACT("Per audit — low",'Model inputs'!O83)="",FALSE,EXACT("Per audit — low",'Model inputs'!O83)),IF('DealScope monthly model and pri'!B44="","",'DealScope monthly model and pri'!B44),"")</f>
      </c>
    </row>
    <row r="484">
      <c r="A484" t="inlineStr" s="16">
        <is>
          <t xml:space="preserve">Calculation</t>
        </is>
      </c>
      <c r="B484">
        <f>IF(IF(EXACT("Annual deal-team",'Model inputs'!O83)="",FALSE,EXACT("Annual deal-team",'Model inputs'!O83)),IF('DealScope monthly model and pri'!C40="","",'DealScope monthly model and pri'!C40),"")</f>
      </c>
    </row>
    <row r="485">
      <c r="A485" t="inlineStr" s="16">
        <is>
          <t xml:space="preserve">Calculation</t>
        </is>
      </c>
      <c r="B485">
        <f>IF(IF(EXACT("Hybrid",'Model inputs'!O83)="",FALSE,EXACT("Hybrid",'Model inputs'!O83)),IF('DealScope monthly model and pri'!C41="","",'DealScope monthly model and pri'!C41),"")</f>
      </c>
    </row>
    <row r="486">
      <c r="A486" t="inlineStr" s="16">
        <is>
          <t xml:space="preserve">Calculation</t>
        </is>
      </c>
      <c r="B486">
        <f>IF(IF(EXACT("Per audit — base",'Model inputs'!O83)="",FALSE,EXACT("Per audit — base",'Model inputs'!O83)),IF('DealScope monthly model and pri'!C42="","",'DealScope monthly model and pri'!C42),"")</f>
      </c>
    </row>
    <row r="487">
      <c r="A487" t="inlineStr" s="16">
        <is>
          <t xml:space="preserve">Calculation</t>
        </is>
      </c>
      <c r="B487">
        <f>IF(IF(EXACT("Per audit — high",'Model inputs'!O83)="",FALSE,EXACT("Per audit — high",'Model inputs'!O83)),IF('DealScope monthly model and pri'!C43="","",'DealScope monthly model and pri'!C43),"")</f>
      </c>
    </row>
    <row r="488">
      <c r="A488" t="inlineStr" s="16">
        <is>
          <t xml:space="preserve">Calculation</t>
        </is>
      </c>
      <c r="B488">
        <f>IF(IF(EXACT("Per audit — low",'Model inputs'!O83)="",FALSE,EXACT("Per audit — low",'Model inputs'!O83)),IF('DealScope monthly model and pri'!C44="","",'DealScope monthly model and pri'!C44),"")</f>
      </c>
    </row>
    <row r="489">
      <c r="A489" t="inlineStr" s="16">
        <is>
          <t xml:space="preserve">Calculation</t>
        </is>
      </c>
      <c r="B489">
        <f>IF(IF(EXACT("Annual deal-team",'Model inputs'!O83)="",FALSE,EXACT("Annual deal-team",'Model inputs'!O83)),IF('DealScope monthly model and pri'!D40="","",'DealScope monthly model and pri'!D40),"")</f>
      </c>
    </row>
    <row r="490">
      <c r="A490" t="inlineStr" s="16">
        <is>
          <t xml:space="preserve">Calculation</t>
        </is>
      </c>
      <c r="B490">
        <f>IF(IF(EXACT("Hybrid",'Model inputs'!O83)="",FALSE,EXACT("Hybrid",'Model inputs'!O83)),IF('DealScope monthly model and pri'!D41="","",'DealScope monthly model and pri'!D41),"")</f>
      </c>
    </row>
    <row r="491">
      <c r="A491" t="inlineStr" s="16">
        <is>
          <t xml:space="preserve">Calculation</t>
        </is>
      </c>
      <c r="B491">
        <f>IF(IF(EXACT("Per audit — base",'Model inputs'!O83)="",FALSE,EXACT("Per audit — base",'Model inputs'!O83)),IF('DealScope monthly model and pri'!D42="","",'DealScope monthly model and pri'!D42),"")</f>
      </c>
    </row>
    <row r="492">
      <c r="A492" t="inlineStr" s="16">
        <is>
          <t xml:space="preserve">Calculation</t>
        </is>
      </c>
      <c r="B492">
        <f>IF(IF(EXACT("Per audit — high",'Model inputs'!O83)="",FALSE,EXACT("Per audit — high",'Model inputs'!O83)),IF('DealScope monthly model and pri'!D43="","",'DealScope monthly model and pri'!D43),"")</f>
      </c>
    </row>
    <row r="493">
      <c r="A493" t="inlineStr" s="16">
        <is>
          <t xml:space="preserve">Calculation</t>
        </is>
      </c>
      <c r="B493">
        <f>IF(IF(EXACT("Per audit — low",'Model inputs'!O83)="",FALSE,EXACT("Per audit — low",'Model inputs'!O83)),IF('DealScope monthly model and pri'!D44="","",'DealScope monthly model and pri'!D44),"")</f>
      </c>
    </row>
    <row r="494">
      <c r="A494" t="inlineStr" s="16">
        <is>
          <t xml:space="preserve">Calculation</t>
        </is>
      </c>
      <c r="B494">
        <f>IF(IF(EXACT("Annual deal-team",'Model inputs'!O83)="",FALSE,EXACT("Annual deal-team",'Model inputs'!O83)),IF('DealScope monthly model and pri'!E40="","",'DealScope monthly model and pri'!E40),"")</f>
      </c>
    </row>
    <row r="495">
      <c r="A495" t="inlineStr" s="16">
        <is>
          <t xml:space="preserve">Calculation</t>
        </is>
      </c>
      <c r="B495">
        <f>IF(IF(EXACT("Hybrid",'Model inputs'!O83)="",FALSE,EXACT("Hybrid",'Model inputs'!O83)),IF('DealScope monthly model and pri'!E41="","",'DealScope monthly model and pri'!E41),"")</f>
      </c>
    </row>
    <row r="496">
      <c r="A496" t="inlineStr" s="16">
        <is>
          <t xml:space="preserve">Calculation</t>
        </is>
      </c>
      <c r="B496">
        <f>IF(IF(EXACT("Per audit — base",'Model inputs'!O83)="",FALSE,EXACT("Per audit — base",'Model inputs'!O83)),IF('DealScope monthly model and pri'!E42="","",'DealScope monthly model and pri'!E42),"")</f>
      </c>
    </row>
    <row r="497">
      <c r="A497" t="inlineStr" s="16">
        <is>
          <t xml:space="preserve">Calculation</t>
        </is>
      </c>
      <c r="B497">
        <f>IF(IF(EXACT("Per audit — high",'Model inputs'!O83)="",FALSE,EXACT("Per audit — high",'Model inputs'!O83)),IF('DealScope monthly model and pri'!E43="","",'DealScope monthly model and pri'!E43),"")</f>
      </c>
    </row>
    <row r="498">
      <c r="A498" t="inlineStr" s="16">
        <is>
          <t xml:space="preserve">Calculation</t>
        </is>
      </c>
      <c r="B498">
        <f>IF(IF(EXACT("Per audit — low",'Model inputs'!O83)="",FALSE,EXACT("Per audit — low",'Model inputs'!O83)),IF('DealScope monthly model and pri'!E44="","",'DealScope monthly model and pri'!E44),"")</f>
      </c>
    </row>
    <row r="499">
      <c r="A499" t="inlineStr" s="16">
        <is>
          <t xml:space="preserve">Calculation</t>
        </is>
      </c>
      <c r="B499">
        <f>IF(IF(EXACT("Annual deal-team",'Model inputs'!O83)="",FALSE,EXACT("Annual deal-team",'Model inputs'!O83)),IF('DealScope monthly model and pri'!F40="","",'DealScope monthly model and pri'!F40),"")</f>
      </c>
    </row>
    <row r="500">
      <c r="A500" t="inlineStr" s="16">
        <is>
          <t xml:space="preserve">Calculation</t>
        </is>
      </c>
      <c r="B500">
        <f>IF(IF(EXACT("Hybrid",'Model inputs'!O83)="",FALSE,EXACT("Hybrid",'Model inputs'!O83)),IF('DealScope monthly model and pri'!F41="","",'DealScope monthly model and pri'!F41),"")</f>
      </c>
    </row>
    <row r="501">
      <c r="A501" t="inlineStr" s="16">
        <is>
          <t xml:space="preserve">Calculation</t>
        </is>
      </c>
      <c r="B501">
        <f>IF(IF(EXACT("Per audit — base",'Model inputs'!O83)="",FALSE,EXACT("Per audit — base",'Model inputs'!O83)),IF('DealScope monthly model and pri'!F42="","",'DealScope monthly model and pri'!F42),"")</f>
      </c>
    </row>
    <row r="502">
      <c r="A502" t="inlineStr" s="16">
        <is>
          <t xml:space="preserve">Calculation</t>
        </is>
      </c>
      <c r="B502">
        <f>IF(IF(EXACT("Per audit — high",'Model inputs'!O83)="",FALSE,EXACT("Per audit — high",'Model inputs'!O83)),IF('DealScope monthly model and pri'!F43="","",'DealScope monthly model and pri'!F43),"")</f>
      </c>
    </row>
    <row r="503">
      <c r="A503" t="inlineStr" s="16">
        <is>
          <t xml:space="preserve">Calculation</t>
        </is>
      </c>
      <c r="B503">
        <f>IF(IF(EXACT("Per audit — low",'Model inputs'!O83)="",FALSE,EXACT("Per audit — low",'Model inputs'!O83)),IF('DealScope monthly model and pri'!F44="","",'DealScope monthly model and pri'!F44),"")</f>
      </c>
    </row>
    <row r="504">
      <c r="A504" t="inlineStr" s="16">
        <is>
          <t xml:space="preserve">Calculation</t>
        </is>
      </c>
      <c r="B504">
        <f>IF(IF(EXACT("Annual deal-team",'Model inputs'!O83)="",FALSE,EXACT("Annual deal-team",'Model inputs'!O83)),IF('DealScope monthly model and pri'!G40="","",'DealScope monthly model and pri'!G40),"")</f>
      </c>
    </row>
    <row r="505">
      <c r="A505" t="inlineStr" s="16">
        <is>
          <t xml:space="preserve">Calculation</t>
        </is>
      </c>
      <c r="B505">
        <f>IF(IF(EXACT("Hybrid",'Model inputs'!O83)="",FALSE,EXACT("Hybrid",'Model inputs'!O83)),IF('DealScope monthly model and pri'!G41="","",'DealScope monthly model and pri'!G41),"")</f>
      </c>
    </row>
    <row r="506">
      <c r="A506" t="inlineStr" s="16">
        <is>
          <t xml:space="preserve">Calculation</t>
        </is>
      </c>
      <c r="B506">
        <f>IF(IF(EXACT("Per audit — base",'Model inputs'!O83)="",FALSE,EXACT("Per audit — base",'Model inputs'!O83)),IF('DealScope monthly model and pri'!G42="","",'DealScope monthly model and pri'!G42),"")</f>
      </c>
    </row>
    <row r="507">
      <c r="A507" t="inlineStr" s="16">
        <is>
          <t xml:space="preserve">Calculation</t>
        </is>
      </c>
      <c r="B507">
        <f>IF(IF(EXACT("Per audit — high",'Model inputs'!O83)="",FALSE,EXACT("Per audit — high",'Model inputs'!O83)),IF('DealScope monthly model and pri'!G43="","",'DealScope monthly model and pri'!G43),"")</f>
      </c>
    </row>
    <row r="508">
      <c r="A508" t="inlineStr" s="16">
        <is>
          <t xml:space="preserve">Calculation</t>
        </is>
      </c>
      <c r="B508">
        <f>IF(IF(EXACT("Per audit — low",'Model inputs'!O83)="",FALSE,EXACT("Per audit — low",'Model inputs'!O83)),IF('DealScope monthly model and pri'!G44="","",'DealScope monthly model and pri'!G44),"")</f>
      </c>
    </row>
    <row r="509">
      <c r="A509" t="inlineStr" s="16">
        <is>
          <t xml:space="preserve">Calculation</t>
        </is>
      </c>
      <c r="B509">
        <f>IF(IF(EXACT("Annual deal-team",'Model inputs'!O83)="",FALSE,EXACT("Annual deal-team",'Model inputs'!O83)),IF('DealScope monthly model and pri'!H40="","",'DealScope monthly model and pri'!H40),"")</f>
      </c>
    </row>
    <row r="510">
      <c r="A510" t="inlineStr" s="16">
        <is>
          <t xml:space="preserve">Calculation</t>
        </is>
      </c>
      <c r="B510">
        <f>IF(IF(EXACT("Hybrid",'Model inputs'!O83)="",FALSE,EXACT("Hybrid",'Model inputs'!O83)),IF('DealScope monthly model and pri'!H41="","",'DealScope monthly model and pri'!H41),"")</f>
      </c>
    </row>
    <row r="511">
      <c r="A511" t="inlineStr" s="16">
        <is>
          <t xml:space="preserve">Calculation</t>
        </is>
      </c>
      <c r="B511">
        <f>IF(IF(EXACT("Per audit — base",'Model inputs'!O83)="",FALSE,EXACT("Per audit — base",'Model inputs'!O83)),IF('DealScope monthly model and pri'!H42="","",'DealScope monthly model and pri'!H42),"")</f>
      </c>
    </row>
    <row r="512">
      <c r="A512" t="inlineStr" s="16">
        <is>
          <t xml:space="preserve">Calculation</t>
        </is>
      </c>
      <c r="B512">
        <f>IF(IF(EXACT("Per audit — high",'Model inputs'!O83)="",FALSE,EXACT("Per audit — high",'Model inputs'!O83)),IF('DealScope monthly model and pri'!H43="","",'DealScope monthly model and pri'!H43),"")</f>
      </c>
    </row>
    <row r="513">
      <c r="A513" t="inlineStr" s="16">
        <is>
          <t xml:space="preserve">Calculation</t>
        </is>
      </c>
      <c r="B513">
        <f>IF(IF(EXACT("Per audit — low",'Model inputs'!O83)="",FALSE,EXACT("Per audit — low",'Model inputs'!O83)),IF('DealScope monthly model and pri'!H44="","",'DealScope monthly model and pri'!H44),"")</f>
      </c>
    </row>
    <row r="514">
      <c r="A514" t="inlineStr" s="16">
        <is>
          <t xml:space="preserve">Calculation</t>
        </is>
      </c>
      <c r="B514">
        <f>IF(IF(EXACT("Annual deal-team",'Model inputs'!O83)="",FALSE,EXACT("Annual deal-team",'Model inputs'!O83)),IF('DealScope monthly model and pri'!I40="","",'DealScope monthly model and pri'!I40),"")</f>
      </c>
    </row>
    <row r="515">
      <c r="A515" t="inlineStr" s="16">
        <is>
          <t xml:space="preserve">Calculation</t>
        </is>
      </c>
      <c r="B515">
        <f>IF(IF(EXACT("Hybrid",'Model inputs'!O83)="",FALSE,EXACT("Hybrid",'Model inputs'!O83)),IF('DealScope monthly model and pri'!I41="","",'DealScope monthly model and pri'!I41),"")</f>
      </c>
    </row>
    <row r="516">
      <c r="A516" t="inlineStr" s="16">
        <is>
          <t xml:space="preserve">Calculation</t>
        </is>
      </c>
      <c r="B516">
        <f>IF(IF(EXACT("Per audit — base",'Model inputs'!O83)="",FALSE,EXACT("Per audit — base",'Model inputs'!O83)),IF('DealScope monthly model and pri'!I42="","",'DealScope monthly model and pri'!I42),"")</f>
      </c>
    </row>
    <row r="517">
      <c r="A517" t="inlineStr" s="16">
        <is>
          <t xml:space="preserve">Calculation</t>
        </is>
      </c>
      <c r="B517">
        <f>IF(IF(EXACT("Per audit — high",'Model inputs'!O83)="",FALSE,EXACT("Per audit — high",'Model inputs'!O83)),IF('DealScope monthly model and pri'!I43="","",'DealScope monthly model and pri'!I43),"")</f>
      </c>
    </row>
    <row r="518">
      <c r="A518" t="inlineStr" s="16">
        <is>
          <t xml:space="preserve">Calculation</t>
        </is>
      </c>
      <c r="B518">
        <f>IF(IF(EXACT("Per audit — low",'Model inputs'!O83)="",FALSE,EXACT("Per audit — low",'Model inputs'!O83)),IF('DealScope monthly model and pri'!I44="","",'DealScope monthly model and pri'!I44),"")</f>
      </c>
    </row>
    <row r="519">
      <c r="A519" t="inlineStr" s="16">
        <is>
          <t xml:space="preserve">Calculation</t>
        </is>
      </c>
      <c r="B519">
        <f>IF(IF(EXACT("Annual deal-team",'Model inputs'!O83)="",FALSE,EXACT("Annual deal-team",'Model inputs'!O83)),IF('DealScope monthly model and pri'!J40="","",'DealScope monthly model and pri'!J40),"")</f>
      </c>
    </row>
    <row r="520">
      <c r="A520" t="inlineStr" s="16">
        <is>
          <t xml:space="preserve">Calculation</t>
        </is>
      </c>
      <c r="B520">
        <f>IF(IF(EXACT("Hybrid",'Model inputs'!O83)="",FALSE,EXACT("Hybrid",'Model inputs'!O83)),IF('DealScope monthly model and pri'!J41="","",'DealScope monthly model and pri'!J41),"")</f>
      </c>
    </row>
    <row r="521">
      <c r="A521" t="inlineStr" s="16">
        <is>
          <t xml:space="preserve">Calculation</t>
        </is>
      </c>
      <c r="B521">
        <f>IF(IF(EXACT("Per audit — base",'Model inputs'!O83)="",FALSE,EXACT("Per audit — base",'Model inputs'!O83)),IF('DealScope monthly model and pri'!J42="","",'DealScope monthly model and pri'!J42),"")</f>
      </c>
    </row>
    <row r="522">
      <c r="A522" t="inlineStr" s="16">
        <is>
          <t xml:space="preserve">Calculation</t>
        </is>
      </c>
      <c r="B522">
        <f>IF(IF(EXACT("Per audit — high",'Model inputs'!O83)="",FALSE,EXACT("Per audit — high",'Model inputs'!O83)),IF('DealScope monthly model and pri'!J43="","",'DealScope monthly model and pri'!J43),"")</f>
      </c>
    </row>
    <row r="523">
      <c r="A523" t="inlineStr" s="16">
        <is>
          <t xml:space="preserve">Calculation</t>
        </is>
      </c>
      <c r="B523">
        <f>IF(IF(EXACT("Per audit — low",'Model inputs'!O83)="",FALSE,EXACT("Per audit — low",'Model inputs'!O83)),IF('DealScope monthly model and pri'!J44="","",'DealScope monthly model and pri'!J44),"")</f>
      </c>
    </row>
    <row r="524">
      <c r="A524" t="inlineStr" s="16">
        <is>
          <t xml:space="preserve">Calculation</t>
        </is>
      </c>
      <c r="B524">
        <f>IF(IF(EXACT("Annual deal-team",'Model inputs'!O83)="",FALSE,EXACT("Annual deal-team",'Model inputs'!O83)),IF('DealScope monthly model and pri'!K40="","",'DealScope monthly model and pri'!K40),"")</f>
      </c>
    </row>
    <row r="525">
      <c r="A525" t="inlineStr" s="16">
        <is>
          <t xml:space="preserve">Calculation</t>
        </is>
      </c>
      <c r="B525">
        <f>IF(IF(EXACT("Hybrid",'Model inputs'!O83)="",FALSE,EXACT("Hybrid",'Model inputs'!O83)),IF('DealScope monthly model and pri'!K41="","",'DealScope monthly model and pri'!K41),"")</f>
      </c>
    </row>
    <row r="526">
      <c r="A526" t="inlineStr" s="16">
        <is>
          <t xml:space="preserve">Calculation</t>
        </is>
      </c>
      <c r="B526">
        <f>IF(IF(EXACT("Per audit — base",'Model inputs'!O83)="",FALSE,EXACT("Per audit — base",'Model inputs'!O83)),IF('DealScope monthly model and pri'!K42="","",'DealScope monthly model and pri'!K42),"")</f>
      </c>
    </row>
    <row r="527">
      <c r="A527" t="inlineStr" s="16">
        <is>
          <t xml:space="preserve">Calculation</t>
        </is>
      </c>
      <c r="B527">
        <f>IF(IF(EXACT("Per audit — high",'Model inputs'!O83)="",FALSE,EXACT("Per audit — high",'Model inputs'!O83)),IF('DealScope monthly model and pri'!K43="","",'DealScope monthly model and pri'!K43),"")</f>
      </c>
    </row>
    <row r="528">
      <c r="A528" t="inlineStr" s="16">
        <is>
          <t xml:space="preserve">Calculation</t>
        </is>
      </c>
      <c r="B528">
        <f>IF(IF(EXACT("Per audit — low",'Model inputs'!O83)="",FALSE,EXACT("Per audit — low",'Model inputs'!O83)),IF('DealScope monthly model and pri'!K44="","",'DealScope monthly model and pri'!K44),"")</f>
      </c>
    </row>
    <row r="529">
      <c r="A529" t="inlineStr" s="16">
        <is>
          <t xml:space="preserve">Calculation</t>
        </is>
      </c>
      <c r="B529">
        <f>IF(IF(EXACT("Annual deal-team",'Model inputs'!O83)="",FALSE,EXACT("Annual deal-team",'Model inputs'!O83)),IF('DealScope monthly model and pri'!L40="","",'DealScope monthly model and pri'!L40),"")</f>
      </c>
    </row>
    <row r="530">
      <c r="A530" t="inlineStr" s="16">
        <is>
          <t xml:space="preserve">Calculation</t>
        </is>
      </c>
      <c r="B530">
        <f>IF(IF(EXACT("Hybrid",'Model inputs'!O83)="",FALSE,EXACT("Hybrid",'Model inputs'!O83)),IF('DealScope monthly model and pri'!L41="","",'DealScope monthly model and pri'!L41),"")</f>
      </c>
    </row>
    <row r="531">
      <c r="A531" t="inlineStr" s="16">
        <is>
          <t xml:space="preserve">Calculation</t>
        </is>
      </c>
      <c r="B531">
        <f>IF(IF(EXACT("Per audit — base",'Model inputs'!O83)="",FALSE,EXACT("Per audit — base",'Model inputs'!O83)),IF('DealScope monthly model and pri'!L42="","",'DealScope monthly model and pri'!L42),"")</f>
      </c>
    </row>
    <row r="532">
      <c r="A532" t="inlineStr" s="16">
        <is>
          <t xml:space="preserve">Calculation</t>
        </is>
      </c>
      <c r="B532">
        <f>IF(IF(EXACT("Per audit — high",'Model inputs'!O83)="",FALSE,EXACT("Per audit — high",'Model inputs'!O83)),IF('DealScope monthly model and pri'!L43="","",'DealScope monthly model and pri'!L43),"")</f>
      </c>
    </row>
    <row r="533">
      <c r="A533" t="inlineStr" s="16">
        <is>
          <t xml:space="preserve">Calculation</t>
        </is>
      </c>
      <c r="B533">
        <f>IF(IF(EXACT("Per audit — low",'Model inputs'!O83)="",FALSE,EXACT("Per audit — low",'Model inputs'!O83)),IF('DealScope monthly model and pri'!L44="","",'DealScope monthly model and pri'!L44),"")</f>
      </c>
    </row>
    <row r="534">
      <c r="A534" t="inlineStr" s="16">
        <is>
          <t xml:space="preserve">Calculation</t>
        </is>
      </c>
      <c r="B534">
        <f>IF(IF(EXACT("Annual deal-team",'Model inputs'!O83)="",FALSE,EXACT("Annual deal-team",'Model inputs'!O83)),IF('DealScope monthly model and pri'!M40="","",'DealScope monthly model and pri'!M40),"")</f>
      </c>
    </row>
    <row r="535">
      <c r="A535" t="inlineStr" s="16">
        <is>
          <t xml:space="preserve">Calculation</t>
        </is>
      </c>
      <c r="B535">
        <f>IF(IF(EXACT("Hybrid",'Model inputs'!O83)="",FALSE,EXACT("Hybrid",'Model inputs'!O83)),IF('DealScope monthly model and pri'!M41="","",'DealScope monthly model and pri'!M41),"")</f>
      </c>
    </row>
    <row r="536">
      <c r="A536" t="inlineStr" s="16">
        <is>
          <t xml:space="preserve">Calculation</t>
        </is>
      </c>
      <c r="B536">
        <f>IF(IF(EXACT("Per audit — base",'Model inputs'!O83)="",FALSE,EXACT("Per audit — base",'Model inputs'!O83)),IF('DealScope monthly model and pri'!M42="","",'DealScope monthly model and pri'!M42),"")</f>
      </c>
    </row>
    <row r="537">
      <c r="A537" t="inlineStr" s="16">
        <is>
          <t xml:space="preserve">Calculation</t>
        </is>
      </c>
      <c r="B537">
        <f>IF(IF(EXACT("Per audit — high",'Model inputs'!O83)="",FALSE,EXACT("Per audit — high",'Model inputs'!O83)),IF('DealScope monthly model and pri'!M43="","",'DealScope monthly model and pri'!M43),"")</f>
      </c>
    </row>
    <row r="538">
      <c r="A538" t="inlineStr" s="16">
        <is>
          <t xml:space="preserve">Calculation</t>
        </is>
      </c>
      <c r="B538">
        <f>IF(IF(EXACT("Per audit — low",'Model inputs'!O83)="",FALSE,EXACT("Per audit — low",'Model inputs'!O83)),IF('DealScope monthly model and pri'!M44="","",'DealScope monthly model and pri'!M44),"")</f>
      </c>
    </row>
    <row r="539">
      <c r="A539" t="inlineStr" s="16">
        <is>
          <t xml:space="preserve">Calculation</t>
        </is>
      </c>
      <c r="B539">
        <f>IF(IF(EXACT("Annual deal-team",'Model inputs'!O83)="",FALSE,EXACT("Annual deal-team",'Model inputs'!O83)),IF('DealScope monthly model and pri'!B46="","",'DealScope monthly model and pri'!B46),"")</f>
      </c>
    </row>
    <row r="540">
      <c r="A540" t="inlineStr" s="16">
        <is>
          <t xml:space="preserve">Calculation</t>
        </is>
      </c>
      <c r="B540">
        <f>IF(IF(EXACT("Hybrid",'Model inputs'!O83)="",FALSE,EXACT("Hybrid",'Model inputs'!O83)),IF('DealScope monthly model and pri'!B47="","",'DealScope monthly model and pri'!B47),"")</f>
      </c>
    </row>
    <row r="541">
      <c r="A541" t="inlineStr" s="16">
        <is>
          <t xml:space="preserve">Calculation</t>
        </is>
      </c>
      <c r="B541">
        <f>IF(IF(EXACT("Per audit — base",'Model inputs'!O83)="",FALSE,EXACT("Per audit — base",'Model inputs'!O83)),IF('DealScope monthly model and pri'!B48="","",'DealScope monthly model and pri'!B48),"")</f>
      </c>
    </row>
    <row r="542">
      <c r="A542" t="inlineStr" s="16">
        <is>
          <t xml:space="preserve">Calculation</t>
        </is>
      </c>
      <c r="B542">
        <f>IF(IF(EXACT("Per audit — high",'Model inputs'!O83)="",FALSE,EXACT("Per audit — high",'Model inputs'!O83)),IF('DealScope monthly model and pri'!B49="","",'DealScope monthly model and pri'!B49),"")</f>
      </c>
    </row>
    <row r="543">
      <c r="A543" t="inlineStr" s="16">
        <is>
          <t xml:space="preserve">Calculation</t>
        </is>
      </c>
      <c r="B543">
        <f>IF(IF(EXACT("Per audit — low",'Model inputs'!O83)="",FALSE,EXACT("Per audit — low",'Model inputs'!O83)),IF('DealScope monthly model and pri'!B50="","",'DealScope monthly model and pri'!B50),"")</f>
      </c>
    </row>
    <row r="544">
      <c r="A544" t="inlineStr" s="16">
        <is>
          <t xml:space="preserve">Calculation</t>
        </is>
      </c>
      <c r="B544">
        <f>IF(IF(EXACT("Annual deal-team",'Model inputs'!O83)="",FALSE,EXACT("Annual deal-team",'Model inputs'!O83)),IF('DealScope monthly model and pri'!C46="","",'DealScope monthly model and pri'!C46),"")</f>
      </c>
    </row>
    <row r="545">
      <c r="A545" t="inlineStr" s="16">
        <is>
          <t xml:space="preserve">Calculation</t>
        </is>
      </c>
      <c r="B545">
        <f>IF(IF(EXACT("Hybrid",'Model inputs'!O83)="",FALSE,EXACT("Hybrid",'Model inputs'!O83)),IF('DealScope monthly model and pri'!C47="","",'DealScope monthly model and pri'!C47),"")</f>
      </c>
    </row>
    <row r="546">
      <c r="A546" t="inlineStr" s="16">
        <is>
          <t xml:space="preserve">Calculation</t>
        </is>
      </c>
      <c r="B546">
        <f>IF(IF(EXACT("Per audit — base",'Model inputs'!O83)="",FALSE,EXACT("Per audit — base",'Model inputs'!O83)),IF('DealScope monthly model and pri'!C48="","",'DealScope monthly model and pri'!C48),"")</f>
      </c>
    </row>
    <row r="547">
      <c r="A547" t="inlineStr" s="16">
        <is>
          <t xml:space="preserve">Calculation</t>
        </is>
      </c>
      <c r="B547">
        <f>IF(IF(EXACT("Per audit — high",'Model inputs'!O83)="",FALSE,EXACT("Per audit — high",'Model inputs'!O83)),IF('DealScope monthly model and pri'!C49="","",'DealScope monthly model and pri'!C49),"")</f>
      </c>
    </row>
    <row r="548">
      <c r="A548" t="inlineStr" s="16">
        <is>
          <t xml:space="preserve">Calculation</t>
        </is>
      </c>
      <c r="B548">
        <f>IF(IF(EXACT("Per audit — low",'Model inputs'!O83)="",FALSE,EXACT("Per audit — low",'Model inputs'!O83)),IF('DealScope monthly model and pri'!C50="","",'DealScope monthly model and pri'!C50),"")</f>
      </c>
    </row>
    <row r="549">
      <c r="A549" t="inlineStr" s="16">
        <is>
          <t xml:space="preserve">Calculation</t>
        </is>
      </c>
      <c r="B549">
        <f>IF(IF(EXACT("Annual deal-team",'Model inputs'!O83)="",FALSE,EXACT("Annual deal-team",'Model inputs'!O83)),IF('DealScope monthly model and pri'!D46="","",'DealScope monthly model and pri'!D46),"")</f>
      </c>
    </row>
    <row r="550">
      <c r="A550" t="inlineStr" s="16">
        <is>
          <t xml:space="preserve">Calculation</t>
        </is>
      </c>
      <c r="B550">
        <f>IF(IF(EXACT("Hybrid",'Model inputs'!O83)="",FALSE,EXACT("Hybrid",'Model inputs'!O83)),IF('DealScope monthly model and pri'!D47="","",'DealScope monthly model and pri'!D47),"")</f>
      </c>
    </row>
    <row r="551">
      <c r="A551" t="inlineStr" s="16">
        <is>
          <t xml:space="preserve">Calculation</t>
        </is>
      </c>
      <c r="B551">
        <f>IF(IF(EXACT("Per audit — base",'Model inputs'!O83)="",FALSE,EXACT("Per audit — base",'Model inputs'!O83)),IF('DealScope monthly model and pri'!D48="","",'DealScope monthly model and pri'!D48),"")</f>
      </c>
    </row>
    <row r="552">
      <c r="A552" t="inlineStr" s="16">
        <is>
          <t xml:space="preserve">Calculation</t>
        </is>
      </c>
      <c r="B552">
        <f>IF(IF(EXACT("Per audit — high",'Model inputs'!O83)="",FALSE,EXACT("Per audit — high",'Model inputs'!O83)),IF('DealScope monthly model and pri'!D49="","",'DealScope monthly model and pri'!D49),"")</f>
      </c>
    </row>
    <row r="553">
      <c r="A553" t="inlineStr" s="16">
        <is>
          <t xml:space="preserve">Calculation</t>
        </is>
      </c>
      <c r="B553">
        <f>IF(IF(EXACT("Per audit — low",'Model inputs'!O83)="",FALSE,EXACT("Per audit — low",'Model inputs'!O83)),IF('DealScope monthly model and pri'!D50="","",'DealScope monthly model and pri'!D50),"")</f>
      </c>
    </row>
    <row r="554">
      <c r="A554" t="inlineStr" s="16">
        <is>
          <t xml:space="preserve">Calculation</t>
        </is>
      </c>
      <c r="B554">
        <f>IF(IF(EXACT("Annual deal-team",'Model inputs'!O83)="",FALSE,EXACT("Annual deal-team",'Model inputs'!O83)),IF('DealScope monthly model and pri'!E46="","",'DealScope monthly model and pri'!E46),"")</f>
      </c>
    </row>
    <row r="555">
      <c r="A555" t="inlineStr" s="16">
        <is>
          <t xml:space="preserve">Calculation</t>
        </is>
      </c>
      <c r="B555">
        <f>IF(IF(EXACT("Hybrid",'Model inputs'!O83)="",FALSE,EXACT("Hybrid",'Model inputs'!O83)),IF('DealScope monthly model and pri'!E47="","",'DealScope monthly model and pri'!E47),"")</f>
      </c>
    </row>
    <row r="556">
      <c r="A556" t="inlineStr" s="16">
        <is>
          <t xml:space="preserve">Calculation</t>
        </is>
      </c>
      <c r="B556">
        <f>IF(IF(EXACT("Per audit — base",'Model inputs'!O83)="",FALSE,EXACT("Per audit — base",'Model inputs'!O83)),IF('DealScope monthly model and pri'!E48="","",'DealScope monthly model and pri'!E48),"")</f>
      </c>
    </row>
    <row r="557">
      <c r="A557" t="inlineStr" s="16">
        <is>
          <t xml:space="preserve">Calculation</t>
        </is>
      </c>
      <c r="B557">
        <f>IF(IF(EXACT("Per audit — high",'Model inputs'!O83)="",FALSE,EXACT("Per audit — high",'Model inputs'!O83)),IF('DealScope monthly model and pri'!E49="","",'DealScope monthly model and pri'!E49),"")</f>
      </c>
    </row>
    <row r="558">
      <c r="A558" t="inlineStr" s="16">
        <is>
          <t xml:space="preserve">Calculation</t>
        </is>
      </c>
      <c r="B558">
        <f>IF(IF(EXACT("Per audit — low",'Model inputs'!O83)="",FALSE,EXACT("Per audit — low",'Model inputs'!O83)),IF('DealScope monthly model and pri'!E50="","",'DealScope monthly model and pri'!E50),"")</f>
      </c>
    </row>
    <row r="559">
      <c r="A559" t="inlineStr" s="16">
        <is>
          <t xml:space="preserve">Calculation</t>
        </is>
      </c>
      <c r="B559">
        <f>IF(IF(EXACT("Annual deal-team",'Model inputs'!O83)="",FALSE,EXACT("Annual deal-team",'Model inputs'!O83)),IF('DealScope monthly model and pri'!F46="","",'DealScope monthly model and pri'!F46),"")</f>
      </c>
    </row>
    <row r="560">
      <c r="A560" t="inlineStr" s="16">
        <is>
          <t xml:space="preserve">Calculation</t>
        </is>
      </c>
      <c r="B560">
        <f>IF(IF(EXACT("Hybrid",'Model inputs'!O83)="",FALSE,EXACT("Hybrid",'Model inputs'!O83)),IF('DealScope monthly model and pri'!F47="","",'DealScope monthly model and pri'!F47),"")</f>
      </c>
    </row>
    <row r="561">
      <c r="A561" t="inlineStr" s="16">
        <is>
          <t xml:space="preserve">Calculation</t>
        </is>
      </c>
      <c r="B561">
        <f>IF(IF(EXACT("Per audit — base",'Model inputs'!O83)="",FALSE,EXACT("Per audit — base",'Model inputs'!O83)),IF('DealScope monthly model and pri'!F48="","",'DealScope monthly model and pri'!F48),"")</f>
      </c>
    </row>
    <row r="562">
      <c r="A562" t="inlineStr" s="16">
        <is>
          <t xml:space="preserve">Calculation</t>
        </is>
      </c>
      <c r="B562">
        <f>IF(IF(EXACT("Per audit — high",'Model inputs'!O83)="",FALSE,EXACT("Per audit — high",'Model inputs'!O83)),IF('DealScope monthly model and pri'!F49="","",'DealScope monthly model and pri'!F49),"")</f>
      </c>
    </row>
    <row r="563">
      <c r="A563" t="inlineStr" s="16">
        <is>
          <t xml:space="preserve">Calculation</t>
        </is>
      </c>
      <c r="B563">
        <f>IF(IF(EXACT("Per audit — low",'Model inputs'!O83)="",FALSE,EXACT("Per audit — low",'Model inputs'!O83)),IF('DealScope monthly model and pri'!F50="","",'DealScope monthly model and pri'!F50),"")</f>
      </c>
    </row>
    <row r="564">
      <c r="A564" t="inlineStr" s="16">
        <is>
          <t xml:space="preserve">Calculation</t>
        </is>
      </c>
      <c r="B564">
        <f>IF(IF(EXACT("Annual deal-team",'Model inputs'!O83)="",FALSE,EXACT("Annual deal-team",'Model inputs'!O83)),IF('DealScope monthly model and pri'!G46="","",'DealScope monthly model and pri'!G46),"")</f>
      </c>
    </row>
    <row r="565">
      <c r="A565" t="inlineStr" s="16">
        <is>
          <t xml:space="preserve">Calculation</t>
        </is>
      </c>
      <c r="B565">
        <f>IF(IF(EXACT("Hybrid",'Model inputs'!O83)="",FALSE,EXACT("Hybrid",'Model inputs'!O83)),IF('DealScope monthly model and pri'!G47="","",'DealScope monthly model and pri'!G47),"")</f>
      </c>
    </row>
    <row r="566">
      <c r="A566" t="inlineStr" s="16">
        <is>
          <t xml:space="preserve">Calculation</t>
        </is>
      </c>
      <c r="B566">
        <f>IF(IF(EXACT("Per audit — base",'Model inputs'!O83)="",FALSE,EXACT("Per audit — base",'Model inputs'!O83)),IF('DealScope monthly model and pri'!G48="","",'DealScope monthly model and pri'!G48),"")</f>
      </c>
    </row>
    <row r="567">
      <c r="A567" t="inlineStr" s="16">
        <is>
          <t xml:space="preserve">Calculation</t>
        </is>
      </c>
      <c r="B567">
        <f>IF(IF(EXACT("Per audit — high",'Model inputs'!O83)="",FALSE,EXACT("Per audit — high",'Model inputs'!O83)),IF('DealScope monthly model and pri'!G49="","",'DealScope monthly model and pri'!G49),"")</f>
      </c>
    </row>
    <row r="568">
      <c r="A568" t="inlineStr" s="16">
        <is>
          <t xml:space="preserve">Calculation</t>
        </is>
      </c>
      <c r="B568">
        <f>IF(IF(EXACT("Per audit — low",'Model inputs'!O83)="",FALSE,EXACT("Per audit — low",'Model inputs'!O83)),IF('DealScope monthly model and pri'!G50="","",'DealScope monthly model and pri'!G50),"")</f>
      </c>
    </row>
    <row r="569">
      <c r="A569" t="inlineStr" s="16">
        <is>
          <t xml:space="preserve">Calculation</t>
        </is>
      </c>
      <c r="B569">
        <f>IF(IF(EXACT("Annual deal-team",'Model inputs'!O83)="",FALSE,EXACT("Annual deal-team",'Model inputs'!O83)),IF('DealScope monthly model and pri'!H46="","",'DealScope monthly model and pri'!H46),"")</f>
      </c>
    </row>
    <row r="570">
      <c r="A570" t="inlineStr" s="16">
        <is>
          <t xml:space="preserve">Calculation</t>
        </is>
      </c>
      <c r="B570">
        <f>IF(IF(EXACT("Hybrid",'Model inputs'!O83)="",FALSE,EXACT("Hybrid",'Model inputs'!O83)),IF('DealScope monthly model and pri'!H47="","",'DealScope monthly model and pri'!H47),"")</f>
      </c>
    </row>
    <row r="571">
      <c r="A571" t="inlineStr" s="16">
        <is>
          <t xml:space="preserve">Calculation</t>
        </is>
      </c>
      <c r="B571">
        <f>IF(IF(EXACT("Per audit — base",'Model inputs'!O83)="",FALSE,EXACT("Per audit — base",'Model inputs'!O83)),IF('DealScope monthly model and pri'!H48="","",'DealScope monthly model and pri'!H48),"")</f>
      </c>
    </row>
    <row r="572">
      <c r="A572" t="inlineStr" s="16">
        <is>
          <t xml:space="preserve">Calculation</t>
        </is>
      </c>
      <c r="B572">
        <f>IF(IF(EXACT("Per audit — high",'Model inputs'!O83)="",FALSE,EXACT("Per audit — high",'Model inputs'!O83)),IF('DealScope monthly model and pri'!H49="","",'DealScope monthly model and pri'!H49),"")</f>
      </c>
    </row>
    <row r="573">
      <c r="A573" t="inlineStr" s="16">
        <is>
          <t xml:space="preserve">Calculation</t>
        </is>
      </c>
      <c r="B573">
        <f>IF(IF(EXACT("Per audit — low",'Model inputs'!O83)="",FALSE,EXACT("Per audit — low",'Model inputs'!O83)),IF('DealScope monthly model and pri'!H50="","",'DealScope monthly model and pri'!H50),"")</f>
      </c>
    </row>
    <row r="574">
      <c r="A574" t="inlineStr" s="16">
        <is>
          <t xml:space="preserve">Calculation</t>
        </is>
      </c>
      <c r="B574">
        <f>IF(IF(EXACT("Annual deal-team",'Model inputs'!O83)="",FALSE,EXACT("Annual deal-team",'Model inputs'!O83)),IF('DealScope monthly model and pri'!I46="","",'DealScope monthly model and pri'!I46),"")</f>
      </c>
    </row>
    <row r="575">
      <c r="A575" t="inlineStr" s="16">
        <is>
          <t xml:space="preserve">Calculation</t>
        </is>
      </c>
      <c r="B575">
        <f>IF(IF(EXACT("Hybrid",'Model inputs'!O83)="",FALSE,EXACT("Hybrid",'Model inputs'!O83)),IF('DealScope monthly model and pri'!I47="","",'DealScope monthly model and pri'!I47),"")</f>
      </c>
    </row>
    <row r="576">
      <c r="A576" t="inlineStr" s="16">
        <is>
          <t xml:space="preserve">Calculation</t>
        </is>
      </c>
      <c r="B576">
        <f>IF(IF(EXACT("Per audit — base",'Model inputs'!O83)="",FALSE,EXACT("Per audit — base",'Model inputs'!O83)),IF('DealScope monthly model and pri'!I48="","",'DealScope monthly model and pri'!I48),"")</f>
      </c>
    </row>
    <row r="577">
      <c r="A577" t="inlineStr" s="16">
        <is>
          <t xml:space="preserve">Calculation</t>
        </is>
      </c>
      <c r="B577">
        <f>IF(IF(EXACT("Per audit — high",'Model inputs'!O83)="",FALSE,EXACT("Per audit — high",'Model inputs'!O83)),IF('DealScope monthly model and pri'!I49="","",'DealScope monthly model and pri'!I49),"")</f>
      </c>
    </row>
    <row r="578">
      <c r="A578" t="inlineStr" s="16">
        <is>
          <t xml:space="preserve">Calculation</t>
        </is>
      </c>
      <c r="B578">
        <f>IF(IF(EXACT("Per audit — low",'Model inputs'!O83)="",FALSE,EXACT("Per audit — low",'Model inputs'!O83)),IF('DealScope monthly model and pri'!I50="","",'DealScope monthly model and pri'!I50),"")</f>
      </c>
    </row>
    <row r="579">
      <c r="A579" t="inlineStr" s="16">
        <is>
          <t xml:space="preserve">Calculation</t>
        </is>
      </c>
      <c r="B579">
        <f>IF(IF(EXACT("Annual deal-team",'Model inputs'!O83)="",FALSE,EXACT("Annual deal-team",'Model inputs'!O83)),IF('DealScope monthly model and pri'!J46="","",'DealScope monthly model and pri'!J46),"")</f>
      </c>
    </row>
    <row r="580">
      <c r="A580" t="inlineStr" s="16">
        <is>
          <t xml:space="preserve">Calculation</t>
        </is>
      </c>
      <c r="B580">
        <f>IF(IF(EXACT("Hybrid",'Model inputs'!O83)="",FALSE,EXACT("Hybrid",'Model inputs'!O83)),IF('DealScope monthly model and pri'!J47="","",'DealScope monthly model and pri'!J47),"")</f>
      </c>
    </row>
    <row r="581">
      <c r="A581" t="inlineStr" s="16">
        <is>
          <t xml:space="preserve">Calculation</t>
        </is>
      </c>
      <c r="B581">
        <f>IF(IF(EXACT("Per audit — base",'Model inputs'!O83)="",FALSE,EXACT("Per audit — base",'Model inputs'!O83)),IF('DealScope monthly model and pri'!J48="","",'DealScope monthly model and pri'!J48),"")</f>
      </c>
    </row>
    <row r="582">
      <c r="A582" t="inlineStr" s="16">
        <is>
          <t xml:space="preserve">Calculation</t>
        </is>
      </c>
      <c r="B582">
        <f>IF(IF(EXACT("Per audit — high",'Model inputs'!O83)="",FALSE,EXACT("Per audit — high",'Model inputs'!O83)),IF('DealScope monthly model and pri'!J49="","",'DealScope monthly model and pri'!J49),"")</f>
      </c>
    </row>
    <row r="583">
      <c r="A583" t="inlineStr" s="16">
        <is>
          <t xml:space="preserve">Calculation</t>
        </is>
      </c>
      <c r="B583">
        <f>IF(IF(EXACT("Per audit — low",'Model inputs'!O83)="",FALSE,EXACT("Per audit — low",'Model inputs'!O83)),IF('DealScope monthly model and pri'!J50="","",'DealScope monthly model and pri'!J50),"")</f>
      </c>
    </row>
    <row r="584">
      <c r="A584" t="inlineStr" s="16">
        <is>
          <t xml:space="preserve">Calculation</t>
        </is>
      </c>
      <c r="B584">
        <f>IF(IF(EXACT("Annual deal-team",'Model inputs'!O83)="",FALSE,EXACT("Annual deal-team",'Model inputs'!O83)),IF('DealScope monthly model and pri'!K46="","",'DealScope monthly model and pri'!K46),"")</f>
      </c>
    </row>
    <row r="585">
      <c r="A585" t="inlineStr" s="16">
        <is>
          <t xml:space="preserve">Calculation</t>
        </is>
      </c>
      <c r="B585">
        <f>IF(IF(EXACT("Hybrid",'Model inputs'!O83)="",FALSE,EXACT("Hybrid",'Model inputs'!O83)),IF('DealScope monthly model and pri'!K47="","",'DealScope monthly model and pri'!K47),"")</f>
      </c>
    </row>
    <row r="586">
      <c r="A586" t="inlineStr" s="16">
        <is>
          <t xml:space="preserve">Calculation</t>
        </is>
      </c>
      <c r="B586">
        <f>IF(IF(EXACT("Per audit — base",'Model inputs'!O83)="",FALSE,EXACT("Per audit — base",'Model inputs'!O83)),IF('DealScope monthly model and pri'!K48="","",'DealScope monthly model and pri'!K48),"")</f>
      </c>
    </row>
    <row r="587">
      <c r="A587" t="inlineStr" s="16">
        <is>
          <t xml:space="preserve">Calculation</t>
        </is>
      </c>
      <c r="B587">
        <f>IF(IF(EXACT("Per audit — high",'Model inputs'!O83)="",FALSE,EXACT("Per audit — high",'Model inputs'!O83)),IF('DealScope monthly model and pri'!K49="","",'DealScope monthly model and pri'!K49),"")</f>
      </c>
    </row>
    <row r="588">
      <c r="A588" t="inlineStr" s="16">
        <is>
          <t xml:space="preserve">Calculation</t>
        </is>
      </c>
      <c r="B588">
        <f>IF(IF(EXACT("Per audit — low",'Model inputs'!O83)="",FALSE,EXACT("Per audit — low",'Model inputs'!O83)),IF('DealScope monthly model and pri'!K50="","",'DealScope monthly model and pri'!K50),"")</f>
      </c>
    </row>
    <row r="589">
      <c r="A589" t="inlineStr" s="16">
        <is>
          <t xml:space="preserve">Calculation</t>
        </is>
      </c>
      <c r="B589">
        <f>IF(IF(EXACT("Annual deal-team",'Model inputs'!O83)="",FALSE,EXACT("Annual deal-team",'Model inputs'!O83)),IF('DealScope monthly model and pri'!L46="","",'DealScope monthly model and pri'!L46),"")</f>
      </c>
    </row>
    <row r="590">
      <c r="A590" t="inlineStr" s="16">
        <is>
          <t xml:space="preserve">Calculation</t>
        </is>
      </c>
      <c r="B590">
        <f>IF(IF(EXACT("Hybrid",'Model inputs'!O83)="",FALSE,EXACT("Hybrid",'Model inputs'!O83)),IF('DealScope monthly model and pri'!L47="","",'DealScope monthly model and pri'!L47),"")</f>
      </c>
    </row>
    <row r="591">
      <c r="A591" t="inlineStr" s="16">
        <is>
          <t xml:space="preserve">Calculation</t>
        </is>
      </c>
      <c r="B591">
        <f>IF(IF(EXACT("Per audit — base",'Model inputs'!O83)="",FALSE,EXACT("Per audit — base",'Model inputs'!O83)),IF('DealScope monthly model and pri'!L48="","",'DealScope monthly model and pri'!L48),"")</f>
      </c>
    </row>
    <row r="592">
      <c r="A592" t="inlineStr" s="16">
        <is>
          <t xml:space="preserve">Calculation</t>
        </is>
      </c>
      <c r="B592">
        <f>IF(IF(EXACT("Per audit — high",'Model inputs'!O83)="",FALSE,EXACT("Per audit — high",'Model inputs'!O83)),IF('DealScope monthly model and pri'!L49="","",'DealScope monthly model and pri'!L49),"")</f>
      </c>
    </row>
    <row r="593">
      <c r="A593" t="inlineStr" s="16">
        <is>
          <t xml:space="preserve">Calculation</t>
        </is>
      </c>
      <c r="B593">
        <f>IF(IF(EXACT("Per audit — low",'Model inputs'!O83)="",FALSE,EXACT("Per audit — low",'Model inputs'!O83)),IF('DealScope monthly model and pri'!L50="","",'DealScope monthly model and pri'!L50),"")</f>
      </c>
    </row>
    <row r="594">
      <c r="A594" t="inlineStr" s="16">
        <is>
          <t xml:space="preserve">Calculation</t>
        </is>
      </c>
      <c r="B594">
        <f>IF(IF(EXACT("Annual deal-team",'Model inputs'!O83)="",FALSE,EXACT("Annual deal-team",'Model inputs'!O83)),IF('DealScope monthly model and pri'!M46="","",'DealScope monthly model and pri'!M46),"")</f>
      </c>
    </row>
    <row r="595">
      <c r="A595" t="inlineStr" s="16">
        <is>
          <t xml:space="preserve">Calculation</t>
        </is>
      </c>
      <c r="B595">
        <f>IF(IF(EXACT("Hybrid",'Model inputs'!O83)="",FALSE,EXACT("Hybrid",'Model inputs'!O83)),IF('DealScope monthly model and pri'!M47="","",'DealScope monthly model and pri'!M47),"")</f>
      </c>
    </row>
    <row r="596">
      <c r="A596" t="inlineStr" s="16">
        <is>
          <t xml:space="preserve">Calculation</t>
        </is>
      </c>
      <c r="B596">
        <f>IF(IF(EXACT("Per audit — base",'Model inputs'!O83)="",FALSE,EXACT("Per audit — base",'Model inputs'!O83)),IF('DealScope monthly model and pri'!M48="","",'DealScope monthly model and pri'!M48),"")</f>
      </c>
    </row>
    <row r="597">
      <c r="A597" t="inlineStr" s="16">
        <is>
          <t xml:space="preserve">Calculation</t>
        </is>
      </c>
      <c r="B597">
        <f>IF(IF(EXACT("Per audit — high",'Model inputs'!O83)="",FALSE,EXACT("Per audit — high",'Model inputs'!O83)),IF('DealScope monthly model and pri'!M49="","",'DealScope monthly model and pri'!M49),"")</f>
      </c>
    </row>
    <row r="598">
      <c r="A598" t="inlineStr" s="16">
        <is>
          <t xml:space="preserve">Calculation</t>
        </is>
      </c>
      <c r="B598">
        <f>IF(IF(EXACT("Per audit — low",'Model inputs'!O83)="",FALSE,EXACT("Per audit — low",'Model inputs'!O83)),IF('DealScope monthly model and pri'!M50="","",'DealScope monthly model and pri'!M50),"")</f>
      </c>
    </row>
    <row r="599">
      <c r="A599" t="inlineStr" s="16">
        <is>
          <t xml:space="preserve">Calculation</t>
        </is>
      </c>
      <c r="B599">
        <f>IF(IF(EXACT("Annual deal-team",'Model inputs'!O83)="",FALSE,EXACT("Annual deal-team",'Model inputs'!O83)),IF('DealScope monthly model and pri'!B52="","",'DealScope monthly model and pri'!B52),"")</f>
      </c>
    </row>
    <row r="600">
      <c r="A600" t="inlineStr" s="16">
        <is>
          <t xml:space="preserve">Calculation</t>
        </is>
      </c>
      <c r="B600">
        <f>IF(IF(EXACT("Hybrid",'Model inputs'!O83)="",FALSE,EXACT("Hybrid",'Model inputs'!O83)),IF('DealScope monthly model and pri'!B53="","",'DealScope monthly model and pri'!B53),"")</f>
      </c>
    </row>
    <row r="601">
      <c r="A601" t="inlineStr" s="16">
        <is>
          <t xml:space="preserve">Calculation</t>
        </is>
      </c>
      <c r="B601">
        <f>IF(IF(EXACT("Per audit — base",'Model inputs'!O83)="",FALSE,EXACT("Per audit — base",'Model inputs'!O83)),IF('DealScope monthly model and pri'!B54="","",'DealScope monthly model and pri'!B54),"")</f>
      </c>
    </row>
    <row r="602">
      <c r="A602" t="inlineStr" s="16">
        <is>
          <t xml:space="preserve">Calculation</t>
        </is>
      </c>
      <c r="B602">
        <f>IF(IF(EXACT("Per audit — high",'Model inputs'!O83)="",FALSE,EXACT("Per audit — high",'Model inputs'!O83)),IF('DealScope monthly model and pri'!B55="","",'DealScope monthly model and pri'!B55),"")</f>
      </c>
    </row>
    <row r="603">
      <c r="A603" t="inlineStr" s="16">
        <is>
          <t xml:space="preserve">Calculation</t>
        </is>
      </c>
      <c r="B603">
        <f>IF(IF(EXACT("Per audit — low",'Model inputs'!O83)="",FALSE,EXACT("Per audit — low",'Model inputs'!O83)),IF('DealScope monthly model and pri'!B56="","",'DealScope monthly model and pri'!B56),"")</f>
      </c>
    </row>
    <row r="604">
      <c r="A604" t="inlineStr" s="16">
        <is>
          <t xml:space="preserve">Calculation</t>
        </is>
      </c>
      <c r="B604">
        <f>IF(IF(EXACT("Annual deal-team",'Model inputs'!O83)="",FALSE,EXACT("Annual deal-team",'Model inputs'!O83)),IF('DealScope monthly model and pri'!C52="","",'DealScope monthly model and pri'!C52),"")</f>
      </c>
    </row>
    <row r="605">
      <c r="A605" t="inlineStr" s="16">
        <is>
          <t xml:space="preserve">Calculation</t>
        </is>
      </c>
      <c r="B605">
        <f>IF(IF(EXACT("Hybrid",'Model inputs'!O83)="",FALSE,EXACT("Hybrid",'Model inputs'!O83)),IF('DealScope monthly model and pri'!C53="","",'DealScope monthly model and pri'!C53),"")</f>
      </c>
    </row>
    <row r="606">
      <c r="A606" t="inlineStr" s="16">
        <is>
          <t xml:space="preserve">Calculation</t>
        </is>
      </c>
      <c r="B606">
        <f>IF(IF(EXACT("Per audit — base",'Model inputs'!O83)="",FALSE,EXACT("Per audit — base",'Model inputs'!O83)),IF('DealScope monthly model and pri'!C54="","",'DealScope monthly model and pri'!C54),"")</f>
      </c>
    </row>
    <row r="607">
      <c r="A607" t="inlineStr" s="16">
        <is>
          <t xml:space="preserve">Calculation</t>
        </is>
      </c>
      <c r="B607">
        <f>IF(IF(EXACT("Per audit — high",'Model inputs'!O83)="",FALSE,EXACT("Per audit — high",'Model inputs'!O83)),IF('DealScope monthly model and pri'!C55="","",'DealScope monthly model and pri'!C55),"")</f>
      </c>
    </row>
    <row r="608">
      <c r="A608" t="inlineStr" s="16">
        <is>
          <t xml:space="preserve">Calculation</t>
        </is>
      </c>
      <c r="B608">
        <f>IF(IF(EXACT("Per audit — low",'Model inputs'!O83)="",FALSE,EXACT("Per audit — low",'Model inputs'!O83)),IF('DealScope monthly model and pri'!C56="","",'DealScope monthly model and pri'!C56),"")</f>
      </c>
    </row>
    <row r="609">
      <c r="A609" t="inlineStr" s="16">
        <is>
          <t xml:space="preserve">Calculation</t>
        </is>
      </c>
      <c r="B609">
        <f>IF(IF(EXACT("Annual deal-team",'Model inputs'!O83)="",FALSE,EXACT("Annual deal-team",'Model inputs'!O83)),IF('DealScope monthly model and pri'!D52="","",'DealScope monthly model and pri'!D52),"")</f>
      </c>
    </row>
    <row r="610">
      <c r="A610" t="inlineStr" s="16">
        <is>
          <t xml:space="preserve">Calculation</t>
        </is>
      </c>
      <c r="B610">
        <f>IF(IF(EXACT("Hybrid",'Model inputs'!O83)="",FALSE,EXACT("Hybrid",'Model inputs'!O83)),IF('DealScope monthly model and pri'!D53="","",'DealScope monthly model and pri'!D53),"")</f>
      </c>
    </row>
    <row r="611">
      <c r="A611" t="inlineStr" s="16">
        <is>
          <t xml:space="preserve">Calculation</t>
        </is>
      </c>
      <c r="B611">
        <f>IF(IF(EXACT("Per audit — base",'Model inputs'!O83)="",FALSE,EXACT("Per audit — base",'Model inputs'!O83)),IF('DealScope monthly model and pri'!D54="","",'DealScope monthly model and pri'!D54),"")</f>
      </c>
    </row>
    <row r="612">
      <c r="A612" t="inlineStr" s="16">
        <is>
          <t xml:space="preserve">Calculation</t>
        </is>
      </c>
      <c r="B612">
        <f>IF(IF(EXACT("Per audit — high",'Model inputs'!O83)="",FALSE,EXACT("Per audit — high",'Model inputs'!O83)),IF('DealScope monthly model and pri'!D55="","",'DealScope monthly model and pri'!D55),"")</f>
      </c>
    </row>
    <row r="613">
      <c r="A613" t="inlineStr" s="16">
        <is>
          <t xml:space="preserve">Calculation</t>
        </is>
      </c>
      <c r="B613">
        <f>IF(IF(EXACT("Per audit — low",'Model inputs'!O83)="",FALSE,EXACT("Per audit — low",'Model inputs'!O83)),IF('DealScope monthly model and pri'!D56="","",'DealScope monthly model and pri'!D56),"")</f>
      </c>
    </row>
    <row r="614">
      <c r="A614" t="inlineStr" s="16">
        <is>
          <t xml:space="preserve">Calculation</t>
        </is>
      </c>
      <c r="B614">
        <f>IF(IF(EXACT("Annual deal-team",'Model inputs'!O83)="",FALSE,EXACT("Annual deal-team",'Model inputs'!O83)),IF('DealScope monthly model and pri'!E52="","",'DealScope monthly model and pri'!E52),"")</f>
      </c>
    </row>
    <row r="615">
      <c r="A615" t="inlineStr" s="16">
        <is>
          <t xml:space="preserve">Calculation</t>
        </is>
      </c>
      <c r="B615">
        <f>IF(IF(EXACT("Hybrid",'Model inputs'!O83)="",FALSE,EXACT("Hybrid",'Model inputs'!O83)),IF('DealScope monthly model and pri'!E53="","",'DealScope monthly model and pri'!E53),"")</f>
      </c>
    </row>
    <row r="616">
      <c r="A616" t="inlineStr" s="16">
        <is>
          <t xml:space="preserve">Calculation</t>
        </is>
      </c>
      <c r="B616">
        <f>IF(IF(EXACT("Per audit — base",'Model inputs'!O83)="",FALSE,EXACT("Per audit — base",'Model inputs'!O83)),IF('DealScope monthly model and pri'!E54="","",'DealScope monthly model and pri'!E54),"")</f>
      </c>
    </row>
    <row r="617">
      <c r="A617" t="inlineStr" s="16">
        <is>
          <t xml:space="preserve">Calculation</t>
        </is>
      </c>
      <c r="B617">
        <f>IF(IF(EXACT("Per audit — high",'Model inputs'!O83)="",FALSE,EXACT("Per audit — high",'Model inputs'!O83)),IF('DealScope monthly model and pri'!E55="","",'DealScope monthly model and pri'!E55),"")</f>
      </c>
    </row>
    <row r="618">
      <c r="A618" t="inlineStr" s="16">
        <is>
          <t xml:space="preserve">Calculation</t>
        </is>
      </c>
      <c r="B618">
        <f>IF(IF(EXACT("Per audit — low",'Model inputs'!O83)="",FALSE,EXACT("Per audit — low",'Model inputs'!O83)),IF('DealScope monthly model and pri'!E56="","",'DealScope monthly model and pri'!E56),"")</f>
      </c>
    </row>
    <row r="619">
      <c r="A619" t="inlineStr" s="16">
        <is>
          <t xml:space="preserve">Calculation</t>
        </is>
      </c>
      <c r="B619">
        <f>IF(IF(EXACT("Annual deal-team",'Model inputs'!O83)="",FALSE,EXACT("Annual deal-team",'Model inputs'!O83)),IF('DealScope monthly model and pri'!F52="","",'DealScope monthly model and pri'!F52),"")</f>
      </c>
    </row>
    <row r="620">
      <c r="A620" t="inlineStr" s="16">
        <is>
          <t xml:space="preserve">Calculation</t>
        </is>
      </c>
      <c r="B620">
        <f>IF(IF(EXACT("Hybrid",'Model inputs'!O83)="",FALSE,EXACT("Hybrid",'Model inputs'!O83)),IF('DealScope monthly model and pri'!F53="","",'DealScope monthly model and pri'!F53),"")</f>
      </c>
    </row>
    <row r="621">
      <c r="A621" t="inlineStr" s="16">
        <is>
          <t xml:space="preserve">Calculation</t>
        </is>
      </c>
      <c r="B621">
        <f>IF(IF(EXACT("Per audit — base",'Model inputs'!O83)="",FALSE,EXACT("Per audit — base",'Model inputs'!O83)),IF('DealScope monthly model and pri'!F54="","",'DealScope monthly model and pri'!F54),"")</f>
      </c>
    </row>
    <row r="622">
      <c r="A622" t="inlineStr" s="16">
        <is>
          <t xml:space="preserve">Calculation</t>
        </is>
      </c>
      <c r="B622">
        <f>IF(IF(EXACT("Per audit — high",'Model inputs'!O83)="",FALSE,EXACT("Per audit — high",'Model inputs'!O83)),IF('DealScope monthly model and pri'!F55="","",'DealScope monthly model and pri'!F55),"")</f>
      </c>
    </row>
    <row r="623">
      <c r="A623" t="inlineStr" s="16">
        <is>
          <t xml:space="preserve">Calculation</t>
        </is>
      </c>
      <c r="B623">
        <f>IF(IF(EXACT("Per audit — low",'Model inputs'!O83)="",FALSE,EXACT("Per audit — low",'Model inputs'!O83)),IF('DealScope monthly model and pri'!F56="","",'DealScope monthly model and pri'!F56),"")</f>
      </c>
    </row>
    <row r="624">
      <c r="A624" t="inlineStr" s="16">
        <is>
          <t xml:space="preserve">Calculation</t>
        </is>
      </c>
      <c r="B624">
        <f>IF(IF(EXACT("Annual deal-team",'Model inputs'!O83)="",FALSE,EXACT("Annual deal-team",'Model inputs'!O83)),IF('DealScope monthly model and pri'!G52="","",'DealScope monthly model and pri'!G52),"")</f>
      </c>
    </row>
    <row r="625">
      <c r="A625" t="inlineStr" s="16">
        <is>
          <t xml:space="preserve">Calculation</t>
        </is>
      </c>
      <c r="B625">
        <f>IF(IF(EXACT("Hybrid",'Model inputs'!O83)="",FALSE,EXACT("Hybrid",'Model inputs'!O83)),IF('DealScope monthly model and pri'!G53="","",'DealScope monthly model and pri'!G53),"")</f>
      </c>
    </row>
    <row r="626">
      <c r="A626" t="inlineStr" s="16">
        <is>
          <t xml:space="preserve">Calculation</t>
        </is>
      </c>
      <c r="B626">
        <f>IF(IF(EXACT("Per audit — base",'Model inputs'!O83)="",FALSE,EXACT("Per audit — base",'Model inputs'!O83)),IF('DealScope monthly model and pri'!G54="","",'DealScope monthly model and pri'!G54),"")</f>
      </c>
    </row>
    <row r="627">
      <c r="A627" t="inlineStr" s="16">
        <is>
          <t xml:space="preserve">Calculation</t>
        </is>
      </c>
      <c r="B627">
        <f>IF(IF(EXACT("Per audit — high",'Model inputs'!O83)="",FALSE,EXACT("Per audit — high",'Model inputs'!O83)),IF('DealScope monthly model and pri'!G55="","",'DealScope monthly model and pri'!G55),"")</f>
      </c>
    </row>
    <row r="628">
      <c r="A628" t="inlineStr" s="16">
        <is>
          <t xml:space="preserve">Calculation</t>
        </is>
      </c>
      <c r="B628">
        <f>IF(IF(EXACT("Per audit — low",'Model inputs'!O83)="",FALSE,EXACT("Per audit — low",'Model inputs'!O83)),IF('DealScope monthly model and pri'!G56="","",'DealScope monthly model and pri'!G56),"")</f>
      </c>
    </row>
    <row r="629">
      <c r="A629" t="inlineStr" s="16">
        <is>
          <t xml:space="preserve">Calculation</t>
        </is>
      </c>
      <c r="B629">
        <f>IF(IF(EXACT("Annual deal-team",'Model inputs'!O83)="",FALSE,EXACT("Annual deal-team",'Model inputs'!O83)),IF('DealScope monthly model and pri'!H52="","",'DealScope monthly model and pri'!H52),"")</f>
      </c>
    </row>
    <row r="630">
      <c r="A630" t="inlineStr" s="16">
        <is>
          <t xml:space="preserve">Calculation</t>
        </is>
      </c>
      <c r="B630">
        <f>IF(IF(EXACT("Hybrid",'Model inputs'!O83)="",FALSE,EXACT("Hybrid",'Model inputs'!O83)),IF('DealScope monthly model and pri'!H53="","",'DealScope monthly model and pri'!H53),"")</f>
      </c>
    </row>
    <row r="631">
      <c r="A631" t="inlineStr" s="16">
        <is>
          <t xml:space="preserve">Calculation</t>
        </is>
      </c>
      <c r="B631">
        <f>IF(IF(EXACT("Per audit — base",'Model inputs'!O83)="",FALSE,EXACT("Per audit — base",'Model inputs'!O83)),IF('DealScope monthly model and pri'!H54="","",'DealScope monthly model and pri'!H54),"")</f>
      </c>
    </row>
    <row r="632">
      <c r="A632" t="inlineStr" s="16">
        <is>
          <t xml:space="preserve">Calculation</t>
        </is>
      </c>
      <c r="B632">
        <f>IF(IF(EXACT("Per audit — high",'Model inputs'!O83)="",FALSE,EXACT("Per audit — high",'Model inputs'!O83)),IF('DealScope monthly model and pri'!H55="","",'DealScope monthly model and pri'!H55),"")</f>
      </c>
    </row>
    <row r="633">
      <c r="A633" t="inlineStr" s="16">
        <is>
          <t xml:space="preserve">Calculation</t>
        </is>
      </c>
      <c r="B633">
        <f>IF(IF(EXACT("Per audit — low",'Model inputs'!O83)="",FALSE,EXACT("Per audit — low",'Model inputs'!O83)),IF('DealScope monthly model and pri'!H56="","",'DealScope monthly model and pri'!H56),"")</f>
      </c>
    </row>
    <row r="634">
      <c r="A634" t="inlineStr" s="16">
        <is>
          <t xml:space="preserve">Calculation</t>
        </is>
      </c>
      <c r="B634">
        <f>IF(IF(EXACT("Annual deal-team",'Model inputs'!O83)="",FALSE,EXACT("Annual deal-team",'Model inputs'!O83)),IF('DealScope monthly model and pri'!I52="","",'DealScope monthly model and pri'!I52),"")</f>
      </c>
    </row>
    <row r="635">
      <c r="A635" t="inlineStr" s="16">
        <is>
          <t xml:space="preserve">Calculation</t>
        </is>
      </c>
      <c r="B635">
        <f>IF(IF(EXACT("Hybrid",'Model inputs'!O83)="",FALSE,EXACT("Hybrid",'Model inputs'!O83)),IF('DealScope monthly model and pri'!I53="","",'DealScope monthly model and pri'!I53),"")</f>
      </c>
    </row>
    <row r="636">
      <c r="A636" t="inlineStr" s="16">
        <is>
          <t xml:space="preserve">Calculation</t>
        </is>
      </c>
      <c r="B636">
        <f>IF(IF(EXACT("Per audit — base",'Model inputs'!O83)="",FALSE,EXACT("Per audit — base",'Model inputs'!O83)),IF('DealScope monthly model and pri'!I54="","",'DealScope monthly model and pri'!I54),"")</f>
      </c>
    </row>
    <row r="637">
      <c r="A637" t="inlineStr" s="16">
        <is>
          <t xml:space="preserve">Calculation</t>
        </is>
      </c>
      <c r="B637">
        <f>IF(IF(EXACT("Per audit — high",'Model inputs'!O83)="",FALSE,EXACT("Per audit — high",'Model inputs'!O83)),IF('DealScope monthly model and pri'!I55="","",'DealScope monthly model and pri'!I55),"")</f>
      </c>
    </row>
    <row r="638">
      <c r="A638" t="inlineStr" s="16">
        <is>
          <t xml:space="preserve">Calculation</t>
        </is>
      </c>
      <c r="B638">
        <f>IF(IF(EXACT("Per audit — low",'Model inputs'!O83)="",FALSE,EXACT("Per audit — low",'Model inputs'!O83)),IF('DealScope monthly model and pri'!I56="","",'DealScope monthly model and pri'!I56),"")</f>
      </c>
    </row>
    <row r="639">
      <c r="A639" t="inlineStr" s="16">
        <is>
          <t xml:space="preserve">Calculation</t>
        </is>
      </c>
      <c r="B639">
        <f>IF(IF(EXACT("Annual deal-team",'Model inputs'!O83)="",FALSE,EXACT("Annual deal-team",'Model inputs'!O83)),IF('DealScope monthly model and pri'!J52="","",'DealScope monthly model and pri'!J52),"")</f>
      </c>
    </row>
    <row r="640">
      <c r="A640" t="inlineStr" s="16">
        <is>
          <t xml:space="preserve">Calculation</t>
        </is>
      </c>
      <c r="B640">
        <f>IF(IF(EXACT("Hybrid",'Model inputs'!O83)="",FALSE,EXACT("Hybrid",'Model inputs'!O83)),IF('DealScope monthly model and pri'!J53="","",'DealScope monthly model and pri'!J53),"")</f>
      </c>
    </row>
    <row r="641">
      <c r="A641" t="inlineStr" s="16">
        <is>
          <t xml:space="preserve">Calculation</t>
        </is>
      </c>
      <c r="B641">
        <f>IF(IF(EXACT("Per audit — base",'Model inputs'!O83)="",FALSE,EXACT("Per audit — base",'Model inputs'!O83)),IF('DealScope monthly model and pri'!J54="","",'DealScope monthly model and pri'!J54),"")</f>
      </c>
    </row>
    <row r="642">
      <c r="A642" t="inlineStr" s="16">
        <is>
          <t xml:space="preserve">Calculation</t>
        </is>
      </c>
      <c r="B642">
        <f>IF(IF(EXACT("Per audit — high",'Model inputs'!O83)="",FALSE,EXACT("Per audit — high",'Model inputs'!O83)),IF('DealScope monthly model and pri'!J55="","",'DealScope monthly model and pri'!J55),"")</f>
      </c>
    </row>
    <row r="643">
      <c r="A643" t="inlineStr" s="16">
        <is>
          <t xml:space="preserve">Calculation</t>
        </is>
      </c>
      <c r="B643">
        <f>IF(IF(EXACT("Per audit — low",'Model inputs'!O83)="",FALSE,EXACT("Per audit — low",'Model inputs'!O83)),IF('DealScope monthly model and pri'!J56="","",'DealScope monthly model and pri'!J56),"")</f>
      </c>
    </row>
    <row r="644">
      <c r="A644" t="inlineStr" s="16">
        <is>
          <t xml:space="preserve">Calculation</t>
        </is>
      </c>
      <c r="B644">
        <f>IF(IF(EXACT("Annual deal-team",'Model inputs'!O83)="",FALSE,EXACT("Annual deal-team",'Model inputs'!O83)),IF('DealScope monthly model and pri'!K52="","",'DealScope monthly model and pri'!K52),"")</f>
      </c>
    </row>
    <row r="645">
      <c r="A645" t="inlineStr" s="16">
        <is>
          <t xml:space="preserve">Calculation</t>
        </is>
      </c>
      <c r="B645">
        <f>IF(IF(EXACT("Hybrid",'Model inputs'!O83)="",FALSE,EXACT("Hybrid",'Model inputs'!O83)),IF('DealScope monthly model and pri'!K53="","",'DealScope monthly model and pri'!K53),"")</f>
      </c>
    </row>
    <row r="646">
      <c r="A646" t="inlineStr" s="16">
        <is>
          <t xml:space="preserve">Calculation</t>
        </is>
      </c>
      <c r="B646">
        <f>IF(IF(EXACT("Per audit — base",'Model inputs'!O83)="",FALSE,EXACT("Per audit — base",'Model inputs'!O83)),IF('DealScope monthly model and pri'!K54="","",'DealScope monthly model and pri'!K54),"")</f>
      </c>
    </row>
    <row r="647">
      <c r="A647" t="inlineStr" s="16">
        <is>
          <t xml:space="preserve">Calculation</t>
        </is>
      </c>
      <c r="B647">
        <f>IF(IF(EXACT("Per audit — high",'Model inputs'!O83)="",FALSE,EXACT("Per audit — high",'Model inputs'!O83)),IF('DealScope monthly model and pri'!K55="","",'DealScope monthly model and pri'!K55),"")</f>
      </c>
    </row>
    <row r="648">
      <c r="A648" t="inlineStr" s="16">
        <is>
          <t xml:space="preserve">Calculation</t>
        </is>
      </c>
      <c r="B648">
        <f>IF(IF(EXACT("Per audit — low",'Model inputs'!O83)="",FALSE,EXACT("Per audit — low",'Model inputs'!O83)),IF('DealScope monthly model and pri'!K56="","",'DealScope monthly model and pri'!K56),"")</f>
      </c>
    </row>
    <row r="649">
      <c r="A649" t="inlineStr" s="16">
        <is>
          <t xml:space="preserve">Calculation</t>
        </is>
      </c>
      <c r="B649">
        <f>IF(IF(EXACT("Annual deal-team",'Model inputs'!O83)="",FALSE,EXACT("Annual deal-team",'Model inputs'!O83)),IF('DealScope monthly model and pri'!L52="","",'DealScope monthly model and pri'!L52),"")</f>
      </c>
    </row>
    <row r="650">
      <c r="A650" t="inlineStr" s="16">
        <is>
          <t xml:space="preserve">Calculation</t>
        </is>
      </c>
      <c r="B650">
        <f>IF(IF(EXACT("Hybrid",'Model inputs'!O83)="",FALSE,EXACT("Hybrid",'Model inputs'!O83)),IF('DealScope monthly model and pri'!L53="","",'DealScope monthly model and pri'!L53),"")</f>
      </c>
    </row>
    <row r="651">
      <c r="A651" t="inlineStr" s="16">
        <is>
          <t xml:space="preserve">Calculation</t>
        </is>
      </c>
      <c r="B651">
        <f>IF(IF(EXACT("Per audit — base",'Model inputs'!O83)="",FALSE,EXACT("Per audit — base",'Model inputs'!O83)),IF('DealScope monthly model and pri'!L54="","",'DealScope monthly model and pri'!L54),"")</f>
      </c>
    </row>
    <row r="652">
      <c r="A652" t="inlineStr" s="16">
        <is>
          <t xml:space="preserve">Calculation</t>
        </is>
      </c>
      <c r="B652">
        <f>IF(IF(EXACT("Per audit — high",'Model inputs'!O83)="",FALSE,EXACT("Per audit — high",'Model inputs'!O83)),IF('DealScope monthly model and pri'!L55="","",'DealScope monthly model and pri'!L55),"")</f>
      </c>
    </row>
    <row r="653">
      <c r="A653" t="inlineStr" s="16">
        <is>
          <t xml:space="preserve">Calculation</t>
        </is>
      </c>
      <c r="B653">
        <f>IF(IF(EXACT("Per audit — low",'Model inputs'!O83)="",FALSE,EXACT("Per audit — low",'Model inputs'!O83)),IF('DealScope monthly model and pri'!L56="","",'DealScope monthly model and pri'!L56),"")</f>
      </c>
    </row>
    <row r="654">
      <c r="A654" t="inlineStr" s="16">
        <is>
          <t xml:space="preserve">Calculation</t>
        </is>
      </c>
      <c r="B654">
        <f>IF(IF(EXACT("Annual deal-team",'Model inputs'!O83)="",FALSE,EXACT("Annual deal-team",'Model inputs'!O83)),IF('DealScope monthly model and pri'!M52="","",'DealScope monthly model and pri'!M52),"")</f>
      </c>
    </row>
    <row r="655">
      <c r="A655" t="inlineStr" s="16">
        <is>
          <t xml:space="preserve">Calculation</t>
        </is>
      </c>
      <c r="B655">
        <f>IF(IF(EXACT("Hybrid",'Model inputs'!O83)="",FALSE,EXACT("Hybrid",'Model inputs'!O83)),IF('DealScope monthly model and pri'!M53="","",'DealScope monthly model and pri'!M53),"")</f>
      </c>
    </row>
    <row r="656">
      <c r="A656" t="inlineStr" s="16">
        <is>
          <t xml:space="preserve">Calculation</t>
        </is>
      </c>
      <c r="B656">
        <f>IF(IF(EXACT("Per audit — base",'Model inputs'!O83)="",FALSE,EXACT("Per audit — base",'Model inputs'!O83)),IF('DealScope monthly model and pri'!M54="","",'DealScope monthly model and pri'!M54),"")</f>
      </c>
    </row>
    <row r="657">
      <c r="A657" t="inlineStr" s="16">
        <is>
          <t xml:space="preserve">Calculation</t>
        </is>
      </c>
      <c r="B657">
        <f>IF(IF(EXACT("Per audit — high",'Model inputs'!O83)="",FALSE,EXACT("Per audit — high",'Model inputs'!O83)),IF('DealScope monthly model and pri'!M55="","",'DealScope monthly model and pri'!M55),"")</f>
      </c>
    </row>
    <row r="658">
      <c r="A658" t="inlineStr" s="16">
        <is>
          <t xml:space="preserve">Calculation</t>
        </is>
      </c>
      <c r="B658">
        <f>IF(IF(EXACT("Per audit — low",'Model inputs'!O83)="",FALSE,EXACT("Per audit — low",'Model inputs'!O83)),IF('DealScope monthly model and pri'!M56="","",'DealScope monthly model and pri'!M56),"")</f>
      </c>
    </row>
    <row r="659">
      <c r="A659" t="inlineStr" s="16">
        <is>
          <t xml:space="preserve">Calculation</t>
        </is>
      </c>
      <c r="B659">
        <f>IF(IF(EXACT("Annual deal-team",'Model inputs'!O83)="",FALSE,EXACT("Annual deal-team",'Model inputs'!O83)),IF('DealScope monthly model and pri'!B58="","",'DealScope monthly model and pri'!B58),"")</f>
      </c>
    </row>
    <row r="660">
      <c r="A660" t="inlineStr" s="16">
        <is>
          <t xml:space="preserve">Calculation</t>
        </is>
      </c>
      <c r="B660">
        <f>IF(IF(EXACT("Hybrid",'Model inputs'!O83)="",FALSE,EXACT("Hybrid",'Model inputs'!O83)),IF('DealScope monthly model and pri'!B59="","",'DealScope monthly model and pri'!B59),"")</f>
      </c>
    </row>
    <row r="661">
      <c r="A661" t="inlineStr" s="16">
        <is>
          <t xml:space="preserve">Calculation</t>
        </is>
      </c>
      <c r="B661">
        <f>IF(IF(EXACT("Per audit — base",'Model inputs'!O83)="",FALSE,EXACT("Per audit — base",'Model inputs'!O83)),IF('DealScope monthly model and pri'!B60="","",'DealScope monthly model and pri'!B60),"")</f>
      </c>
    </row>
    <row r="662">
      <c r="A662" t="inlineStr" s="16">
        <is>
          <t xml:space="preserve">Calculation</t>
        </is>
      </c>
      <c r="B662">
        <f>IF(IF(EXACT("Per audit — high",'Model inputs'!O83)="",FALSE,EXACT("Per audit — high",'Model inputs'!O83)),IF('DealScope monthly model and pri'!B61="","",'DealScope monthly model and pri'!B61),"")</f>
      </c>
    </row>
    <row r="663">
      <c r="A663" t="inlineStr" s="16">
        <is>
          <t xml:space="preserve">Calculation</t>
        </is>
      </c>
      <c r="B663">
        <f>IF(IF(EXACT("Per audit — low",'Model inputs'!O83)="",FALSE,EXACT("Per audit — low",'Model inputs'!O83)),IF('DealScope monthly model and pri'!B62="","",'DealScope monthly model and pri'!B62),"")</f>
      </c>
    </row>
    <row r="664">
      <c r="A664" t="inlineStr" s="16">
        <is>
          <t xml:space="preserve">Calculation</t>
        </is>
      </c>
      <c r="B664">
        <f>IF(IF(EXACT("Annual deal-team",'Model inputs'!O83)="",FALSE,EXACT("Annual deal-team",'Model inputs'!O83)),IF('DealScope monthly model and pri'!C58="","",'DealScope monthly model and pri'!C58),"")</f>
      </c>
    </row>
    <row r="665">
      <c r="A665" t="inlineStr" s="16">
        <is>
          <t xml:space="preserve">Calculation</t>
        </is>
      </c>
      <c r="B665">
        <f>IF(IF(EXACT("Hybrid",'Model inputs'!O83)="",FALSE,EXACT("Hybrid",'Model inputs'!O83)),IF('DealScope monthly model and pri'!C59="","",'DealScope monthly model and pri'!C59),"")</f>
      </c>
    </row>
    <row r="666">
      <c r="A666" t="inlineStr" s="16">
        <is>
          <t xml:space="preserve">Calculation</t>
        </is>
      </c>
      <c r="B666">
        <f>IF(IF(EXACT("Per audit — base",'Model inputs'!O83)="",FALSE,EXACT("Per audit — base",'Model inputs'!O83)),IF('DealScope monthly model and pri'!C60="","",'DealScope monthly model and pri'!C60),"")</f>
      </c>
    </row>
    <row r="667">
      <c r="A667" t="inlineStr" s="16">
        <is>
          <t xml:space="preserve">Calculation</t>
        </is>
      </c>
      <c r="B667">
        <f>IF(IF(EXACT("Per audit — high",'Model inputs'!O83)="",FALSE,EXACT("Per audit — high",'Model inputs'!O83)),IF('DealScope monthly model and pri'!C61="","",'DealScope monthly model and pri'!C61),"")</f>
      </c>
    </row>
    <row r="668">
      <c r="A668" t="inlineStr" s="16">
        <is>
          <t xml:space="preserve">Calculation</t>
        </is>
      </c>
      <c r="B668">
        <f>IF(IF(EXACT("Per audit — low",'Model inputs'!O83)="",FALSE,EXACT("Per audit — low",'Model inputs'!O83)),IF('DealScope monthly model and pri'!C62="","",'DealScope monthly model and pri'!C62),"")</f>
      </c>
    </row>
    <row r="669">
      <c r="A669" t="inlineStr" s="16">
        <is>
          <t xml:space="preserve">Calculation</t>
        </is>
      </c>
      <c r="B669">
        <f>IF(IF(EXACT("Annual deal-team",'Model inputs'!O83)="",FALSE,EXACT("Annual deal-team",'Model inputs'!O83)),IF('DealScope monthly model and pri'!D58="","",'DealScope monthly model and pri'!D58),"")</f>
      </c>
    </row>
    <row r="670">
      <c r="A670" t="inlineStr" s="16">
        <is>
          <t xml:space="preserve">Calculation</t>
        </is>
      </c>
      <c r="B670">
        <f>IF(IF(EXACT("Hybrid",'Model inputs'!O83)="",FALSE,EXACT("Hybrid",'Model inputs'!O83)),IF('DealScope monthly model and pri'!D59="","",'DealScope monthly model and pri'!D59),"")</f>
      </c>
    </row>
    <row r="671">
      <c r="A671" t="inlineStr" s="16">
        <is>
          <t xml:space="preserve">Calculation</t>
        </is>
      </c>
      <c r="B671">
        <f>IF(IF(EXACT("Per audit — base",'Model inputs'!O83)="",FALSE,EXACT("Per audit — base",'Model inputs'!O83)),IF('DealScope monthly model and pri'!D60="","",'DealScope monthly model and pri'!D60),"")</f>
      </c>
    </row>
    <row r="672">
      <c r="A672" t="inlineStr" s="16">
        <is>
          <t xml:space="preserve">Calculation</t>
        </is>
      </c>
      <c r="B672">
        <f>IF(IF(EXACT("Per audit — high",'Model inputs'!O83)="",FALSE,EXACT("Per audit — high",'Model inputs'!O83)),IF('DealScope monthly model and pri'!D61="","",'DealScope monthly model and pri'!D61),"")</f>
      </c>
    </row>
    <row r="673">
      <c r="A673" t="inlineStr" s="16">
        <is>
          <t xml:space="preserve">Calculation</t>
        </is>
      </c>
      <c r="B673">
        <f>IF(IF(EXACT("Per audit — low",'Model inputs'!O83)="",FALSE,EXACT("Per audit — low",'Model inputs'!O83)),IF('DealScope monthly model and pri'!D62="","",'DealScope monthly model and pri'!D62),"")</f>
      </c>
    </row>
    <row r="674">
      <c r="A674" t="inlineStr" s="16">
        <is>
          <t xml:space="preserve">Calculation</t>
        </is>
      </c>
      <c r="B674">
        <f>IF(IF(EXACT("Annual deal-team",'Model inputs'!O83)="",FALSE,EXACT("Annual deal-team",'Model inputs'!O83)),IF('DealScope monthly model and pri'!E58="","",'DealScope monthly model and pri'!E58),"")</f>
      </c>
    </row>
    <row r="675">
      <c r="A675" t="inlineStr" s="16">
        <is>
          <t xml:space="preserve">Calculation</t>
        </is>
      </c>
      <c r="B675">
        <f>IF(IF(EXACT("Hybrid",'Model inputs'!O83)="",FALSE,EXACT("Hybrid",'Model inputs'!O83)),IF('DealScope monthly model and pri'!E59="","",'DealScope monthly model and pri'!E59),"")</f>
      </c>
    </row>
    <row r="676">
      <c r="A676" t="inlineStr" s="16">
        <is>
          <t xml:space="preserve">Calculation</t>
        </is>
      </c>
      <c r="B676">
        <f>IF(IF(EXACT("Per audit — base",'Model inputs'!O83)="",FALSE,EXACT("Per audit — base",'Model inputs'!O83)),IF('DealScope monthly model and pri'!E60="","",'DealScope monthly model and pri'!E60),"")</f>
      </c>
    </row>
    <row r="677">
      <c r="A677" t="inlineStr" s="16">
        <is>
          <t xml:space="preserve">Calculation</t>
        </is>
      </c>
      <c r="B677">
        <f>IF(IF(EXACT("Per audit — high",'Model inputs'!O83)="",FALSE,EXACT("Per audit — high",'Model inputs'!O83)),IF('DealScope monthly model and pri'!E61="","",'DealScope monthly model and pri'!E61),"")</f>
      </c>
    </row>
    <row r="678">
      <c r="A678" t="inlineStr" s="16">
        <is>
          <t xml:space="preserve">Calculation</t>
        </is>
      </c>
      <c r="B678">
        <f>IF(IF(EXACT("Per audit — low",'Model inputs'!O83)="",FALSE,EXACT("Per audit — low",'Model inputs'!O83)),IF('DealScope monthly model and pri'!E62="","",'DealScope monthly model and pri'!E62),"")</f>
      </c>
    </row>
    <row r="679">
      <c r="A679" t="inlineStr" s="16">
        <is>
          <t xml:space="preserve">Calculation</t>
        </is>
      </c>
      <c r="B679">
        <f>IF(IF(EXACT("Annual deal-team",'Model inputs'!O83)="",FALSE,EXACT("Annual deal-team",'Model inputs'!O83)),IF('DealScope monthly model and pri'!F58="","",'DealScope monthly model and pri'!F58),"")</f>
      </c>
    </row>
    <row r="680">
      <c r="A680" t="inlineStr" s="16">
        <is>
          <t xml:space="preserve">Calculation</t>
        </is>
      </c>
      <c r="B680">
        <f>IF(IF(EXACT("Hybrid",'Model inputs'!O83)="",FALSE,EXACT("Hybrid",'Model inputs'!O83)),IF('DealScope monthly model and pri'!F59="","",'DealScope monthly model and pri'!F59),"")</f>
      </c>
    </row>
    <row r="681">
      <c r="A681" t="inlineStr" s="16">
        <is>
          <t xml:space="preserve">Calculation</t>
        </is>
      </c>
      <c r="B681">
        <f>IF(IF(EXACT("Per audit — base",'Model inputs'!O83)="",FALSE,EXACT("Per audit — base",'Model inputs'!O83)),IF('DealScope monthly model and pri'!F60="","",'DealScope monthly model and pri'!F60),"")</f>
      </c>
    </row>
    <row r="682">
      <c r="A682" t="inlineStr" s="16">
        <is>
          <t xml:space="preserve">Calculation</t>
        </is>
      </c>
      <c r="B682">
        <f>IF(IF(EXACT("Per audit — high",'Model inputs'!O83)="",FALSE,EXACT("Per audit — high",'Model inputs'!O83)),IF('DealScope monthly model and pri'!F61="","",'DealScope monthly model and pri'!F61),"")</f>
      </c>
    </row>
    <row r="683">
      <c r="A683" t="inlineStr" s="16">
        <is>
          <t xml:space="preserve">Calculation</t>
        </is>
      </c>
      <c r="B683">
        <f>IF(IF(EXACT("Per audit — low",'Model inputs'!O83)="",FALSE,EXACT("Per audit — low",'Model inputs'!O83)),IF('DealScope monthly model and pri'!F62="","",'DealScope monthly model and pri'!F62),"")</f>
      </c>
    </row>
    <row r="684">
      <c r="A684" t="inlineStr" s="16">
        <is>
          <t xml:space="preserve">Calculation</t>
        </is>
      </c>
      <c r="B684">
        <f>IF(IF(EXACT("Annual deal-team",'Model inputs'!O83)="",FALSE,EXACT("Annual deal-team",'Model inputs'!O83)),IF('DealScope monthly model and pri'!G58="","",'DealScope monthly model and pri'!G58),"")</f>
      </c>
    </row>
    <row r="685">
      <c r="A685" t="inlineStr" s="16">
        <is>
          <t xml:space="preserve">Calculation</t>
        </is>
      </c>
      <c r="B685">
        <f>IF(IF(EXACT("Hybrid",'Model inputs'!O83)="",FALSE,EXACT("Hybrid",'Model inputs'!O83)),IF('DealScope monthly model and pri'!G59="","",'DealScope monthly model and pri'!G59),"")</f>
      </c>
    </row>
    <row r="686">
      <c r="A686" t="inlineStr" s="16">
        <is>
          <t xml:space="preserve">Calculation</t>
        </is>
      </c>
      <c r="B686">
        <f>IF(IF(EXACT("Per audit — base",'Model inputs'!O83)="",FALSE,EXACT("Per audit — base",'Model inputs'!O83)),IF('DealScope monthly model and pri'!G60="","",'DealScope monthly model and pri'!G60),"")</f>
      </c>
    </row>
    <row r="687">
      <c r="A687" t="inlineStr" s="16">
        <is>
          <t xml:space="preserve">Calculation</t>
        </is>
      </c>
      <c r="B687">
        <f>IF(IF(EXACT("Per audit — high",'Model inputs'!O83)="",FALSE,EXACT("Per audit — high",'Model inputs'!O83)),IF('DealScope monthly model and pri'!G61="","",'DealScope monthly model and pri'!G61),"")</f>
      </c>
    </row>
    <row r="688">
      <c r="A688" t="inlineStr" s="16">
        <is>
          <t xml:space="preserve">Calculation</t>
        </is>
      </c>
      <c r="B688">
        <f>IF(IF(EXACT("Per audit — low",'Model inputs'!O83)="",FALSE,EXACT("Per audit — low",'Model inputs'!O83)),IF('DealScope monthly model and pri'!G62="","",'DealScope monthly model and pri'!G62),"")</f>
      </c>
    </row>
    <row r="689">
      <c r="A689" t="inlineStr" s="16">
        <is>
          <t xml:space="preserve">Calculation</t>
        </is>
      </c>
      <c r="B689">
        <f>IF(IF(EXACT("Annual deal-team",'Model inputs'!O83)="",FALSE,EXACT("Annual deal-team",'Model inputs'!O83)),IF('DealScope monthly model and pri'!H58="","",'DealScope monthly model and pri'!H58),"")</f>
      </c>
    </row>
    <row r="690">
      <c r="A690" t="inlineStr" s="16">
        <is>
          <t xml:space="preserve">Calculation</t>
        </is>
      </c>
      <c r="B690">
        <f>IF(IF(EXACT("Hybrid",'Model inputs'!O83)="",FALSE,EXACT("Hybrid",'Model inputs'!O83)),IF('DealScope monthly model and pri'!H59="","",'DealScope monthly model and pri'!H59),"")</f>
      </c>
    </row>
    <row r="691">
      <c r="A691" t="inlineStr" s="16">
        <is>
          <t xml:space="preserve">Calculation</t>
        </is>
      </c>
      <c r="B691">
        <f>IF(IF(EXACT("Per audit — base",'Model inputs'!O83)="",FALSE,EXACT("Per audit — base",'Model inputs'!O83)),IF('DealScope monthly model and pri'!H60="","",'DealScope monthly model and pri'!H60),"")</f>
      </c>
    </row>
    <row r="692">
      <c r="A692" t="inlineStr" s="16">
        <is>
          <t xml:space="preserve">Calculation</t>
        </is>
      </c>
      <c r="B692">
        <f>IF(IF(EXACT("Per audit — high",'Model inputs'!O83)="",FALSE,EXACT("Per audit — high",'Model inputs'!O83)),IF('DealScope monthly model and pri'!H61="","",'DealScope monthly model and pri'!H61),"")</f>
      </c>
    </row>
    <row r="693">
      <c r="A693" t="inlineStr" s="16">
        <is>
          <t xml:space="preserve">Calculation</t>
        </is>
      </c>
      <c r="B693">
        <f>IF(IF(EXACT("Per audit — low",'Model inputs'!O83)="",FALSE,EXACT("Per audit — low",'Model inputs'!O83)),IF('DealScope monthly model and pri'!H62="","",'DealScope monthly model and pri'!H62),"")</f>
      </c>
    </row>
    <row r="694">
      <c r="A694" t="inlineStr" s="16">
        <is>
          <t xml:space="preserve">Calculation</t>
        </is>
      </c>
      <c r="B694">
        <f>IF(IF(EXACT("Annual deal-team",'Model inputs'!O83)="",FALSE,EXACT("Annual deal-team",'Model inputs'!O83)),IF('DealScope monthly model and pri'!I58="","",'DealScope monthly model and pri'!I58),"")</f>
      </c>
    </row>
    <row r="695">
      <c r="A695" t="inlineStr" s="16">
        <is>
          <t xml:space="preserve">Calculation</t>
        </is>
      </c>
      <c r="B695">
        <f>IF(IF(EXACT("Hybrid",'Model inputs'!O83)="",FALSE,EXACT("Hybrid",'Model inputs'!O83)),IF('DealScope monthly model and pri'!I59="","",'DealScope monthly model and pri'!I59),"")</f>
      </c>
    </row>
    <row r="696">
      <c r="A696" t="inlineStr" s="16">
        <is>
          <t xml:space="preserve">Calculation</t>
        </is>
      </c>
      <c r="B696">
        <f>IF(IF(EXACT("Per audit — base",'Model inputs'!O83)="",FALSE,EXACT("Per audit — base",'Model inputs'!O83)),IF('DealScope monthly model and pri'!I60="","",'DealScope monthly model and pri'!I60),"")</f>
      </c>
    </row>
    <row r="697">
      <c r="A697" t="inlineStr" s="16">
        <is>
          <t xml:space="preserve">Calculation</t>
        </is>
      </c>
      <c r="B697">
        <f>IF(IF(EXACT("Per audit — high",'Model inputs'!O83)="",FALSE,EXACT("Per audit — high",'Model inputs'!O83)),IF('DealScope monthly model and pri'!I61="","",'DealScope monthly model and pri'!I61),"")</f>
      </c>
    </row>
    <row r="698">
      <c r="A698" t="inlineStr" s="16">
        <is>
          <t xml:space="preserve">Calculation</t>
        </is>
      </c>
      <c r="B698">
        <f>IF(IF(EXACT("Per audit — low",'Model inputs'!O83)="",FALSE,EXACT("Per audit — low",'Model inputs'!O83)),IF('DealScope monthly model and pri'!I62="","",'DealScope monthly model and pri'!I62),"")</f>
      </c>
    </row>
    <row r="699">
      <c r="A699" t="inlineStr" s="16">
        <is>
          <t xml:space="preserve">Calculation</t>
        </is>
      </c>
      <c r="B699">
        <f>IF(IF(EXACT("Annual deal-team",'Model inputs'!O83)="",FALSE,EXACT("Annual deal-team",'Model inputs'!O83)),IF('DealScope monthly model and pri'!J58="","",'DealScope monthly model and pri'!J58),"")</f>
      </c>
    </row>
    <row r="700">
      <c r="A700" t="inlineStr" s="16">
        <is>
          <t xml:space="preserve">Calculation</t>
        </is>
      </c>
      <c r="B700">
        <f>IF(IF(EXACT("Hybrid",'Model inputs'!O83)="",FALSE,EXACT("Hybrid",'Model inputs'!O83)),IF('DealScope monthly model and pri'!J59="","",'DealScope monthly model and pri'!J59),"")</f>
      </c>
    </row>
    <row r="701">
      <c r="A701" t="inlineStr" s="16">
        <is>
          <t xml:space="preserve">Calculation</t>
        </is>
      </c>
      <c r="B701">
        <f>IF(IF(EXACT("Per audit — base",'Model inputs'!O83)="",FALSE,EXACT("Per audit — base",'Model inputs'!O83)),IF('DealScope monthly model and pri'!J60="","",'DealScope monthly model and pri'!J60),"")</f>
      </c>
    </row>
    <row r="702">
      <c r="A702" t="inlineStr" s="16">
        <is>
          <t xml:space="preserve">Calculation</t>
        </is>
      </c>
      <c r="B702">
        <f>IF(IF(EXACT("Per audit — high",'Model inputs'!O83)="",FALSE,EXACT("Per audit — high",'Model inputs'!O83)),IF('DealScope monthly model and pri'!J61="","",'DealScope monthly model and pri'!J61),"")</f>
      </c>
    </row>
    <row r="703">
      <c r="A703" t="inlineStr" s="16">
        <is>
          <t xml:space="preserve">Calculation</t>
        </is>
      </c>
      <c r="B703">
        <f>IF(IF(EXACT("Per audit — low",'Model inputs'!O83)="",FALSE,EXACT("Per audit — low",'Model inputs'!O83)),IF('DealScope monthly model and pri'!J62="","",'DealScope monthly model and pri'!J62),"")</f>
      </c>
    </row>
    <row r="704">
      <c r="A704" t="inlineStr" s="16">
        <is>
          <t xml:space="preserve">Calculation</t>
        </is>
      </c>
      <c r="B704">
        <f>IF(IF(EXACT("Annual deal-team",'Model inputs'!O83)="",FALSE,EXACT("Annual deal-team",'Model inputs'!O83)),IF('DealScope monthly model and pri'!K58="","",'DealScope monthly model and pri'!K58),"")</f>
      </c>
    </row>
    <row r="705">
      <c r="A705" t="inlineStr" s="16">
        <is>
          <t xml:space="preserve">Calculation</t>
        </is>
      </c>
      <c r="B705">
        <f>IF(IF(EXACT("Hybrid",'Model inputs'!O83)="",FALSE,EXACT("Hybrid",'Model inputs'!O83)),IF('DealScope monthly model and pri'!K59="","",'DealScope monthly model and pri'!K59),"")</f>
      </c>
    </row>
    <row r="706">
      <c r="A706" t="inlineStr" s="16">
        <is>
          <t xml:space="preserve">Calculation</t>
        </is>
      </c>
      <c r="B706">
        <f>IF(IF(EXACT("Per audit — base",'Model inputs'!O83)="",FALSE,EXACT("Per audit — base",'Model inputs'!O83)),IF('DealScope monthly model and pri'!K60="","",'DealScope monthly model and pri'!K60),"")</f>
      </c>
    </row>
    <row r="707">
      <c r="A707" t="inlineStr" s="16">
        <is>
          <t xml:space="preserve">Calculation</t>
        </is>
      </c>
      <c r="B707">
        <f>IF(IF(EXACT("Per audit — high",'Model inputs'!O83)="",FALSE,EXACT("Per audit — high",'Model inputs'!O83)),IF('DealScope monthly model and pri'!K61="","",'DealScope monthly model and pri'!K61),"")</f>
      </c>
    </row>
    <row r="708">
      <c r="A708" t="inlineStr" s="16">
        <is>
          <t xml:space="preserve">Calculation</t>
        </is>
      </c>
      <c r="B708">
        <f>IF(IF(EXACT("Per audit — low",'Model inputs'!O83)="",FALSE,EXACT("Per audit — low",'Model inputs'!O83)),IF('DealScope monthly model and pri'!K62="","",'DealScope monthly model and pri'!K62),"")</f>
      </c>
    </row>
    <row r="709">
      <c r="A709" t="inlineStr" s="16">
        <is>
          <t xml:space="preserve">Calculation</t>
        </is>
      </c>
      <c r="B709">
        <f>IF(IF(EXACT("Annual deal-team",'Model inputs'!O83)="",FALSE,EXACT("Annual deal-team",'Model inputs'!O83)),IF('DealScope monthly model and pri'!L58="","",'DealScope monthly model and pri'!L58),"")</f>
      </c>
    </row>
    <row r="710">
      <c r="A710" t="inlineStr" s="16">
        <is>
          <t xml:space="preserve">Calculation</t>
        </is>
      </c>
      <c r="B710">
        <f>IF(IF(EXACT("Hybrid",'Model inputs'!O83)="",FALSE,EXACT("Hybrid",'Model inputs'!O83)),IF('DealScope monthly model and pri'!L59="","",'DealScope monthly model and pri'!L59),"")</f>
      </c>
    </row>
    <row r="711">
      <c r="A711" t="inlineStr" s="16">
        <is>
          <t xml:space="preserve">Calculation</t>
        </is>
      </c>
      <c r="B711">
        <f>IF(IF(EXACT("Per audit — base",'Model inputs'!O83)="",FALSE,EXACT("Per audit — base",'Model inputs'!O83)),IF('DealScope monthly model and pri'!L60="","",'DealScope monthly model and pri'!L60),"")</f>
      </c>
    </row>
    <row r="712">
      <c r="A712" t="inlineStr" s="16">
        <is>
          <t xml:space="preserve">Calculation</t>
        </is>
      </c>
      <c r="B712">
        <f>IF(IF(EXACT("Per audit — high",'Model inputs'!O83)="",FALSE,EXACT("Per audit — high",'Model inputs'!O83)),IF('DealScope monthly model and pri'!L61="","",'DealScope monthly model and pri'!L61),"")</f>
      </c>
    </row>
    <row r="713">
      <c r="A713" t="inlineStr" s="16">
        <is>
          <t xml:space="preserve">Calculation</t>
        </is>
      </c>
      <c r="B713">
        <f>IF(IF(EXACT("Per audit — low",'Model inputs'!O83)="",FALSE,EXACT("Per audit — low",'Model inputs'!O83)),IF('DealScope monthly model and pri'!L62="","",'DealScope monthly model and pri'!L62),"")</f>
      </c>
    </row>
    <row r="714">
      <c r="A714" t="inlineStr" s="16">
        <is>
          <t xml:space="preserve">Calculation</t>
        </is>
      </c>
      <c r="B714">
        <f>IF(IF(EXACT("Annual deal-team",'Model inputs'!O83)="",FALSE,EXACT("Annual deal-team",'Model inputs'!O83)),IF('DealScope monthly model and pri'!M58="","",'DealScope monthly model and pri'!M58),"")</f>
      </c>
    </row>
    <row r="715">
      <c r="A715" t="inlineStr" s="16">
        <is>
          <t xml:space="preserve">Calculation</t>
        </is>
      </c>
      <c r="B715">
        <f>IF(IF(EXACT("Hybrid",'Model inputs'!O83)="",FALSE,EXACT("Hybrid",'Model inputs'!O83)),IF('DealScope monthly model and pri'!M59="","",'DealScope monthly model and pri'!M59),"")</f>
      </c>
    </row>
    <row r="716">
      <c r="A716" t="inlineStr" s="16">
        <is>
          <t xml:space="preserve">Calculation</t>
        </is>
      </c>
      <c r="B716">
        <f>IF(IF(EXACT("Per audit — base",'Model inputs'!O83)="",FALSE,EXACT("Per audit — base",'Model inputs'!O83)),IF('DealScope monthly model and pri'!M60="","",'DealScope monthly model and pri'!M60),"")</f>
      </c>
    </row>
    <row r="717">
      <c r="A717" t="inlineStr" s="16">
        <is>
          <t xml:space="preserve">Calculation</t>
        </is>
      </c>
      <c r="B717">
        <f>IF(IF(EXACT("Per audit — high",'Model inputs'!O83)="",FALSE,EXACT("Per audit — high",'Model inputs'!O83)),IF('DealScope monthly model and pri'!M61="","",'DealScope monthly model and pri'!M61),"")</f>
      </c>
    </row>
    <row r="718">
      <c r="A718" t="inlineStr" s="16">
        <is>
          <t xml:space="preserve">Calculation</t>
        </is>
      </c>
      <c r="B718">
        <f>IF(IF(EXACT("Per audit — low",'Model inputs'!O83)="",FALSE,EXACT("Per audit — low",'Model inputs'!O83)),IF('DealScope monthly model and pri'!M62="","",'DealScope monthly model and pri'!M62),"")</f>
      </c>
    </row>
    <row r="719">
      <c r="A719" t="inlineStr" s="16">
        <is>
          <t xml:space="preserve">Calculation</t>
        </is>
      </c>
      <c r="B719">
        <f>IF(IF(EXACT("Annual deal-team",'Model inputs'!O83)="",FALSE,EXACT("Annual deal-team",'Model inputs'!O83)),IF('DealScope monthly model and pri'!B64="","",'DealScope monthly model and pri'!B64),"")</f>
      </c>
    </row>
    <row r="720">
      <c r="A720" t="inlineStr" s="16">
        <is>
          <t xml:space="preserve">Calculation</t>
        </is>
      </c>
      <c r="B720">
        <f>IF(IF(EXACT("Hybrid",'Model inputs'!O83)="",FALSE,EXACT("Hybrid",'Model inputs'!O83)),IF('DealScope monthly model and pri'!B65="","",'DealScope monthly model and pri'!B65),"")</f>
      </c>
    </row>
    <row r="721">
      <c r="A721" t="inlineStr" s="16">
        <is>
          <t xml:space="preserve">Calculation</t>
        </is>
      </c>
      <c r="B721">
        <f>IF(IF(EXACT("Per audit — base",'Model inputs'!O83)="",FALSE,EXACT("Per audit — base",'Model inputs'!O83)),IF('DealScope monthly model and pri'!B66="","",'DealScope monthly model and pri'!B66),"")</f>
      </c>
    </row>
    <row r="722">
      <c r="A722" t="inlineStr" s="16">
        <is>
          <t xml:space="preserve">Calculation</t>
        </is>
      </c>
      <c r="B722">
        <f>IF(IF(EXACT("Per audit — high",'Model inputs'!O83)="",FALSE,EXACT("Per audit — high",'Model inputs'!O83)),IF('DealScope monthly model and pri'!B67="","",'DealScope monthly model and pri'!B67),"")</f>
      </c>
    </row>
    <row r="723">
      <c r="A723" t="inlineStr" s="16">
        <is>
          <t xml:space="preserve">Calculation</t>
        </is>
      </c>
      <c r="B723">
        <f>IF(IF(EXACT("Per audit — low",'Model inputs'!O83)="",FALSE,EXACT("Per audit — low",'Model inputs'!O83)),IF('DealScope monthly model and pri'!B68="","",'DealScope monthly model and pri'!B68),"")</f>
      </c>
    </row>
    <row r="724">
      <c r="A724" t="inlineStr" s="16">
        <is>
          <t xml:space="preserve">Calculation</t>
        </is>
      </c>
      <c r="B724">
        <f>IF(IF(EXACT("Annual deal-team",'Model inputs'!O83)="",FALSE,EXACT("Annual deal-team",'Model inputs'!O83)),IF('DealScope monthly model and pri'!C64="","",'DealScope monthly model and pri'!C64),"")</f>
      </c>
    </row>
    <row r="725">
      <c r="A725" t="inlineStr" s="16">
        <is>
          <t xml:space="preserve">Calculation</t>
        </is>
      </c>
      <c r="B725">
        <f>IF(IF(EXACT("Hybrid",'Model inputs'!O83)="",FALSE,EXACT("Hybrid",'Model inputs'!O83)),IF('DealScope monthly model and pri'!C65="","",'DealScope monthly model and pri'!C65),"")</f>
      </c>
    </row>
    <row r="726">
      <c r="A726" t="inlineStr" s="16">
        <is>
          <t xml:space="preserve">Calculation</t>
        </is>
      </c>
      <c r="B726">
        <f>IF(IF(EXACT("Per audit — base",'Model inputs'!O83)="",FALSE,EXACT("Per audit — base",'Model inputs'!O83)),IF('DealScope monthly model and pri'!C66="","",'DealScope monthly model and pri'!C66),"")</f>
      </c>
    </row>
    <row r="727">
      <c r="A727" t="inlineStr" s="16">
        <is>
          <t xml:space="preserve">Calculation</t>
        </is>
      </c>
      <c r="B727">
        <f>IF(IF(EXACT("Per audit — high",'Model inputs'!O83)="",FALSE,EXACT("Per audit — high",'Model inputs'!O83)),IF('DealScope monthly model and pri'!C67="","",'DealScope monthly model and pri'!C67),"")</f>
      </c>
    </row>
    <row r="728">
      <c r="A728" t="inlineStr" s="16">
        <is>
          <t xml:space="preserve">Calculation</t>
        </is>
      </c>
      <c r="B728">
        <f>IF(IF(EXACT("Per audit — low",'Model inputs'!O83)="",FALSE,EXACT("Per audit — low",'Model inputs'!O83)),IF('DealScope monthly model and pri'!C68="","",'DealScope monthly model and pri'!C68),"")</f>
      </c>
    </row>
    <row r="729">
      <c r="A729" t="inlineStr" s="16">
        <is>
          <t xml:space="preserve">Calculation</t>
        </is>
      </c>
      <c r="B729">
        <f>IF(IF(EXACT("Annual deal-team",'Model inputs'!O83)="",FALSE,EXACT("Annual deal-team",'Model inputs'!O83)),IF('DealScope monthly model and pri'!D64="","",'DealScope monthly model and pri'!D64),"")</f>
      </c>
    </row>
    <row r="730">
      <c r="A730" t="inlineStr" s="16">
        <is>
          <t xml:space="preserve">Calculation</t>
        </is>
      </c>
      <c r="B730">
        <f>IF(IF(EXACT("Hybrid",'Model inputs'!O83)="",FALSE,EXACT("Hybrid",'Model inputs'!O83)),IF('DealScope monthly model and pri'!D65="","",'DealScope monthly model and pri'!D65),"")</f>
      </c>
    </row>
    <row r="731">
      <c r="A731" t="inlineStr" s="16">
        <is>
          <t xml:space="preserve">Calculation</t>
        </is>
      </c>
      <c r="B731">
        <f>IF(IF(EXACT("Per audit — base",'Model inputs'!O83)="",FALSE,EXACT("Per audit — base",'Model inputs'!O83)),IF('DealScope monthly model and pri'!D66="","",'DealScope monthly model and pri'!D66),"")</f>
      </c>
    </row>
    <row r="732">
      <c r="A732" t="inlineStr" s="16">
        <is>
          <t xml:space="preserve">Calculation</t>
        </is>
      </c>
      <c r="B732">
        <f>IF(IF(EXACT("Per audit — high",'Model inputs'!O83)="",FALSE,EXACT("Per audit — high",'Model inputs'!O83)),IF('DealScope monthly model and pri'!D67="","",'DealScope monthly model and pri'!D67),"")</f>
      </c>
    </row>
    <row r="733">
      <c r="A733" t="inlineStr" s="16">
        <is>
          <t xml:space="preserve">Calculation</t>
        </is>
      </c>
      <c r="B733">
        <f>IF(IF(EXACT("Per audit — low",'Model inputs'!O83)="",FALSE,EXACT("Per audit — low",'Model inputs'!O83)),IF('DealScope monthly model and pri'!D68="","",'DealScope monthly model and pri'!D68),"")</f>
      </c>
    </row>
    <row r="734">
      <c r="A734" t="inlineStr" s="16">
        <is>
          <t xml:space="preserve">Calculation</t>
        </is>
      </c>
      <c r="B734">
        <f>IF(IF(EXACT("Annual deal-team",'Model inputs'!O83)="",FALSE,EXACT("Annual deal-team",'Model inputs'!O83)),IF('DealScope monthly model and pri'!E64="","",'DealScope monthly model and pri'!E64),"")</f>
      </c>
    </row>
    <row r="735">
      <c r="A735" t="inlineStr" s="16">
        <is>
          <t xml:space="preserve">Calculation</t>
        </is>
      </c>
      <c r="B735">
        <f>IF(IF(EXACT("Hybrid",'Model inputs'!O83)="",FALSE,EXACT("Hybrid",'Model inputs'!O83)),IF('DealScope monthly model and pri'!E65="","",'DealScope monthly model and pri'!E65),"")</f>
      </c>
    </row>
    <row r="736">
      <c r="A736" t="inlineStr" s="16">
        <is>
          <t xml:space="preserve">Calculation</t>
        </is>
      </c>
      <c r="B736">
        <f>IF(IF(EXACT("Per audit — base",'Model inputs'!O83)="",FALSE,EXACT("Per audit — base",'Model inputs'!O83)),IF('DealScope monthly model and pri'!E66="","",'DealScope monthly model and pri'!E66),"")</f>
      </c>
    </row>
    <row r="737">
      <c r="A737" t="inlineStr" s="16">
        <is>
          <t xml:space="preserve">Calculation</t>
        </is>
      </c>
      <c r="B737">
        <f>IF(IF(EXACT("Per audit — high",'Model inputs'!O83)="",FALSE,EXACT("Per audit — high",'Model inputs'!O83)),IF('DealScope monthly model and pri'!E67="","",'DealScope monthly model and pri'!E67),"")</f>
      </c>
    </row>
    <row r="738">
      <c r="A738" t="inlineStr" s="16">
        <is>
          <t xml:space="preserve">Calculation</t>
        </is>
      </c>
      <c r="B738">
        <f>IF(IF(EXACT("Per audit — low",'Model inputs'!O83)="",FALSE,EXACT("Per audit — low",'Model inputs'!O83)),IF('DealScope monthly model and pri'!E68="","",'DealScope monthly model and pri'!E68),"")</f>
      </c>
    </row>
    <row r="739">
      <c r="A739" t="inlineStr" s="16">
        <is>
          <t xml:space="preserve">Calculation</t>
        </is>
      </c>
      <c r="B739">
        <f>IF(IF(EXACT("Annual deal-team",'Model inputs'!O83)="",FALSE,EXACT("Annual deal-team",'Model inputs'!O83)),IF('DealScope monthly model and pri'!F64="","",'DealScope monthly model and pri'!F64),"")</f>
      </c>
    </row>
    <row r="740">
      <c r="A740" t="inlineStr" s="16">
        <is>
          <t xml:space="preserve">Calculation</t>
        </is>
      </c>
      <c r="B740">
        <f>IF(IF(EXACT("Hybrid",'Model inputs'!O83)="",FALSE,EXACT("Hybrid",'Model inputs'!O83)),IF('DealScope monthly model and pri'!F65="","",'DealScope monthly model and pri'!F65),"")</f>
      </c>
    </row>
    <row r="741">
      <c r="A741" t="inlineStr" s="16">
        <is>
          <t xml:space="preserve">Calculation</t>
        </is>
      </c>
      <c r="B741">
        <f>IF(IF(EXACT("Per audit — base",'Model inputs'!O83)="",FALSE,EXACT("Per audit — base",'Model inputs'!O83)),IF('DealScope monthly model and pri'!F66="","",'DealScope monthly model and pri'!F66),"")</f>
      </c>
    </row>
    <row r="742">
      <c r="A742" t="inlineStr" s="16">
        <is>
          <t xml:space="preserve">Calculation</t>
        </is>
      </c>
      <c r="B742">
        <f>IF(IF(EXACT("Per audit — high",'Model inputs'!O83)="",FALSE,EXACT("Per audit — high",'Model inputs'!O83)),IF('DealScope monthly model and pri'!F67="","",'DealScope monthly model and pri'!F67),"")</f>
      </c>
    </row>
    <row r="743">
      <c r="A743" t="inlineStr" s="16">
        <is>
          <t xml:space="preserve">Calculation</t>
        </is>
      </c>
      <c r="B743">
        <f>IF(IF(EXACT("Per audit — low",'Model inputs'!O83)="",FALSE,EXACT("Per audit — low",'Model inputs'!O83)),IF('DealScope monthly model and pri'!F68="","",'DealScope monthly model and pri'!F68),"")</f>
      </c>
    </row>
    <row r="744">
      <c r="A744" t="inlineStr" s="16">
        <is>
          <t xml:space="preserve">Calculation</t>
        </is>
      </c>
      <c r="B744">
        <f>IF(IF(EXACT("Annual deal-team",'Model inputs'!O83)="",FALSE,EXACT("Annual deal-team",'Model inputs'!O83)),IF('DealScope monthly model and pri'!G64="","",'DealScope monthly model and pri'!G64),"")</f>
      </c>
    </row>
    <row r="745">
      <c r="A745" t="inlineStr" s="16">
        <is>
          <t xml:space="preserve">Calculation</t>
        </is>
      </c>
      <c r="B745">
        <f>IF(IF(EXACT("Hybrid",'Model inputs'!O83)="",FALSE,EXACT("Hybrid",'Model inputs'!O83)),IF('DealScope monthly model and pri'!G65="","",'DealScope monthly model and pri'!G65),"")</f>
      </c>
    </row>
    <row r="746">
      <c r="A746" t="inlineStr" s="16">
        <is>
          <t xml:space="preserve">Calculation</t>
        </is>
      </c>
      <c r="B746">
        <f>IF(IF(EXACT("Per audit — base",'Model inputs'!O83)="",FALSE,EXACT("Per audit — base",'Model inputs'!O83)),IF('DealScope monthly model and pri'!G66="","",'DealScope monthly model and pri'!G66),"")</f>
      </c>
    </row>
    <row r="747">
      <c r="A747" t="inlineStr" s="16">
        <is>
          <t xml:space="preserve">Calculation</t>
        </is>
      </c>
      <c r="B747">
        <f>IF(IF(EXACT("Per audit — high",'Model inputs'!O83)="",FALSE,EXACT("Per audit — high",'Model inputs'!O83)),IF('DealScope monthly model and pri'!G67="","",'DealScope monthly model and pri'!G67),"")</f>
      </c>
    </row>
    <row r="748">
      <c r="A748" t="inlineStr" s="16">
        <is>
          <t xml:space="preserve">Calculation</t>
        </is>
      </c>
      <c r="B748">
        <f>IF(IF(EXACT("Per audit — low",'Model inputs'!O83)="",FALSE,EXACT("Per audit — low",'Model inputs'!O83)),IF('DealScope monthly model and pri'!G68="","",'DealScope monthly model and pri'!G68),"")</f>
      </c>
    </row>
    <row r="749">
      <c r="A749" t="inlineStr" s="16">
        <is>
          <t xml:space="preserve">Calculation</t>
        </is>
      </c>
      <c r="B749">
        <f>IF(IF(EXACT("Annual deal-team",'Model inputs'!O83)="",FALSE,EXACT("Annual deal-team",'Model inputs'!O83)),IF('DealScope monthly model and pri'!H64="","",'DealScope monthly model and pri'!H64),"")</f>
      </c>
    </row>
    <row r="750">
      <c r="A750" t="inlineStr" s="16">
        <is>
          <t xml:space="preserve">Calculation</t>
        </is>
      </c>
      <c r="B750">
        <f>IF(IF(EXACT("Hybrid",'Model inputs'!O83)="",FALSE,EXACT("Hybrid",'Model inputs'!O83)),IF('DealScope monthly model and pri'!H65="","",'DealScope monthly model and pri'!H65),"")</f>
      </c>
    </row>
    <row r="751">
      <c r="A751" t="inlineStr" s="16">
        <is>
          <t xml:space="preserve">Calculation</t>
        </is>
      </c>
      <c r="B751">
        <f>IF(IF(EXACT("Per audit — base",'Model inputs'!O83)="",FALSE,EXACT("Per audit — base",'Model inputs'!O83)),IF('DealScope monthly model and pri'!H66="","",'DealScope monthly model and pri'!H66),"")</f>
      </c>
    </row>
    <row r="752">
      <c r="A752" t="inlineStr" s="16">
        <is>
          <t xml:space="preserve">Calculation</t>
        </is>
      </c>
      <c r="B752">
        <f>IF(IF(EXACT("Per audit — high",'Model inputs'!O83)="",FALSE,EXACT("Per audit — high",'Model inputs'!O83)),IF('DealScope monthly model and pri'!H67="","",'DealScope monthly model and pri'!H67),"")</f>
      </c>
    </row>
    <row r="753">
      <c r="A753" t="inlineStr" s="16">
        <is>
          <t xml:space="preserve">Calculation</t>
        </is>
      </c>
      <c r="B753">
        <f>IF(IF(EXACT("Per audit — low",'Model inputs'!O83)="",FALSE,EXACT("Per audit — low",'Model inputs'!O83)),IF('DealScope monthly model and pri'!H68="","",'DealScope monthly model and pri'!H68),"")</f>
      </c>
    </row>
    <row r="754">
      <c r="A754" t="inlineStr" s="16">
        <is>
          <t xml:space="preserve">Calculation</t>
        </is>
      </c>
      <c r="B754">
        <f>IF(IF(EXACT("Annual deal-team",'Model inputs'!O83)="",FALSE,EXACT("Annual deal-team",'Model inputs'!O83)),IF('DealScope monthly model and pri'!I64="","",'DealScope monthly model and pri'!I64),"")</f>
      </c>
    </row>
    <row r="755">
      <c r="A755" t="inlineStr" s="16">
        <is>
          <t xml:space="preserve">Calculation</t>
        </is>
      </c>
      <c r="B755">
        <f>IF(IF(EXACT("Hybrid",'Model inputs'!O83)="",FALSE,EXACT("Hybrid",'Model inputs'!O83)),IF('DealScope monthly model and pri'!I65="","",'DealScope monthly model and pri'!I65),"")</f>
      </c>
    </row>
    <row r="756">
      <c r="A756" t="inlineStr" s="16">
        <is>
          <t xml:space="preserve">Calculation</t>
        </is>
      </c>
      <c r="B756">
        <f>IF(IF(EXACT("Per audit — base",'Model inputs'!O83)="",FALSE,EXACT("Per audit — base",'Model inputs'!O83)),IF('DealScope monthly model and pri'!I66="","",'DealScope monthly model and pri'!I66),"")</f>
      </c>
    </row>
    <row r="757">
      <c r="A757" t="inlineStr" s="16">
        <is>
          <t xml:space="preserve">Calculation</t>
        </is>
      </c>
      <c r="B757">
        <f>IF(IF(EXACT("Per audit — high",'Model inputs'!O83)="",FALSE,EXACT("Per audit — high",'Model inputs'!O83)),IF('DealScope monthly model and pri'!I67="","",'DealScope monthly model and pri'!I67),"")</f>
      </c>
    </row>
    <row r="758">
      <c r="A758" t="inlineStr" s="16">
        <is>
          <t xml:space="preserve">Calculation</t>
        </is>
      </c>
      <c r="B758">
        <f>IF(IF(EXACT("Per audit — low",'Model inputs'!O83)="",FALSE,EXACT("Per audit — low",'Model inputs'!O83)),IF('DealScope monthly model and pri'!I68="","",'DealScope monthly model and pri'!I68),"")</f>
      </c>
    </row>
    <row r="759">
      <c r="A759" t="inlineStr" s="16">
        <is>
          <t xml:space="preserve">Calculation</t>
        </is>
      </c>
      <c r="B759">
        <f>IF(IF(EXACT("Annual deal-team",'Model inputs'!O83)="",FALSE,EXACT("Annual deal-team",'Model inputs'!O83)),IF('DealScope monthly model and pri'!J64="","",'DealScope monthly model and pri'!J64),"")</f>
      </c>
    </row>
    <row r="760">
      <c r="A760" t="inlineStr" s="16">
        <is>
          <t xml:space="preserve">Calculation</t>
        </is>
      </c>
      <c r="B760">
        <f>IF(IF(EXACT("Hybrid",'Model inputs'!O83)="",FALSE,EXACT("Hybrid",'Model inputs'!O83)),IF('DealScope monthly model and pri'!J65="","",'DealScope monthly model and pri'!J65),"")</f>
      </c>
    </row>
    <row r="761">
      <c r="A761" t="inlineStr" s="16">
        <is>
          <t xml:space="preserve">Calculation</t>
        </is>
      </c>
      <c r="B761">
        <f>IF(IF(EXACT("Per audit — base",'Model inputs'!O83)="",FALSE,EXACT("Per audit — base",'Model inputs'!O83)),IF('DealScope monthly model and pri'!J66="","",'DealScope monthly model and pri'!J66),"")</f>
      </c>
    </row>
    <row r="762">
      <c r="A762" t="inlineStr" s="16">
        <is>
          <t xml:space="preserve">Calculation</t>
        </is>
      </c>
      <c r="B762">
        <f>IF(IF(EXACT("Per audit — high",'Model inputs'!O83)="",FALSE,EXACT("Per audit — high",'Model inputs'!O83)),IF('DealScope monthly model and pri'!J67="","",'DealScope monthly model and pri'!J67),"")</f>
      </c>
    </row>
    <row r="763">
      <c r="A763" t="inlineStr" s="16">
        <is>
          <t xml:space="preserve">Calculation</t>
        </is>
      </c>
      <c r="B763">
        <f>IF(IF(EXACT("Per audit — low",'Model inputs'!O83)="",FALSE,EXACT("Per audit — low",'Model inputs'!O83)),IF('DealScope monthly model and pri'!J68="","",'DealScope monthly model and pri'!J68),"")</f>
      </c>
    </row>
    <row r="764">
      <c r="A764" t="inlineStr" s="16">
        <is>
          <t xml:space="preserve">Calculation</t>
        </is>
      </c>
      <c r="B764">
        <f>IF(IF(EXACT("Annual deal-team",'Model inputs'!O83)="",FALSE,EXACT("Annual deal-team",'Model inputs'!O83)),IF('DealScope monthly model and pri'!K64="","",'DealScope monthly model and pri'!K64),"")</f>
      </c>
    </row>
    <row r="765">
      <c r="A765" t="inlineStr" s="16">
        <is>
          <t xml:space="preserve">Calculation</t>
        </is>
      </c>
      <c r="B765">
        <f>IF(IF(EXACT("Hybrid",'Model inputs'!O83)="",FALSE,EXACT("Hybrid",'Model inputs'!O83)),IF('DealScope monthly model and pri'!K65="","",'DealScope monthly model and pri'!K65),"")</f>
      </c>
    </row>
    <row r="766">
      <c r="A766" t="inlineStr" s="16">
        <is>
          <t xml:space="preserve">Calculation</t>
        </is>
      </c>
      <c r="B766">
        <f>IF(IF(EXACT("Per audit — base",'Model inputs'!O83)="",FALSE,EXACT("Per audit — base",'Model inputs'!O83)),IF('DealScope monthly model and pri'!K66="","",'DealScope monthly model and pri'!K66),"")</f>
      </c>
    </row>
    <row r="767">
      <c r="A767" t="inlineStr" s="16">
        <is>
          <t xml:space="preserve">Calculation</t>
        </is>
      </c>
      <c r="B767">
        <f>IF(IF(EXACT("Per audit — high",'Model inputs'!O83)="",FALSE,EXACT("Per audit — high",'Model inputs'!O83)),IF('DealScope monthly model and pri'!K67="","",'DealScope monthly model and pri'!K67),"")</f>
      </c>
    </row>
    <row r="768">
      <c r="A768" t="inlineStr" s="16">
        <is>
          <t xml:space="preserve">Calculation</t>
        </is>
      </c>
      <c r="B768">
        <f>IF(IF(EXACT("Per audit — low",'Model inputs'!O83)="",FALSE,EXACT("Per audit — low",'Model inputs'!O83)),IF('DealScope monthly model and pri'!K68="","",'DealScope monthly model and pri'!K68),"")</f>
      </c>
    </row>
    <row r="769">
      <c r="A769" t="inlineStr" s="16">
        <is>
          <t xml:space="preserve">Calculation</t>
        </is>
      </c>
      <c r="B769">
        <f>IF(IF(EXACT("Annual deal-team",'Model inputs'!O83)="",FALSE,EXACT("Annual deal-team",'Model inputs'!O83)),IF('DealScope monthly model and pri'!L64="","",'DealScope monthly model and pri'!L64),"")</f>
      </c>
    </row>
    <row r="770">
      <c r="A770" t="inlineStr" s="16">
        <is>
          <t xml:space="preserve">Calculation</t>
        </is>
      </c>
      <c r="B770">
        <f>IF(IF(EXACT("Hybrid",'Model inputs'!O83)="",FALSE,EXACT("Hybrid",'Model inputs'!O83)),IF('DealScope monthly model and pri'!L65="","",'DealScope monthly model and pri'!L65),"")</f>
      </c>
    </row>
    <row r="771">
      <c r="A771" t="inlineStr" s="16">
        <is>
          <t xml:space="preserve">Calculation</t>
        </is>
      </c>
      <c r="B771">
        <f>IF(IF(EXACT("Per audit — base",'Model inputs'!O83)="",FALSE,EXACT("Per audit — base",'Model inputs'!O83)),IF('DealScope monthly model and pri'!L66="","",'DealScope monthly model and pri'!L66),"")</f>
      </c>
    </row>
    <row r="772">
      <c r="A772" t="inlineStr" s="16">
        <is>
          <t xml:space="preserve">Calculation</t>
        </is>
      </c>
      <c r="B772">
        <f>IF(IF(EXACT("Per audit — high",'Model inputs'!O83)="",FALSE,EXACT("Per audit — high",'Model inputs'!O83)),IF('DealScope monthly model and pri'!L67="","",'DealScope monthly model and pri'!L67),"")</f>
      </c>
    </row>
    <row r="773">
      <c r="A773" t="inlineStr" s="16">
        <is>
          <t xml:space="preserve">Calculation</t>
        </is>
      </c>
      <c r="B773">
        <f>IF(IF(EXACT("Per audit — low",'Model inputs'!O83)="",FALSE,EXACT("Per audit — low",'Model inputs'!O83)),IF('DealScope monthly model and pri'!L68="","",'DealScope monthly model and pri'!L68),"")</f>
      </c>
    </row>
    <row r="774">
      <c r="A774" t="inlineStr" s="16">
        <is>
          <t xml:space="preserve">Calculation</t>
        </is>
      </c>
      <c r="B774">
        <f>IF(IF(EXACT("Annual deal-team",'Model inputs'!O83)="",FALSE,EXACT("Annual deal-team",'Model inputs'!O83)),IF('DealScope monthly model and pri'!M64="","",'DealScope monthly model and pri'!M64),"")</f>
      </c>
    </row>
    <row r="775">
      <c r="A775" t="inlineStr" s="16">
        <is>
          <t xml:space="preserve">Calculation</t>
        </is>
      </c>
      <c r="B775">
        <f>IF(IF(EXACT("Hybrid",'Model inputs'!O83)="",FALSE,EXACT("Hybrid",'Model inputs'!O83)),IF('DealScope monthly model and pri'!M65="","",'DealScope monthly model and pri'!M65),"")</f>
      </c>
    </row>
    <row r="776">
      <c r="A776" t="inlineStr" s="16">
        <is>
          <t xml:space="preserve">Calculation</t>
        </is>
      </c>
      <c r="B776">
        <f>IF(IF(EXACT("Per audit — base",'Model inputs'!O83)="",FALSE,EXACT("Per audit — base",'Model inputs'!O83)),IF('DealScope monthly model and pri'!M66="","",'DealScope monthly model and pri'!M66),"")</f>
      </c>
    </row>
    <row r="777">
      <c r="A777" t="inlineStr" s="16">
        <is>
          <t xml:space="preserve">Calculation</t>
        </is>
      </c>
      <c r="B777">
        <f>IF(IF(EXACT("Per audit — high",'Model inputs'!O83)="",FALSE,EXACT("Per audit — high",'Model inputs'!O83)),IF('DealScope monthly model and pri'!M67="","",'DealScope monthly model and pri'!M67),"")</f>
      </c>
    </row>
    <row r="778">
      <c r="A778" t="inlineStr" s="16">
        <is>
          <t xml:space="preserve">Calculation</t>
        </is>
      </c>
      <c r="B778">
        <f>IF(IF(EXACT("Per audit — low",'Model inputs'!O83)="",FALSE,EXACT("Per audit — low",'Model inputs'!O83)),IF('DealScope monthly model and pri'!M68="","",'DealScope monthly model and pri'!M68),"")</f>
      </c>
    </row>
    <row r="779">
      <c r="A779" t="inlineStr" s="16">
        <is>
          <t xml:space="preserve">Calculation</t>
        </is>
      </c>
      <c r="B779">
        <f>IF(IF(EXACT("Annual deal-team",'Model inputs'!O83)="",FALSE,EXACT("Annual deal-team",'Model inputs'!O83)),IF('DealScope monthly model and pri'!B70="","",'DealScope monthly model and pri'!B70),"")</f>
      </c>
    </row>
    <row r="780">
      <c r="A780" t="inlineStr" s="16">
        <is>
          <t xml:space="preserve">Calculation</t>
        </is>
      </c>
      <c r="B780">
        <f>IF(IF(EXACT("Hybrid",'Model inputs'!O83)="",FALSE,EXACT("Hybrid",'Model inputs'!O83)),IF('DealScope monthly model and pri'!B71="","",'DealScope monthly model and pri'!B71),"")</f>
      </c>
    </row>
    <row r="781">
      <c r="A781" t="inlineStr" s="16">
        <is>
          <t xml:space="preserve">Calculation</t>
        </is>
      </c>
      <c r="B781">
        <f>IF(IF(EXACT("Per audit — base",'Model inputs'!O83)="",FALSE,EXACT("Per audit — base",'Model inputs'!O83)),IF('DealScope monthly model and pri'!B72="","",'DealScope monthly model and pri'!B72),"")</f>
      </c>
    </row>
    <row r="782">
      <c r="A782" t="inlineStr" s="16">
        <is>
          <t xml:space="preserve">Calculation</t>
        </is>
      </c>
      <c r="B782">
        <f>IF(IF(EXACT("Per audit — high",'Model inputs'!O83)="",FALSE,EXACT("Per audit — high",'Model inputs'!O83)),IF('DealScope monthly model and pri'!B73="","",'DealScope monthly model and pri'!B73),"")</f>
      </c>
    </row>
    <row r="783">
      <c r="A783" t="inlineStr" s="16">
        <is>
          <t xml:space="preserve">Calculation</t>
        </is>
      </c>
      <c r="B783">
        <f>IF(IF(EXACT("Per audit — low",'Model inputs'!O83)="",FALSE,EXACT("Per audit — low",'Model inputs'!O83)),IF('DealScope monthly model and pri'!B74="","",'DealScope monthly model and pri'!B74),"")</f>
      </c>
    </row>
    <row r="784">
      <c r="A784" t="inlineStr" s="16">
        <is>
          <t xml:space="preserve">Calculation</t>
        </is>
      </c>
      <c r="B784">
        <f>IF(IF(EXACT("Annual deal-team",'Model inputs'!O83)="",FALSE,EXACT("Annual deal-team",'Model inputs'!O83)),IF('DealScope monthly model and pri'!C70="","",'DealScope monthly model and pri'!C70),"")</f>
      </c>
    </row>
    <row r="785">
      <c r="A785" t="inlineStr" s="16">
        <is>
          <t xml:space="preserve">Calculation</t>
        </is>
      </c>
      <c r="B785">
        <f>IF(IF(EXACT("Hybrid",'Model inputs'!O83)="",FALSE,EXACT("Hybrid",'Model inputs'!O83)),IF('DealScope monthly model and pri'!C71="","",'DealScope monthly model and pri'!C71),"")</f>
      </c>
    </row>
    <row r="786">
      <c r="A786" t="inlineStr" s="16">
        <is>
          <t xml:space="preserve">Calculation</t>
        </is>
      </c>
      <c r="B786">
        <f>IF(IF(EXACT("Per audit — base",'Model inputs'!O83)="",FALSE,EXACT("Per audit — base",'Model inputs'!O83)),IF('DealScope monthly model and pri'!C72="","",'DealScope monthly model and pri'!C72),"")</f>
      </c>
    </row>
    <row r="787">
      <c r="A787" t="inlineStr" s="16">
        <is>
          <t xml:space="preserve">Calculation</t>
        </is>
      </c>
      <c r="B787">
        <f>IF(IF(EXACT("Per audit — high",'Model inputs'!O83)="",FALSE,EXACT("Per audit — high",'Model inputs'!O83)),IF('DealScope monthly model and pri'!C73="","",'DealScope monthly model and pri'!C73),"")</f>
      </c>
    </row>
    <row r="788">
      <c r="A788" t="inlineStr" s="16">
        <is>
          <t xml:space="preserve">Calculation</t>
        </is>
      </c>
      <c r="B788">
        <f>IF(IF(EXACT("Per audit — low",'Model inputs'!O83)="",FALSE,EXACT("Per audit — low",'Model inputs'!O83)),IF('DealScope monthly model and pri'!C74="","",'DealScope monthly model and pri'!C74),"")</f>
      </c>
    </row>
    <row r="789">
      <c r="A789" t="inlineStr" s="16">
        <is>
          <t xml:space="preserve">Calculation</t>
        </is>
      </c>
      <c r="B789">
        <f>IF(IF(EXACT("Annual deal-team",'Model inputs'!O83)="",FALSE,EXACT("Annual deal-team",'Model inputs'!O83)),IF('DealScope monthly model and pri'!D70="","",'DealScope monthly model and pri'!D70),"")</f>
      </c>
    </row>
    <row r="790">
      <c r="A790" t="inlineStr" s="16">
        <is>
          <t xml:space="preserve">Calculation</t>
        </is>
      </c>
      <c r="B790">
        <f>IF(IF(EXACT("Hybrid",'Model inputs'!O83)="",FALSE,EXACT("Hybrid",'Model inputs'!O83)),IF('DealScope monthly model and pri'!D71="","",'DealScope monthly model and pri'!D71),"")</f>
      </c>
    </row>
    <row r="791">
      <c r="A791" t="inlineStr" s="16">
        <is>
          <t xml:space="preserve">Calculation</t>
        </is>
      </c>
      <c r="B791">
        <f>IF(IF(EXACT("Per audit — base",'Model inputs'!O83)="",FALSE,EXACT("Per audit — base",'Model inputs'!O83)),IF('DealScope monthly model and pri'!D72="","",'DealScope monthly model and pri'!D72),"")</f>
      </c>
    </row>
    <row r="792">
      <c r="A792" t="inlineStr" s="16">
        <is>
          <t xml:space="preserve">Calculation</t>
        </is>
      </c>
      <c r="B792">
        <f>IF(IF(EXACT("Per audit — high",'Model inputs'!O83)="",FALSE,EXACT("Per audit — high",'Model inputs'!O83)),IF('DealScope monthly model and pri'!D73="","",'DealScope monthly model and pri'!D73),"")</f>
      </c>
    </row>
    <row r="793">
      <c r="A793" t="inlineStr" s="16">
        <is>
          <t xml:space="preserve">Calculation</t>
        </is>
      </c>
      <c r="B793">
        <f>IF(IF(EXACT("Per audit — low",'Model inputs'!O83)="",FALSE,EXACT("Per audit — low",'Model inputs'!O83)),IF('DealScope monthly model and pri'!D74="","",'DealScope monthly model and pri'!D74),"")</f>
      </c>
    </row>
    <row r="794">
      <c r="A794" t="inlineStr" s="16">
        <is>
          <t xml:space="preserve">Calculation</t>
        </is>
      </c>
      <c r="B794">
        <f>IF(IF(EXACT("Annual deal-team",'Model inputs'!O83)="",FALSE,EXACT("Annual deal-team",'Model inputs'!O83)),IF('DealScope monthly model and pri'!E70="","",'DealScope monthly model and pri'!E70),"")</f>
      </c>
    </row>
    <row r="795">
      <c r="A795" t="inlineStr" s="16">
        <is>
          <t xml:space="preserve">Calculation</t>
        </is>
      </c>
      <c r="B795">
        <f>IF(IF(EXACT("Hybrid",'Model inputs'!O83)="",FALSE,EXACT("Hybrid",'Model inputs'!O83)),IF('DealScope monthly model and pri'!E71="","",'DealScope monthly model and pri'!E71),"")</f>
      </c>
    </row>
    <row r="796">
      <c r="A796" t="inlineStr" s="16">
        <is>
          <t xml:space="preserve">Calculation</t>
        </is>
      </c>
      <c r="B796">
        <f>IF(IF(EXACT("Per audit — base",'Model inputs'!O83)="",FALSE,EXACT("Per audit — base",'Model inputs'!O83)),IF('DealScope monthly model and pri'!E72="","",'DealScope monthly model and pri'!E72),"")</f>
      </c>
    </row>
    <row r="797">
      <c r="A797" t="inlineStr" s="16">
        <is>
          <t xml:space="preserve">Calculation</t>
        </is>
      </c>
      <c r="B797">
        <f>IF(IF(EXACT("Per audit — high",'Model inputs'!O83)="",FALSE,EXACT("Per audit — high",'Model inputs'!O83)),IF('DealScope monthly model and pri'!E73="","",'DealScope monthly model and pri'!E73),"")</f>
      </c>
    </row>
    <row r="798">
      <c r="A798" t="inlineStr" s="16">
        <is>
          <t xml:space="preserve">Calculation</t>
        </is>
      </c>
      <c r="B798">
        <f>IF(IF(EXACT("Per audit — low",'Model inputs'!O83)="",FALSE,EXACT("Per audit — low",'Model inputs'!O83)),IF('DealScope monthly model and pri'!E74="","",'DealScope monthly model and pri'!E74),"")</f>
      </c>
    </row>
    <row r="799">
      <c r="A799" t="inlineStr" s="16">
        <is>
          <t xml:space="preserve">Calculation</t>
        </is>
      </c>
      <c r="B799">
        <f>IF(IF(EXACT("Annual deal-team",'Model inputs'!O83)="",FALSE,EXACT("Annual deal-team",'Model inputs'!O83)),IF('DealScope monthly model and pri'!F70="","",'DealScope monthly model and pri'!F70),"")</f>
      </c>
    </row>
    <row r="800">
      <c r="A800" t="inlineStr" s="16">
        <is>
          <t xml:space="preserve">Calculation</t>
        </is>
      </c>
      <c r="B800">
        <f>IF(IF(EXACT("Hybrid",'Model inputs'!O83)="",FALSE,EXACT("Hybrid",'Model inputs'!O83)),IF('DealScope monthly model and pri'!F71="","",'DealScope monthly model and pri'!F71),"")</f>
      </c>
    </row>
    <row r="801">
      <c r="A801" t="inlineStr" s="16">
        <is>
          <t xml:space="preserve">Calculation</t>
        </is>
      </c>
      <c r="B801">
        <f>IF(IF(EXACT("Per audit — base",'Model inputs'!O83)="",FALSE,EXACT("Per audit — base",'Model inputs'!O83)),IF('DealScope monthly model and pri'!F72="","",'DealScope monthly model and pri'!F72),"")</f>
      </c>
    </row>
    <row r="802">
      <c r="A802" t="inlineStr" s="16">
        <is>
          <t xml:space="preserve">Calculation</t>
        </is>
      </c>
      <c r="B802">
        <f>IF(IF(EXACT("Per audit — high",'Model inputs'!O83)="",FALSE,EXACT("Per audit — high",'Model inputs'!O83)),IF('DealScope monthly model and pri'!F73="","",'DealScope monthly model and pri'!F73),"")</f>
      </c>
    </row>
    <row r="803">
      <c r="A803" t="inlineStr" s="16">
        <is>
          <t xml:space="preserve">Calculation</t>
        </is>
      </c>
      <c r="B803">
        <f>IF(IF(EXACT("Per audit — low",'Model inputs'!O83)="",FALSE,EXACT("Per audit — low",'Model inputs'!O83)),IF('DealScope monthly model and pri'!F74="","",'DealScope monthly model and pri'!F74),"")</f>
      </c>
    </row>
    <row r="804">
      <c r="A804" t="inlineStr" s="16">
        <is>
          <t xml:space="preserve">Calculation</t>
        </is>
      </c>
      <c r="B804">
        <f>IF(IF(EXACT("Annual deal-team",'Model inputs'!O83)="",FALSE,EXACT("Annual deal-team",'Model inputs'!O83)),IF('DealScope monthly model and pri'!G70="","",'DealScope monthly model and pri'!G70),"")</f>
      </c>
    </row>
    <row r="805">
      <c r="A805" t="inlineStr" s="16">
        <is>
          <t xml:space="preserve">Calculation</t>
        </is>
      </c>
      <c r="B805">
        <f>IF(IF(EXACT("Hybrid",'Model inputs'!O83)="",FALSE,EXACT("Hybrid",'Model inputs'!O83)),IF('DealScope monthly model and pri'!G71="","",'DealScope monthly model and pri'!G71),"")</f>
      </c>
    </row>
    <row r="806">
      <c r="A806" t="inlineStr" s="16">
        <is>
          <t xml:space="preserve">Calculation</t>
        </is>
      </c>
      <c r="B806">
        <f>IF(IF(EXACT("Per audit — base",'Model inputs'!O83)="",FALSE,EXACT("Per audit — base",'Model inputs'!O83)),IF('DealScope monthly model and pri'!G72="","",'DealScope monthly model and pri'!G72),"")</f>
      </c>
    </row>
    <row r="807">
      <c r="A807" t="inlineStr" s="16">
        <is>
          <t xml:space="preserve">Calculation</t>
        </is>
      </c>
      <c r="B807">
        <f>IF(IF(EXACT("Per audit — high",'Model inputs'!O83)="",FALSE,EXACT("Per audit — high",'Model inputs'!O83)),IF('DealScope monthly model and pri'!G73="","",'DealScope monthly model and pri'!G73),"")</f>
      </c>
    </row>
    <row r="808">
      <c r="A808" t="inlineStr" s="16">
        <is>
          <t xml:space="preserve">Calculation</t>
        </is>
      </c>
      <c r="B808">
        <f>IF(IF(EXACT("Per audit — low",'Model inputs'!O83)="",FALSE,EXACT("Per audit — low",'Model inputs'!O83)),IF('DealScope monthly model and pri'!G74="","",'DealScope monthly model and pri'!G74),"")</f>
      </c>
    </row>
    <row r="809">
      <c r="A809" t="inlineStr" s="16">
        <is>
          <t xml:space="preserve">Calculation</t>
        </is>
      </c>
      <c r="B809">
        <f>IF(IF(EXACT("Annual deal-team",'Model inputs'!O83)="",FALSE,EXACT("Annual deal-team",'Model inputs'!O83)),IF('DealScope monthly model and pri'!H70="","",'DealScope monthly model and pri'!H70),"")</f>
      </c>
    </row>
    <row r="810">
      <c r="A810" t="inlineStr" s="16">
        <is>
          <t xml:space="preserve">Calculation</t>
        </is>
      </c>
      <c r="B810">
        <f>IF(IF(EXACT("Hybrid",'Model inputs'!O83)="",FALSE,EXACT("Hybrid",'Model inputs'!O83)),IF('DealScope monthly model and pri'!H71="","",'DealScope monthly model and pri'!H71),"")</f>
      </c>
    </row>
    <row r="811">
      <c r="A811" t="inlineStr" s="16">
        <is>
          <t xml:space="preserve">Calculation</t>
        </is>
      </c>
      <c r="B811">
        <f>IF(IF(EXACT("Per audit — base",'Model inputs'!O83)="",FALSE,EXACT("Per audit — base",'Model inputs'!O83)),IF('DealScope monthly model and pri'!H72="","",'DealScope monthly model and pri'!H72),"")</f>
      </c>
    </row>
    <row r="812">
      <c r="A812" t="inlineStr" s="16">
        <is>
          <t xml:space="preserve">Calculation</t>
        </is>
      </c>
      <c r="B812">
        <f>IF(IF(EXACT("Per audit — high",'Model inputs'!O83)="",FALSE,EXACT("Per audit — high",'Model inputs'!O83)),IF('DealScope monthly model and pri'!H73="","",'DealScope monthly model and pri'!H73),"")</f>
      </c>
    </row>
    <row r="813">
      <c r="A813" t="inlineStr" s="16">
        <is>
          <t xml:space="preserve">Calculation</t>
        </is>
      </c>
      <c r="B813">
        <f>IF(IF(EXACT("Per audit — low",'Model inputs'!O83)="",FALSE,EXACT("Per audit — low",'Model inputs'!O83)),IF('DealScope monthly model and pri'!H74="","",'DealScope monthly model and pri'!H74),"")</f>
      </c>
    </row>
    <row r="814">
      <c r="A814" t="inlineStr" s="16">
        <is>
          <t xml:space="preserve">Calculation</t>
        </is>
      </c>
      <c r="B814">
        <f>IF(IF(EXACT("Annual deal-team",'Model inputs'!O83)="",FALSE,EXACT("Annual deal-team",'Model inputs'!O83)),IF('DealScope monthly model and pri'!I70="","",'DealScope monthly model and pri'!I70),"")</f>
      </c>
    </row>
    <row r="815">
      <c r="A815" t="inlineStr" s="16">
        <is>
          <t xml:space="preserve">Calculation</t>
        </is>
      </c>
      <c r="B815">
        <f>IF(IF(EXACT("Hybrid",'Model inputs'!O83)="",FALSE,EXACT("Hybrid",'Model inputs'!O83)),IF('DealScope monthly model and pri'!I71="","",'DealScope monthly model and pri'!I71),"")</f>
      </c>
    </row>
    <row r="816">
      <c r="A816" t="inlineStr" s="16">
        <is>
          <t xml:space="preserve">Calculation</t>
        </is>
      </c>
      <c r="B816">
        <f>IF(IF(EXACT("Per audit — base",'Model inputs'!O83)="",FALSE,EXACT("Per audit — base",'Model inputs'!O83)),IF('DealScope monthly model and pri'!I72="","",'DealScope monthly model and pri'!I72),"")</f>
      </c>
    </row>
    <row r="817">
      <c r="A817" t="inlineStr" s="16">
        <is>
          <t xml:space="preserve">Calculation</t>
        </is>
      </c>
      <c r="B817">
        <f>IF(IF(EXACT("Per audit — high",'Model inputs'!O83)="",FALSE,EXACT("Per audit — high",'Model inputs'!O83)),IF('DealScope monthly model and pri'!I73="","",'DealScope monthly model and pri'!I73),"")</f>
      </c>
    </row>
    <row r="818">
      <c r="A818" t="inlineStr" s="16">
        <is>
          <t xml:space="preserve">Calculation</t>
        </is>
      </c>
      <c r="B818">
        <f>IF(IF(EXACT("Per audit — low",'Model inputs'!O83)="",FALSE,EXACT("Per audit — low",'Model inputs'!O83)),IF('DealScope monthly model and pri'!I74="","",'DealScope monthly model and pri'!I74),"")</f>
      </c>
    </row>
    <row r="819">
      <c r="A819" t="inlineStr" s="16">
        <is>
          <t xml:space="preserve">Calculation</t>
        </is>
      </c>
      <c r="B819">
        <f>IF(IF(EXACT("Annual deal-team",'Model inputs'!O83)="",FALSE,EXACT("Annual deal-team",'Model inputs'!O83)),IF('DealScope monthly model and pri'!J70="","",'DealScope monthly model and pri'!J70),"")</f>
      </c>
    </row>
    <row r="820">
      <c r="A820" t="inlineStr" s="16">
        <is>
          <t xml:space="preserve">Calculation</t>
        </is>
      </c>
      <c r="B820">
        <f>IF(IF(EXACT("Hybrid",'Model inputs'!O83)="",FALSE,EXACT("Hybrid",'Model inputs'!O83)),IF('DealScope monthly model and pri'!J71="","",'DealScope monthly model and pri'!J71),"")</f>
      </c>
    </row>
    <row r="821">
      <c r="A821" t="inlineStr" s="16">
        <is>
          <t xml:space="preserve">Calculation</t>
        </is>
      </c>
      <c r="B821">
        <f>IF(IF(EXACT("Per audit — base",'Model inputs'!O83)="",FALSE,EXACT("Per audit — base",'Model inputs'!O83)),IF('DealScope monthly model and pri'!J72="","",'DealScope monthly model and pri'!J72),"")</f>
      </c>
    </row>
    <row r="822">
      <c r="A822" t="inlineStr" s="16">
        <is>
          <t xml:space="preserve">Calculation</t>
        </is>
      </c>
      <c r="B822">
        <f>IF(IF(EXACT("Per audit — high",'Model inputs'!O83)="",FALSE,EXACT("Per audit — high",'Model inputs'!O83)),IF('DealScope monthly model and pri'!J73="","",'DealScope monthly model and pri'!J73),"")</f>
      </c>
    </row>
    <row r="823">
      <c r="A823" t="inlineStr" s="16">
        <is>
          <t xml:space="preserve">Calculation</t>
        </is>
      </c>
      <c r="B823">
        <f>IF(IF(EXACT("Per audit — low",'Model inputs'!O83)="",FALSE,EXACT("Per audit — low",'Model inputs'!O83)),IF('DealScope monthly model and pri'!J74="","",'DealScope monthly model and pri'!J74),"")</f>
      </c>
    </row>
    <row r="824">
      <c r="A824" t="inlineStr" s="16">
        <is>
          <t xml:space="preserve">Calculation</t>
        </is>
      </c>
      <c r="B824">
        <f>IF(IF(EXACT("Annual deal-team",'Model inputs'!O83)="",FALSE,EXACT("Annual deal-team",'Model inputs'!O83)),IF('DealScope monthly model and pri'!K70="","",'DealScope monthly model and pri'!K70),"")</f>
      </c>
    </row>
    <row r="825">
      <c r="A825" t="inlineStr" s="16">
        <is>
          <t xml:space="preserve">Calculation</t>
        </is>
      </c>
      <c r="B825">
        <f>IF(IF(EXACT("Hybrid",'Model inputs'!O83)="",FALSE,EXACT("Hybrid",'Model inputs'!O83)),IF('DealScope monthly model and pri'!K71="","",'DealScope monthly model and pri'!K71),"")</f>
      </c>
    </row>
    <row r="826">
      <c r="A826" t="inlineStr" s="16">
        <is>
          <t xml:space="preserve">Calculation</t>
        </is>
      </c>
      <c r="B826">
        <f>IF(IF(EXACT("Per audit — base",'Model inputs'!O83)="",FALSE,EXACT("Per audit — base",'Model inputs'!O83)),IF('DealScope monthly model and pri'!K72="","",'DealScope monthly model and pri'!K72),"")</f>
      </c>
    </row>
    <row r="827">
      <c r="A827" t="inlineStr" s="16">
        <is>
          <t xml:space="preserve">Calculation</t>
        </is>
      </c>
      <c r="B827">
        <f>IF(IF(EXACT("Per audit — high",'Model inputs'!O83)="",FALSE,EXACT("Per audit — high",'Model inputs'!O83)),IF('DealScope monthly model and pri'!K73="","",'DealScope monthly model and pri'!K73),"")</f>
      </c>
    </row>
    <row r="828">
      <c r="A828" t="inlineStr" s="16">
        <is>
          <t xml:space="preserve">Calculation</t>
        </is>
      </c>
      <c r="B828">
        <f>IF(IF(EXACT("Per audit — low",'Model inputs'!O83)="",FALSE,EXACT("Per audit — low",'Model inputs'!O83)),IF('DealScope monthly model and pri'!K74="","",'DealScope monthly model and pri'!K74),"")</f>
      </c>
    </row>
    <row r="829">
      <c r="A829" t="inlineStr" s="16">
        <is>
          <t xml:space="preserve">Calculation</t>
        </is>
      </c>
      <c r="B829">
        <f>IF(IF(EXACT("Annual deal-team",'Model inputs'!O83)="",FALSE,EXACT("Annual deal-team",'Model inputs'!O83)),IF('DealScope monthly model and pri'!L70="","",'DealScope monthly model and pri'!L70),"")</f>
      </c>
    </row>
    <row r="830">
      <c r="A830" t="inlineStr" s="16">
        <is>
          <t xml:space="preserve">Calculation</t>
        </is>
      </c>
      <c r="B830">
        <f>IF(IF(EXACT("Hybrid",'Model inputs'!O83)="",FALSE,EXACT("Hybrid",'Model inputs'!O83)),IF('DealScope monthly model and pri'!L71="","",'DealScope monthly model and pri'!L71),"")</f>
      </c>
    </row>
    <row r="831">
      <c r="A831" t="inlineStr" s="16">
        <is>
          <t xml:space="preserve">Calculation</t>
        </is>
      </c>
      <c r="B831">
        <f>IF(IF(EXACT("Per audit — base",'Model inputs'!O83)="",FALSE,EXACT("Per audit — base",'Model inputs'!O83)),IF('DealScope monthly model and pri'!L72="","",'DealScope monthly model and pri'!L72),"")</f>
      </c>
    </row>
    <row r="832">
      <c r="A832" t="inlineStr" s="16">
        <is>
          <t xml:space="preserve">Calculation</t>
        </is>
      </c>
      <c r="B832">
        <f>IF(IF(EXACT("Per audit — high",'Model inputs'!O83)="",FALSE,EXACT("Per audit — high",'Model inputs'!O83)),IF('DealScope monthly model and pri'!L73="","",'DealScope monthly model and pri'!L73),"")</f>
      </c>
    </row>
    <row r="833">
      <c r="A833" t="inlineStr" s="16">
        <is>
          <t xml:space="preserve">Calculation</t>
        </is>
      </c>
      <c r="B833">
        <f>IF(IF(EXACT("Per audit — low",'Model inputs'!O83)="",FALSE,EXACT("Per audit — low",'Model inputs'!O83)),IF('DealScope monthly model and pri'!L74="","",'DealScope monthly model and pri'!L74),"")</f>
      </c>
    </row>
    <row r="834">
      <c r="A834" t="inlineStr" s="16">
        <is>
          <t xml:space="preserve">Calculation</t>
        </is>
      </c>
      <c r="B834">
        <f>IF(IF(EXACT("Annual deal-team",'Model inputs'!O83)="",FALSE,EXACT("Annual deal-team",'Model inputs'!O83)),IF('DealScope monthly model and pri'!M70="","",'DealScope monthly model and pri'!M70),"")</f>
      </c>
    </row>
    <row r="835">
      <c r="A835" t="inlineStr" s="16">
        <is>
          <t xml:space="preserve">Calculation</t>
        </is>
      </c>
      <c r="B835">
        <f>IF(IF(EXACT("Hybrid",'Model inputs'!O83)="",FALSE,EXACT("Hybrid",'Model inputs'!O83)),IF('DealScope monthly model and pri'!M71="","",'DealScope monthly model and pri'!M71),"")</f>
      </c>
    </row>
    <row r="836">
      <c r="A836" t="inlineStr" s="16">
        <is>
          <t xml:space="preserve">Calculation</t>
        </is>
      </c>
      <c r="B836">
        <f>IF(IF(EXACT("Per audit — base",'Model inputs'!O83)="",FALSE,EXACT("Per audit — base",'Model inputs'!O83)),IF('DealScope monthly model and pri'!M72="","",'DealScope monthly model and pri'!M72),"")</f>
      </c>
    </row>
    <row r="837">
      <c r="A837" t="inlineStr" s="16">
        <is>
          <t xml:space="preserve">Calculation</t>
        </is>
      </c>
      <c r="B837">
        <f>IF(IF(EXACT("Per audit — high",'Model inputs'!O83)="",FALSE,EXACT("Per audit — high",'Model inputs'!O83)),IF('DealScope monthly model and pri'!M73="","",'DealScope monthly model and pri'!M73),"")</f>
      </c>
    </row>
    <row r="838">
      <c r="A838" t="inlineStr" s="16">
        <is>
          <t xml:space="preserve">Calculation</t>
        </is>
      </c>
      <c r="B838">
        <f>IF(IF(EXACT("Per audit — low",'Model inputs'!O83)="",FALSE,EXACT("Per audit — low",'Model inputs'!O83)),IF('DealScope monthly model and pri'!M74="","",'DealScope monthly model and pri'!M74),"")</f>
      </c>
    </row>
    <row r="839">
      <c r="A839" t="inlineStr" s="16">
        <is>
          <t xml:space="preserve">Calculation</t>
        </is>
      </c>
      <c r="B839">
        <f>IF(IF(EXACT("Annual deal-team",'Model inputs'!O83)="",FALSE,EXACT("Annual deal-team",'Model inputs'!O83)),IF('DealScope monthly model and pri'!B76="","",'DealScope monthly model and pri'!B76),"")</f>
      </c>
    </row>
    <row r="840">
      <c r="A840" t="inlineStr" s="16">
        <is>
          <t xml:space="preserve">Calculation</t>
        </is>
      </c>
      <c r="B840">
        <f>IF(IF(EXACT("Hybrid",'Model inputs'!O83)="",FALSE,EXACT("Hybrid",'Model inputs'!O83)),IF('DealScope monthly model and pri'!B77="","",'DealScope monthly model and pri'!B77),"")</f>
      </c>
    </row>
    <row r="841">
      <c r="A841" t="inlineStr" s="16">
        <is>
          <t xml:space="preserve">Calculation</t>
        </is>
      </c>
      <c r="B841">
        <f>IF(IF(EXACT("Per audit — base",'Model inputs'!O83)="",FALSE,EXACT("Per audit — base",'Model inputs'!O83)),IF('DealScope monthly model and pri'!B78="","",'DealScope monthly model and pri'!B78),"")</f>
      </c>
    </row>
    <row r="842">
      <c r="A842" t="inlineStr" s="16">
        <is>
          <t xml:space="preserve">Calculation</t>
        </is>
      </c>
      <c r="B842">
        <f>IF(IF(EXACT("Per audit — high",'Model inputs'!O83)="",FALSE,EXACT("Per audit — high",'Model inputs'!O83)),IF('DealScope monthly model and pri'!B79="","",'DealScope monthly model and pri'!B79),"")</f>
      </c>
    </row>
    <row r="843">
      <c r="A843" t="inlineStr" s="16">
        <is>
          <t xml:space="preserve">Calculation</t>
        </is>
      </c>
      <c r="B843">
        <f>IF(IF(EXACT("Per audit — low",'Model inputs'!O83)="",FALSE,EXACT("Per audit — low",'Model inputs'!O83)),IF('DealScope monthly model and pri'!B80="","",'DealScope monthly model and pri'!B80),"")</f>
      </c>
    </row>
    <row r="844">
      <c r="A844" t="inlineStr" s="16">
        <is>
          <t xml:space="preserve">Calculation</t>
        </is>
      </c>
      <c r="B844">
        <f>IF(IF(EXACT("Annual deal-team",'Model inputs'!O83)="",FALSE,EXACT("Annual deal-team",'Model inputs'!O83)),IF('DealScope monthly model and pri'!C76="","",'DealScope monthly model and pri'!C76),"")</f>
      </c>
    </row>
    <row r="845">
      <c r="A845" t="inlineStr" s="16">
        <is>
          <t xml:space="preserve">Calculation</t>
        </is>
      </c>
      <c r="B845">
        <f>IF(IF(EXACT("Hybrid",'Model inputs'!O83)="",FALSE,EXACT("Hybrid",'Model inputs'!O83)),IF('DealScope monthly model and pri'!C77="","",'DealScope monthly model and pri'!C77),"")</f>
      </c>
    </row>
    <row r="846">
      <c r="A846" t="inlineStr" s="16">
        <is>
          <t xml:space="preserve">Calculation</t>
        </is>
      </c>
      <c r="B846">
        <f>IF(IF(EXACT("Per audit — base",'Model inputs'!O83)="",FALSE,EXACT("Per audit — base",'Model inputs'!O83)),IF('DealScope monthly model and pri'!C78="","",'DealScope monthly model and pri'!C78),"")</f>
      </c>
    </row>
    <row r="847">
      <c r="A847" t="inlineStr" s="16">
        <is>
          <t xml:space="preserve">Calculation</t>
        </is>
      </c>
      <c r="B847">
        <f>IF(IF(EXACT("Per audit — high",'Model inputs'!O83)="",FALSE,EXACT("Per audit — high",'Model inputs'!O83)),IF('DealScope monthly model and pri'!C79="","",'DealScope monthly model and pri'!C79),"")</f>
      </c>
    </row>
    <row r="848">
      <c r="A848" t="inlineStr" s="16">
        <is>
          <t xml:space="preserve">Calculation</t>
        </is>
      </c>
      <c r="B848">
        <f>IF(IF(EXACT("Per audit — low",'Model inputs'!O83)="",FALSE,EXACT("Per audit — low",'Model inputs'!O83)),IF('DealScope monthly model and pri'!C80="","",'DealScope monthly model and pri'!C80),"")</f>
      </c>
    </row>
    <row r="849">
      <c r="A849" t="inlineStr" s="16">
        <is>
          <t xml:space="preserve">Calculation</t>
        </is>
      </c>
      <c r="B849">
        <f>IF(IF(EXACT("Annual deal-team",'Model inputs'!O83)="",FALSE,EXACT("Annual deal-team",'Model inputs'!O83)),IF('DealScope monthly model and pri'!D76="","",'DealScope monthly model and pri'!D76),"")</f>
      </c>
    </row>
    <row r="850">
      <c r="A850" t="inlineStr" s="16">
        <is>
          <t xml:space="preserve">Calculation</t>
        </is>
      </c>
      <c r="B850">
        <f>IF(IF(EXACT("Hybrid",'Model inputs'!O83)="",FALSE,EXACT("Hybrid",'Model inputs'!O83)),IF('DealScope monthly model and pri'!D77="","",'DealScope monthly model and pri'!D77),"")</f>
      </c>
    </row>
    <row r="851">
      <c r="A851" t="inlineStr" s="16">
        <is>
          <t xml:space="preserve">Calculation</t>
        </is>
      </c>
      <c r="B851">
        <f>IF(IF(EXACT("Per audit — base",'Model inputs'!O83)="",FALSE,EXACT("Per audit — base",'Model inputs'!O83)),IF('DealScope monthly model and pri'!D78="","",'DealScope monthly model and pri'!D78),"")</f>
      </c>
    </row>
    <row r="852">
      <c r="A852" t="inlineStr" s="16">
        <is>
          <t xml:space="preserve">Calculation</t>
        </is>
      </c>
      <c r="B852">
        <f>IF(IF(EXACT("Per audit — high",'Model inputs'!O83)="",FALSE,EXACT("Per audit — high",'Model inputs'!O83)),IF('DealScope monthly model and pri'!D79="","",'DealScope monthly model and pri'!D79),"")</f>
      </c>
    </row>
    <row r="853">
      <c r="A853" t="inlineStr" s="16">
        <is>
          <t xml:space="preserve">Calculation</t>
        </is>
      </c>
      <c r="B853">
        <f>IF(IF(EXACT("Per audit — low",'Model inputs'!O83)="",FALSE,EXACT("Per audit — low",'Model inputs'!O83)),IF('DealScope monthly model and pri'!D80="","",'DealScope monthly model and pri'!D80),"")</f>
      </c>
    </row>
    <row r="854">
      <c r="A854" t="inlineStr" s="16">
        <is>
          <t xml:space="preserve">Calculation</t>
        </is>
      </c>
      <c r="B854">
        <f>IF(IF(EXACT("Annual deal-team",'Model inputs'!O83)="",FALSE,EXACT("Annual deal-team",'Model inputs'!O83)),IF('DealScope monthly model and pri'!E76="","",'DealScope monthly model and pri'!E76),"")</f>
      </c>
    </row>
    <row r="855">
      <c r="A855" t="inlineStr" s="16">
        <is>
          <t xml:space="preserve">Calculation</t>
        </is>
      </c>
      <c r="B855">
        <f>IF(IF(EXACT("Hybrid",'Model inputs'!O83)="",FALSE,EXACT("Hybrid",'Model inputs'!O83)),IF('DealScope monthly model and pri'!E77="","",'DealScope monthly model and pri'!E77),"")</f>
      </c>
    </row>
    <row r="856">
      <c r="A856" t="inlineStr" s="16">
        <is>
          <t xml:space="preserve">Calculation</t>
        </is>
      </c>
      <c r="B856">
        <f>IF(IF(EXACT("Per audit — base",'Model inputs'!O83)="",FALSE,EXACT("Per audit — base",'Model inputs'!O83)),IF('DealScope monthly model and pri'!E78="","",'DealScope monthly model and pri'!E78),"")</f>
      </c>
    </row>
    <row r="857">
      <c r="A857" t="inlineStr" s="16">
        <is>
          <t xml:space="preserve">Calculation</t>
        </is>
      </c>
      <c r="B857">
        <f>IF(IF(EXACT("Per audit — high",'Model inputs'!O83)="",FALSE,EXACT("Per audit — high",'Model inputs'!O83)),IF('DealScope monthly model and pri'!E79="","",'DealScope monthly model and pri'!E79),"")</f>
      </c>
    </row>
    <row r="858">
      <c r="A858" t="inlineStr" s="16">
        <is>
          <t xml:space="preserve">Calculation</t>
        </is>
      </c>
      <c r="B858">
        <f>IF(IF(EXACT("Per audit — low",'Model inputs'!O83)="",FALSE,EXACT("Per audit — low",'Model inputs'!O83)),IF('DealScope monthly model and pri'!E80="","",'DealScope monthly model and pri'!E80),"")</f>
      </c>
    </row>
    <row r="859">
      <c r="A859" t="inlineStr" s="16">
        <is>
          <t xml:space="preserve">Calculation</t>
        </is>
      </c>
      <c r="B859">
        <f>IF(IF(EXACT("Annual deal-team",'Model inputs'!O83)="",FALSE,EXACT("Annual deal-team",'Model inputs'!O83)),IF('DealScope monthly model and pri'!F76="","",'DealScope monthly model and pri'!F76),"")</f>
      </c>
    </row>
    <row r="860">
      <c r="A860" t="inlineStr" s="16">
        <is>
          <t xml:space="preserve">Calculation</t>
        </is>
      </c>
      <c r="B860">
        <f>IF(IF(EXACT("Hybrid",'Model inputs'!O83)="",FALSE,EXACT("Hybrid",'Model inputs'!O83)),IF('DealScope monthly model and pri'!F77="","",'DealScope monthly model and pri'!F77),"")</f>
      </c>
    </row>
    <row r="861">
      <c r="A861" t="inlineStr" s="16">
        <is>
          <t xml:space="preserve">Calculation</t>
        </is>
      </c>
      <c r="B861">
        <f>IF(IF(EXACT("Per audit — base",'Model inputs'!O83)="",FALSE,EXACT("Per audit — base",'Model inputs'!O83)),IF('DealScope monthly model and pri'!F78="","",'DealScope monthly model and pri'!F78),"")</f>
      </c>
    </row>
    <row r="862">
      <c r="A862" t="inlineStr" s="16">
        <is>
          <t xml:space="preserve">Calculation</t>
        </is>
      </c>
      <c r="B862">
        <f>IF(IF(EXACT("Per audit — high",'Model inputs'!O83)="",FALSE,EXACT("Per audit — high",'Model inputs'!O83)),IF('DealScope monthly model and pri'!F79="","",'DealScope monthly model and pri'!F79),"")</f>
      </c>
    </row>
    <row r="863">
      <c r="A863" t="inlineStr" s="16">
        <is>
          <t xml:space="preserve">Calculation</t>
        </is>
      </c>
      <c r="B863">
        <f>IF(IF(EXACT("Per audit — low",'Model inputs'!O83)="",FALSE,EXACT("Per audit — low",'Model inputs'!O83)),IF('DealScope monthly model and pri'!F80="","",'DealScope monthly model and pri'!F80),"")</f>
      </c>
    </row>
    <row r="864">
      <c r="A864" t="inlineStr" s="16">
        <is>
          <t xml:space="preserve">Calculation</t>
        </is>
      </c>
      <c r="B864">
        <f>IF(IF(EXACT("Annual deal-team",'Model inputs'!O83)="",FALSE,EXACT("Annual deal-team",'Model inputs'!O83)),IF('DealScope monthly model and pri'!G76="","",'DealScope monthly model and pri'!G76),"")</f>
      </c>
    </row>
    <row r="865">
      <c r="A865" t="inlineStr" s="16">
        <is>
          <t xml:space="preserve">Calculation</t>
        </is>
      </c>
      <c r="B865">
        <f>IF(IF(EXACT("Hybrid",'Model inputs'!O83)="",FALSE,EXACT("Hybrid",'Model inputs'!O83)),IF('DealScope monthly model and pri'!G77="","",'DealScope monthly model and pri'!G77),"")</f>
      </c>
    </row>
    <row r="866">
      <c r="A866" t="inlineStr" s="16">
        <is>
          <t xml:space="preserve">Calculation</t>
        </is>
      </c>
      <c r="B866">
        <f>IF(IF(EXACT("Per audit — base",'Model inputs'!O83)="",FALSE,EXACT("Per audit — base",'Model inputs'!O83)),IF('DealScope monthly model and pri'!G78="","",'DealScope monthly model and pri'!G78),"")</f>
      </c>
    </row>
    <row r="867">
      <c r="A867" t="inlineStr" s="16">
        <is>
          <t xml:space="preserve">Calculation</t>
        </is>
      </c>
      <c r="B867">
        <f>IF(IF(EXACT("Per audit — high",'Model inputs'!O83)="",FALSE,EXACT("Per audit — high",'Model inputs'!O83)),IF('DealScope monthly model and pri'!G79="","",'DealScope monthly model and pri'!G79),"")</f>
      </c>
    </row>
    <row r="868">
      <c r="A868" t="inlineStr" s="16">
        <is>
          <t xml:space="preserve">Calculation</t>
        </is>
      </c>
      <c r="B868">
        <f>IF(IF(EXACT("Per audit — low",'Model inputs'!O83)="",FALSE,EXACT("Per audit — low",'Model inputs'!O83)),IF('DealScope monthly model and pri'!G80="","",'DealScope monthly model and pri'!G80),"")</f>
      </c>
    </row>
    <row r="869">
      <c r="A869" t="inlineStr" s="16">
        <is>
          <t xml:space="preserve">Calculation</t>
        </is>
      </c>
      <c r="B869">
        <f>IF(IF(EXACT("Annual deal-team",'Model inputs'!O83)="",FALSE,EXACT("Annual deal-team",'Model inputs'!O83)),IF('DealScope monthly model and pri'!H76="","",'DealScope monthly model and pri'!H76),"")</f>
      </c>
    </row>
    <row r="870">
      <c r="A870" t="inlineStr" s="16">
        <is>
          <t xml:space="preserve">Calculation</t>
        </is>
      </c>
      <c r="B870">
        <f>IF(IF(EXACT("Hybrid",'Model inputs'!O83)="",FALSE,EXACT("Hybrid",'Model inputs'!O83)),IF('DealScope monthly model and pri'!H77="","",'DealScope monthly model and pri'!H77),"")</f>
      </c>
    </row>
    <row r="871">
      <c r="A871" t="inlineStr" s="16">
        <is>
          <t xml:space="preserve">Calculation</t>
        </is>
      </c>
      <c r="B871">
        <f>IF(IF(EXACT("Per audit — base",'Model inputs'!O83)="",FALSE,EXACT("Per audit — base",'Model inputs'!O83)),IF('DealScope monthly model and pri'!H78="","",'DealScope monthly model and pri'!H78),"")</f>
      </c>
    </row>
    <row r="872">
      <c r="A872" t="inlineStr" s="16">
        <is>
          <t xml:space="preserve">Calculation</t>
        </is>
      </c>
      <c r="B872">
        <f>IF(IF(EXACT("Per audit — high",'Model inputs'!O83)="",FALSE,EXACT("Per audit — high",'Model inputs'!O83)),IF('DealScope monthly model and pri'!H79="","",'DealScope monthly model and pri'!H79),"")</f>
      </c>
    </row>
    <row r="873">
      <c r="A873" t="inlineStr" s="16">
        <is>
          <t xml:space="preserve">Calculation</t>
        </is>
      </c>
      <c r="B873">
        <f>IF(IF(EXACT("Per audit — low",'Model inputs'!O83)="",FALSE,EXACT("Per audit — low",'Model inputs'!O83)),IF('DealScope monthly model and pri'!H80="","",'DealScope monthly model and pri'!H80),"")</f>
      </c>
    </row>
    <row r="874">
      <c r="A874" t="inlineStr" s="16">
        <is>
          <t xml:space="preserve">Calculation</t>
        </is>
      </c>
      <c r="B874">
        <f>IF(IF(EXACT("Annual deal-team",'Model inputs'!O83)="",FALSE,EXACT("Annual deal-team",'Model inputs'!O83)),IF('DealScope monthly model and pri'!I76="","",'DealScope monthly model and pri'!I76),"")</f>
      </c>
    </row>
    <row r="875">
      <c r="A875" t="inlineStr" s="16">
        <is>
          <t xml:space="preserve">Calculation</t>
        </is>
      </c>
      <c r="B875">
        <f>IF(IF(EXACT("Hybrid",'Model inputs'!O83)="",FALSE,EXACT("Hybrid",'Model inputs'!O83)),IF('DealScope monthly model and pri'!I77="","",'DealScope monthly model and pri'!I77),"")</f>
      </c>
    </row>
    <row r="876">
      <c r="A876" t="inlineStr" s="16">
        <is>
          <t xml:space="preserve">Calculation</t>
        </is>
      </c>
      <c r="B876">
        <f>IF(IF(EXACT("Per audit — base",'Model inputs'!O83)="",FALSE,EXACT("Per audit — base",'Model inputs'!O83)),IF('DealScope monthly model and pri'!I78="","",'DealScope monthly model and pri'!I78),"")</f>
      </c>
    </row>
    <row r="877">
      <c r="A877" t="inlineStr" s="16">
        <is>
          <t xml:space="preserve">Calculation</t>
        </is>
      </c>
      <c r="B877">
        <f>IF(IF(EXACT("Per audit — high",'Model inputs'!O83)="",FALSE,EXACT("Per audit — high",'Model inputs'!O83)),IF('DealScope monthly model and pri'!I79="","",'DealScope monthly model and pri'!I79),"")</f>
      </c>
    </row>
    <row r="878">
      <c r="A878" t="inlineStr" s="16">
        <is>
          <t xml:space="preserve">Calculation</t>
        </is>
      </c>
      <c r="B878">
        <f>IF(IF(EXACT("Per audit — low",'Model inputs'!O83)="",FALSE,EXACT("Per audit — low",'Model inputs'!O83)),IF('DealScope monthly model and pri'!I80="","",'DealScope monthly model and pri'!I80),"")</f>
      </c>
    </row>
    <row r="879">
      <c r="A879" t="inlineStr" s="16">
        <is>
          <t xml:space="preserve">Calculation</t>
        </is>
      </c>
      <c r="B879">
        <f>IF(IF(EXACT("Annual deal-team",'Model inputs'!O83)="",FALSE,EXACT("Annual deal-team",'Model inputs'!O83)),IF('DealScope monthly model and pri'!J76="","",'DealScope monthly model and pri'!J76),"")</f>
      </c>
    </row>
    <row r="880">
      <c r="A880" t="inlineStr" s="16">
        <is>
          <t xml:space="preserve">Calculation</t>
        </is>
      </c>
      <c r="B880">
        <f>IF(IF(EXACT("Hybrid",'Model inputs'!O83)="",FALSE,EXACT("Hybrid",'Model inputs'!O83)),IF('DealScope monthly model and pri'!J77="","",'DealScope monthly model and pri'!J77),"")</f>
      </c>
    </row>
    <row r="881">
      <c r="A881" t="inlineStr" s="16">
        <is>
          <t xml:space="preserve">Calculation</t>
        </is>
      </c>
      <c r="B881">
        <f>IF(IF(EXACT("Per audit — base",'Model inputs'!O83)="",FALSE,EXACT("Per audit — base",'Model inputs'!O83)),IF('DealScope monthly model and pri'!J78="","",'DealScope monthly model and pri'!J78),"")</f>
      </c>
    </row>
    <row r="882">
      <c r="A882" t="inlineStr" s="16">
        <is>
          <t xml:space="preserve">Calculation</t>
        </is>
      </c>
      <c r="B882">
        <f>IF(IF(EXACT("Per audit — high",'Model inputs'!O83)="",FALSE,EXACT("Per audit — high",'Model inputs'!O83)),IF('DealScope monthly model and pri'!J79="","",'DealScope monthly model and pri'!J79),"")</f>
      </c>
    </row>
    <row r="883">
      <c r="A883" t="inlineStr" s="16">
        <is>
          <t xml:space="preserve">Calculation</t>
        </is>
      </c>
      <c r="B883">
        <f>IF(IF(EXACT("Per audit — low",'Model inputs'!O83)="",FALSE,EXACT("Per audit — low",'Model inputs'!O83)),IF('DealScope monthly model and pri'!J80="","",'DealScope monthly model and pri'!J80),"")</f>
      </c>
    </row>
    <row r="884">
      <c r="A884" t="inlineStr" s="16">
        <is>
          <t xml:space="preserve">Calculation</t>
        </is>
      </c>
      <c r="B884">
        <f>IF(IF(EXACT("Annual deal-team",'Model inputs'!O83)="",FALSE,EXACT("Annual deal-team",'Model inputs'!O83)),IF('DealScope monthly model and pri'!K76="","",'DealScope monthly model and pri'!K76),"")</f>
      </c>
    </row>
    <row r="885">
      <c r="A885" t="inlineStr" s="16">
        <is>
          <t xml:space="preserve">Calculation</t>
        </is>
      </c>
      <c r="B885">
        <f>IF(IF(EXACT("Hybrid",'Model inputs'!O83)="",FALSE,EXACT("Hybrid",'Model inputs'!O83)),IF('DealScope monthly model and pri'!K77="","",'DealScope monthly model and pri'!K77),"")</f>
      </c>
    </row>
    <row r="886">
      <c r="A886" t="inlineStr" s="16">
        <is>
          <t xml:space="preserve">Calculation</t>
        </is>
      </c>
      <c r="B886">
        <f>IF(IF(EXACT("Per audit — base",'Model inputs'!O83)="",FALSE,EXACT("Per audit — base",'Model inputs'!O83)),IF('DealScope monthly model and pri'!K78="","",'DealScope monthly model and pri'!K78),"")</f>
      </c>
    </row>
    <row r="887">
      <c r="A887" t="inlineStr" s="16">
        <is>
          <t xml:space="preserve">Calculation</t>
        </is>
      </c>
      <c r="B887">
        <f>IF(IF(EXACT("Per audit — high",'Model inputs'!O83)="",FALSE,EXACT("Per audit — high",'Model inputs'!O83)),IF('DealScope monthly model and pri'!K79="","",'DealScope monthly model and pri'!K79),"")</f>
      </c>
    </row>
    <row r="888">
      <c r="A888" t="inlineStr" s="16">
        <is>
          <t xml:space="preserve">Calculation</t>
        </is>
      </c>
      <c r="B888">
        <f>IF(IF(EXACT("Per audit — low",'Model inputs'!O83)="",FALSE,EXACT("Per audit — low",'Model inputs'!O83)),IF('DealScope monthly model and pri'!K80="","",'DealScope monthly model and pri'!K80),"")</f>
      </c>
    </row>
    <row r="889">
      <c r="A889" t="inlineStr" s="16">
        <is>
          <t xml:space="preserve">Calculation</t>
        </is>
      </c>
      <c r="B889">
        <f>IF(IF(EXACT("Annual deal-team",'Model inputs'!O83)="",FALSE,EXACT("Annual deal-team",'Model inputs'!O83)),IF('DealScope monthly model and pri'!L76="","",'DealScope monthly model and pri'!L76),"")</f>
      </c>
    </row>
    <row r="890">
      <c r="A890" t="inlineStr" s="16">
        <is>
          <t xml:space="preserve">Calculation</t>
        </is>
      </c>
      <c r="B890">
        <f>IF(IF(EXACT("Hybrid",'Model inputs'!O83)="",FALSE,EXACT("Hybrid",'Model inputs'!O83)),IF('DealScope monthly model and pri'!L77="","",'DealScope monthly model and pri'!L77),"")</f>
      </c>
    </row>
    <row r="891">
      <c r="A891" t="inlineStr" s="16">
        <is>
          <t xml:space="preserve">Calculation</t>
        </is>
      </c>
      <c r="B891">
        <f>IF(IF(EXACT("Per audit — base",'Model inputs'!O83)="",FALSE,EXACT("Per audit — base",'Model inputs'!O83)),IF('DealScope monthly model and pri'!L78="","",'DealScope monthly model and pri'!L78),"")</f>
      </c>
    </row>
    <row r="892">
      <c r="A892" t="inlineStr" s="16">
        <is>
          <t xml:space="preserve">Calculation</t>
        </is>
      </c>
      <c r="B892">
        <f>IF(IF(EXACT("Per audit — high",'Model inputs'!O83)="",FALSE,EXACT("Per audit — high",'Model inputs'!O83)),IF('DealScope monthly model and pri'!L79="","",'DealScope monthly model and pri'!L79),"")</f>
      </c>
    </row>
    <row r="893">
      <c r="A893" t="inlineStr" s="16">
        <is>
          <t xml:space="preserve">Calculation</t>
        </is>
      </c>
      <c r="B893">
        <f>IF(IF(EXACT("Per audit — low",'Model inputs'!O83)="",FALSE,EXACT("Per audit — low",'Model inputs'!O83)),IF('DealScope monthly model and pri'!L80="","",'DealScope monthly model and pri'!L80),"")</f>
      </c>
    </row>
    <row r="894">
      <c r="A894" t="inlineStr" s="16">
        <is>
          <t xml:space="preserve">Calculation</t>
        </is>
      </c>
      <c r="B894">
        <f>IF(IF(EXACT("Annual deal-team",'Model inputs'!O83)="",FALSE,EXACT("Annual deal-team",'Model inputs'!O83)),IF('DealScope monthly model and pri'!M76="","",'DealScope monthly model and pri'!M76),"")</f>
      </c>
    </row>
    <row r="895">
      <c r="A895" t="inlineStr" s="16">
        <is>
          <t xml:space="preserve">Calculation</t>
        </is>
      </c>
      <c r="B895">
        <f>IF(IF(EXACT("Hybrid",'Model inputs'!O83)="",FALSE,EXACT("Hybrid",'Model inputs'!O83)),IF('DealScope monthly model and pri'!M77="","",'DealScope monthly model and pri'!M77),"")</f>
      </c>
    </row>
    <row r="896">
      <c r="A896" t="inlineStr" s="16">
        <is>
          <t xml:space="preserve">Calculation</t>
        </is>
      </c>
      <c r="B896">
        <f>IF(IF(EXACT("Per audit — base",'Model inputs'!O83)="",FALSE,EXACT("Per audit — base",'Model inputs'!O83)),IF('DealScope monthly model and pri'!M78="","",'DealScope monthly model and pri'!M78),"")</f>
      </c>
    </row>
    <row r="897">
      <c r="A897" t="inlineStr" s="16">
        <is>
          <t xml:space="preserve">Calculation</t>
        </is>
      </c>
      <c r="B897">
        <f>IF(IF(EXACT("Per audit — high",'Model inputs'!O83)="",FALSE,EXACT("Per audit — high",'Model inputs'!O83)),IF('DealScope monthly model and pri'!M79="","",'DealScope monthly model and pri'!M79),"")</f>
      </c>
    </row>
    <row r="898">
      <c r="A898" t="inlineStr" s="16">
        <is>
          <t xml:space="preserve">Calculation</t>
        </is>
      </c>
      <c r="B898">
        <f>IF(IF(EXACT("Per audit — low",'Model inputs'!O83)="",FALSE,EXACT("Per audit — low",'Model inputs'!O83)),IF('DealScope monthly model and pri'!M80="","",'DealScope monthly model and pri'!M80),"")</f>
      </c>
    </row>
    <row r="899">
      <c r="A899" t="inlineStr" s="16">
        <is>
          <t xml:space="preserve">Calculation</t>
        </is>
      </c>
      <c r="B899">
        <f>IF(IF(EXACT("Annual deal-team",'Model inputs'!O83)="",FALSE,EXACT("Annual deal-team",'Model inputs'!O83)),IF('Model inputs'!C20="","",'Model inputs'!C20),"")</f>
      </c>
    </row>
    <row r="900">
      <c r="A900" t="inlineStr" s="16">
        <is>
          <t xml:space="preserve">Calculation</t>
        </is>
      </c>
      <c r="B900">
        <f>IF(IF(EXACT("Hybrid",'Model inputs'!O83)="",FALSE,EXACT("Hybrid",'Model inputs'!O83)),IF('Model inputs'!C21="","",'Model inputs'!C21),"")</f>
      </c>
    </row>
    <row r="901">
      <c r="A901" t="inlineStr" s="16">
        <is>
          <t xml:space="preserve">Calculation</t>
        </is>
      </c>
      <c r="B901">
        <f>IF(IF(EXACT("Per audit — base",'Model inputs'!O83)="",FALSE,EXACT("Per audit — base",'Model inputs'!O83)),IF('Model inputs'!C22="","",'Model inputs'!C22),"")</f>
      </c>
    </row>
    <row r="902">
      <c r="A902" t="inlineStr" s="16">
        <is>
          <t xml:space="preserve">Calculation</t>
        </is>
      </c>
      <c r="B902">
        <f>IF(IF(EXACT("Per audit — high",'Model inputs'!O83)="",FALSE,EXACT("Per audit — high",'Model inputs'!O83)),IF('Model inputs'!C23="","",'Model inputs'!C23),"")</f>
      </c>
    </row>
    <row r="903">
      <c r="A903" t="inlineStr" s="16">
        <is>
          <t xml:space="preserve">Calculation</t>
        </is>
      </c>
      <c r="B903">
        <f>IF(IF(EXACT("Per audit — low",'Model inputs'!O83)="",FALSE,EXACT("Per audit — low",'Model inputs'!O83)),IF('Model inputs'!C24="","",'Model inputs'!C24),"")</f>
      </c>
    </row>
    <row r="904">
      <c r="A904" t="inlineStr" s="16">
        <is>
          <t xml:space="preserve">Calculation</t>
        </is>
      </c>
      <c r="B904">
        <f>IF(IF(EXACT("Annual deal-team",'Model inputs'!O83)="",FALSE,EXACT("Annual deal-team",'Model inputs'!O83)),IF('Model inputs'!D20="","",'Model inputs'!D20),"")</f>
      </c>
    </row>
    <row r="905">
      <c r="A905" t="inlineStr" s="16">
        <is>
          <t xml:space="preserve">Calculation</t>
        </is>
      </c>
      <c r="B905">
        <f>IF(IF(EXACT("Hybrid",'Model inputs'!O83)="",FALSE,EXACT("Hybrid",'Model inputs'!O83)),IF('Model inputs'!D21="","",'Model inputs'!D21),"")</f>
      </c>
    </row>
    <row r="906">
      <c r="A906" t="inlineStr" s="16">
        <is>
          <t xml:space="preserve">Calculation</t>
        </is>
      </c>
      <c r="B906">
        <f>IF(IF(EXACT("Per audit — base",'Model inputs'!O83)="",FALSE,EXACT("Per audit — base",'Model inputs'!O83)),IF('Model inputs'!D22="","",'Model inputs'!D22),"")</f>
      </c>
    </row>
    <row r="907">
      <c r="A907" t="inlineStr" s="16">
        <is>
          <t xml:space="preserve">Calculation</t>
        </is>
      </c>
      <c r="B907">
        <f>IF(IF(EXACT("Per audit — high",'Model inputs'!O83)="",FALSE,EXACT("Per audit — high",'Model inputs'!O83)),IF('Model inputs'!D23="","",'Model inputs'!D23),"")</f>
      </c>
    </row>
    <row r="908">
      <c r="A908" t="inlineStr" s="16">
        <is>
          <t xml:space="preserve">Calculation</t>
        </is>
      </c>
      <c r="B908">
        <f>IF(IF(EXACT("Per audit — low",'Model inputs'!O83)="",FALSE,EXACT("Per audit — low",'Model inputs'!O83)),IF('Model inputs'!D24="","",'Model inputs'!D24),"")</f>
      </c>
    </row>
    <row r="909">
      <c r="A909" t="inlineStr" s="16">
        <is>
          <t xml:space="preserve">Calculation</t>
        </is>
      </c>
      <c r="B909">
        <f>IF(IF(EXACT("Annual deal-team",'Model inputs'!O83)="",FALSE,EXACT("Annual deal-team",'Model inputs'!O83)),IF('Model inputs'!E20="","",'Model inputs'!E20),"")</f>
      </c>
    </row>
    <row r="910">
      <c r="A910" t="inlineStr" s="16">
        <is>
          <t xml:space="preserve">Calculation</t>
        </is>
      </c>
      <c r="B910">
        <f>IF(IF(EXACT("Hybrid",'Model inputs'!O83)="",FALSE,EXACT("Hybrid",'Model inputs'!O83)),IF('Model inputs'!E21="","",'Model inputs'!E21),"")</f>
      </c>
    </row>
    <row r="911">
      <c r="A911" t="inlineStr" s="16">
        <is>
          <t xml:space="preserve">Calculation</t>
        </is>
      </c>
      <c r="B911">
        <f>IF(IF(EXACT("Per audit — base",'Model inputs'!O83)="",FALSE,EXACT("Per audit — base",'Model inputs'!O83)),IF('Model inputs'!E22="","",'Model inputs'!E22),"")</f>
      </c>
    </row>
    <row r="912">
      <c r="A912" t="inlineStr" s="16">
        <is>
          <t xml:space="preserve">Calculation</t>
        </is>
      </c>
      <c r="B912">
        <f>IF(IF(EXACT("Per audit — high",'Model inputs'!O83)="",FALSE,EXACT("Per audit — high",'Model inputs'!O83)),IF('Model inputs'!E23="","",'Model inputs'!E23),"")</f>
      </c>
    </row>
    <row r="913">
      <c r="A913" t="inlineStr" s="16">
        <is>
          <t xml:space="preserve">Calculation</t>
        </is>
      </c>
      <c r="B913">
        <f>IF(IF(EXACT("Per audit — low",'Model inputs'!O83)="",FALSE,EXACT("Per audit — low",'Model inputs'!O83)),IF('Model inputs'!E24="","",'Model inputs'!E24),"")</f>
      </c>
    </row>
    <row r="914">
      <c r="A914" t="inlineStr" s="16">
        <is>
          <t xml:space="preserve">Calculation</t>
        </is>
      </c>
      <c r="B914">
        <f>IF(IF(EXACT("Annual deal-team",'Model inputs'!O83)="",FALSE,EXACT("Annual deal-team",'Model inputs'!O83)),IF('Model inputs'!F20="","",'Model inputs'!F20),"")</f>
      </c>
    </row>
    <row r="915">
      <c r="A915" t="inlineStr" s="16">
        <is>
          <t xml:space="preserve">Calculation</t>
        </is>
      </c>
      <c r="B915">
        <f>IF(IF(EXACT("Hybrid",'Model inputs'!O83)="",FALSE,EXACT("Hybrid",'Model inputs'!O83)),IF('Model inputs'!F21="","",'Model inputs'!F21),"")</f>
      </c>
    </row>
    <row r="916">
      <c r="A916" t="inlineStr" s="16">
        <is>
          <t xml:space="preserve">Calculation</t>
        </is>
      </c>
      <c r="B916">
        <f>IF(IF(EXACT("Per audit — base",'Model inputs'!O83)="",FALSE,EXACT("Per audit — base",'Model inputs'!O83)),IF('Model inputs'!F22="","",'Model inputs'!F22),"")</f>
      </c>
    </row>
    <row r="917">
      <c r="A917" t="inlineStr" s="16">
        <is>
          <t xml:space="preserve">Calculation</t>
        </is>
      </c>
      <c r="B917">
        <f>IF(IF(EXACT("Per audit — high",'Model inputs'!O83)="",FALSE,EXACT("Per audit — high",'Model inputs'!O83)),IF('Model inputs'!F23="","",'Model inputs'!F23),"")</f>
      </c>
    </row>
    <row r="918">
      <c r="A918" t="inlineStr" s="16">
        <is>
          <t xml:space="preserve">Calculation</t>
        </is>
      </c>
      <c r="B918">
        <f>IF(IF(EXACT("Per audit — low",'Model inputs'!O83)="",FALSE,EXACT("Per audit — low",'Model inputs'!O83)),IF('Model inputs'!F24="","",'Model inputs'!F24),"")</f>
      </c>
    </row>
    <row r="919">
      <c r="A919" t="inlineStr" s="16">
        <is>
          <t xml:space="preserve">Calculation</t>
        </is>
      </c>
      <c r="B919">
        <f>IF(IF(EXACT("Annual deal-team",'Model inputs'!O83)="",FALSE,EXACT("Annual deal-team",'Model inputs'!O83)),IF('Model inputs'!G20="","",'Model inputs'!G20),"")</f>
      </c>
    </row>
    <row r="920">
      <c r="A920" t="inlineStr" s="16">
        <is>
          <t xml:space="preserve">Calculation</t>
        </is>
      </c>
      <c r="B920">
        <f>IF(IF(EXACT("Hybrid",'Model inputs'!O83)="",FALSE,EXACT("Hybrid",'Model inputs'!O83)),IF('Model inputs'!G21="","",'Model inputs'!G21),"")</f>
      </c>
    </row>
    <row r="921">
      <c r="A921" t="inlineStr" s="16">
        <is>
          <t xml:space="preserve">Calculation</t>
        </is>
      </c>
      <c r="B921">
        <f>IF(IF(EXACT("Per audit — base",'Model inputs'!O83)="",FALSE,EXACT("Per audit — base",'Model inputs'!O83)),IF('Model inputs'!G22="","",'Model inputs'!G22),"")</f>
      </c>
    </row>
    <row r="922">
      <c r="A922" t="inlineStr" s="16">
        <is>
          <t xml:space="preserve">Calculation</t>
        </is>
      </c>
      <c r="B922">
        <f>IF(IF(EXACT("Per audit — high",'Model inputs'!O83)="",FALSE,EXACT("Per audit — high",'Model inputs'!O83)),IF('Model inputs'!G23="","",'Model inputs'!G23),"")</f>
      </c>
    </row>
    <row r="923">
      <c r="A923" t="inlineStr" s="16">
        <is>
          <t xml:space="preserve">Calculation</t>
        </is>
      </c>
      <c r="B923">
        <f>IF(IF(EXACT("Per audit — low",'Model inputs'!O83)="",FALSE,EXACT("Per audit — low",'Model inputs'!O83)),IF('Model inputs'!G24="","",'Model inputs'!G24),"")</f>
      </c>
    </row>
    <row r="924">
      <c r="A924" t="inlineStr" s="16">
        <is>
          <t xml:space="preserve">Calculation</t>
        </is>
      </c>
      <c r="B924">
        <f>IF(IF(EXACT("Annual deal-team",'Model inputs'!O83)="",FALSE,EXACT("Annual deal-team",'Model inputs'!O83)),IF('Model inputs'!H20="","",'Model inputs'!H20),"")</f>
      </c>
    </row>
    <row r="925">
      <c r="A925" t="inlineStr" s="16">
        <is>
          <t xml:space="preserve">Calculation</t>
        </is>
      </c>
      <c r="B925">
        <f>IF(IF(EXACT("Hybrid",'Model inputs'!O83)="",FALSE,EXACT("Hybrid",'Model inputs'!O83)),IF('Model inputs'!H21="","",'Model inputs'!H21),"")</f>
      </c>
    </row>
    <row r="926">
      <c r="A926" t="inlineStr" s="16">
        <is>
          <t xml:space="preserve">Calculation</t>
        </is>
      </c>
      <c r="B926">
        <f>IF(IF(EXACT("Per audit — base",'Model inputs'!O83)="",FALSE,EXACT("Per audit — base",'Model inputs'!O83)),IF('Model inputs'!H22="","",'Model inputs'!H22),"")</f>
      </c>
    </row>
    <row r="927">
      <c r="A927" t="inlineStr" s="16">
        <is>
          <t xml:space="preserve">Calculation</t>
        </is>
      </c>
      <c r="B927">
        <f>IF(IF(EXACT("Per audit — high",'Model inputs'!O83)="",FALSE,EXACT("Per audit — high",'Model inputs'!O83)),IF('Model inputs'!H23="","",'Model inputs'!H23),"")</f>
      </c>
    </row>
    <row r="928">
      <c r="A928" t="inlineStr" s="16">
        <is>
          <t xml:space="preserve">Calculation</t>
        </is>
      </c>
      <c r="B928">
        <f>IF(IF(EXACT("Per audit — low",'Model inputs'!O83)="",FALSE,EXACT("Per audit — low",'Model inputs'!O83)),IF('Model inputs'!H24="","",'Model inputs'!H24),"")</f>
      </c>
    </row>
    <row r="929">
      <c r="A929" t="inlineStr" s="16">
        <is>
          <t xml:space="preserve">Calculation</t>
        </is>
      </c>
      <c r="B929">
        <f>IF(IF(EXACT("Annual deal-team",'Model inputs'!O83)="",FALSE,EXACT("Annual deal-team",'Model inputs'!O83)),IF('Model inputs'!I20="","",'Model inputs'!I20),"")</f>
      </c>
    </row>
    <row r="930">
      <c r="A930" t="inlineStr" s="16">
        <is>
          <t xml:space="preserve">Calculation</t>
        </is>
      </c>
      <c r="B930">
        <f>IF(IF(EXACT("Hybrid",'Model inputs'!O83)="",FALSE,EXACT("Hybrid",'Model inputs'!O83)),IF('Model inputs'!I21="","",'Model inputs'!I21),"")</f>
      </c>
    </row>
    <row r="931">
      <c r="A931" t="inlineStr" s="16">
        <is>
          <t xml:space="preserve">Calculation</t>
        </is>
      </c>
      <c r="B931">
        <f>IF(IF(EXACT("Per audit — base",'Model inputs'!O83)="",FALSE,EXACT("Per audit — base",'Model inputs'!O83)),IF('Model inputs'!I22="","",'Model inputs'!I22),"")</f>
      </c>
    </row>
    <row r="932">
      <c r="A932" t="inlineStr" s="16">
        <is>
          <t xml:space="preserve">Calculation</t>
        </is>
      </c>
      <c r="B932">
        <f>IF(IF(EXACT("Per audit — high",'Model inputs'!O83)="",FALSE,EXACT("Per audit — high",'Model inputs'!O83)),IF('Model inputs'!I23="","",'Model inputs'!I23),"")</f>
      </c>
    </row>
    <row r="933">
      <c r="A933" t="inlineStr" s="16">
        <is>
          <t xml:space="preserve">Calculation</t>
        </is>
      </c>
      <c r="B933">
        <f>IF(IF(EXACT("Per audit — low",'Model inputs'!O83)="",FALSE,EXACT("Per audit — low",'Model inputs'!O83)),IF('Model inputs'!I24="","",'Model inputs'!I24),"")</f>
      </c>
    </row>
    <row r="934">
      <c r="A934" t="inlineStr" s="16">
        <is>
          <t xml:space="preserve">Calculation</t>
        </is>
      </c>
      <c r="B934">
        <f>IF(IF(EXACT("Annual deal-team",'Model inputs'!O83)="",FALSE,EXACT("Annual deal-team",'Model inputs'!O83)),IF('Model inputs'!J20="","",'Model inputs'!J20),"")</f>
      </c>
    </row>
    <row r="935">
      <c r="A935" t="inlineStr" s="16">
        <is>
          <t xml:space="preserve">Calculation</t>
        </is>
      </c>
      <c r="B935">
        <f>IF(IF(EXACT("Hybrid",'Model inputs'!O83)="",FALSE,EXACT("Hybrid",'Model inputs'!O83)),IF('Model inputs'!J21="","",'Model inputs'!J21),"")</f>
      </c>
    </row>
    <row r="936">
      <c r="A936" t="inlineStr" s="16">
        <is>
          <t xml:space="preserve">Calculation</t>
        </is>
      </c>
      <c r="B936">
        <f>IF(IF(EXACT("Per audit — base",'Model inputs'!O83)="",FALSE,EXACT("Per audit — base",'Model inputs'!O83)),IF('Model inputs'!J22="","",'Model inputs'!J22),"")</f>
      </c>
    </row>
    <row r="937">
      <c r="A937" t="inlineStr" s="16">
        <is>
          <t xml:space="preserve">Calculation</t>
        </is>
      </c>
      <c r="B937">
        <f>IF(IF(EXACT("Per audit — high",'Model inputs'!O83)="",FALSE,EXACT("Per audit — high",'Model inputs'!O83)),IF('Model inputs'!J23="","",'Model inputs'!J23),"")</f>
      </c>
    </row>
    <row r="938">
      <c r="A938" t="inlineStr" s="16">
        <is>
          <t xml:space="preserve">Calculation</t>
        </is>
      </c>
      <c r="B938">
        <f>IF(IF(EXACT("Per audit — low",'Model inputs'!O83)="",FALSE,EXACT("Per audit — low",'Model inputs'!O83)),IF('Model inputs'!J24="","",'Model inputs'!J24),"")</f>
      </c>
    </row>
    <row r="939">
      <c r="A939" t="inlineStr" s="16">
        <is>
          <t xml:space="preserve">Calculation</t>
        </is>
      </c>
      <c r="B939">
        <f>IF(IF(EXACT("Annual deal-team",'Model inputs'!O83)="",FALSE,EXACT("Annual deal-team",'Model inputs'!O83)),IF('Model inputs'!K20="","",'Model inputs'!K20),"")</f>
      </c>
    </row>
    <row r="940">
      <c r="A940" t="inlineStr" s="16">
        <is>
          <t xml:space="preserve">Calculation</t>
        </is>
      </c>
      <c r="B940">
        <f>IF(IF(EXACT("Hybrid",'Model inputs'!O83)="",FALSE,EXACT("Hybrid",'Model inputs'!O83)),IF('Model inputs'!K21="","",'Model inputs'!K21),"")</f>
      </c>
    </row>
    <row r="941">
      <c r="A941" t="inlineStr" s="16">
        <is>
          <t xml:space="preserve">Calculation</t>
        </is>
      </c>
      <c r="B941">
        <f>IF(IF(EXACT("Per audit — base",'Model inputs'!O83)="",FALSE,EXACT("Per audit — base",'Model inputs'!O83)),IF('Model inputs'!K22="","",'Model inputs'!K22),"")</f>
      </c>
    </row>
    <row r="942">
      <c r="A942" t="inlineStr" s="16">
        <is>
          <t xml:space="preserve">Calculation</t>
        </is>
      </c>
      <c r="B942">
        <f>IF(IF(EXACT("Per audit — high",'Model inputs'!O83)="",FALSE,EXACT("Per audit — high",'Model inputs'!O83)),IF('Model inputs'!K23="","",'Model inputs'!K23),"")</f>
      </c>
    </row>
    <row r="943">
      <c r="A943" t="inlineStr" s="16">
        <is>
          <t xml:space="preserve">Calculation</t>
        </is>
      </c>
      <c r="B943">
        <f>IF(IF(EXACT("Per audit — low",'Model inputs'!O83)="",FALSE,EXACT("Per audit — low",'Model inputs'!O83)),IF('Model inputs'!K24="","",'Model inputs'!K24),"")</f>
      </c>
    </row>
    <row r="944">
      <c r="A944" t="inlineStr" s="16">
        <is>
          <t xml:space="preserve">Calculation</t>
        </is>
      </c>
      <c r="B944">
        <f>IF(IF(EXACT("Annual deal-team",'Model inputs'!O83)="",FALSE,EXACT("Annual deal-team",'Model inputs'!O83)),IF('Model inputs'!L20="","",'Model inputs'!L20),"")</f>
      </c>
    </row>
    <row r="945">
      <c r="A945" t="inlineStr" s="16">
        <is>
          <t xml:space="preserve">Calculation</t>
        </is>
      </c>
      <c r="B945">
        <f>IF(IF(EXACT("Hybrid",'Model inputs'!O83)="",FALSE,EXACT("Hybrid",'Model inputs'!O83)),IF('Model inputs'!L21="","",'Model inputs'!L21),"")</f>
      </c>
    </row>
    <row r="946">
      <c r="A946" t="inlineStr" s="16">
        <is>
          <t xml:space="preserve">Calculation</t>
        </is>
      </c>
      <c r="B946">
        <f>IF(IF(EXACT("Per audit — base",'Model inputs'!O83)="",FALSE,EXACT("Per audit — base",'Model inputs'!O83)),IF('Model inputs'!L22="","",'Model inputs'!L22),"")</f>
      </c>
    </row>
    <row r="947">
      <c r="A947" t="inlineStr" s="16">
        <is>
          <t xml:space="preserve">Calculation</t>
        </is>
      </c>
      <c r="B947">
        <f>IF(IF(EXACT("Per audit — high",'Model inputs'!O83)="",FALSE,EXACT("Per audit — high",'Model inputs'!O83)),IF('Model inputs'!L23="","",'Model inputs'!L23),"")</f>
      </c>
    </row>
    <row r="948">
      <c r="A948" t="inlineStr" s="16">
        <is>
          <t xml:space="preserve">Calculation</t>
        </is>
      </c>
      <c r="B948">
        <f>IF(IF(EXACT("Per audit — low",'Model inputs'!O83)="",FALSE,EXACT("Per audit — low",'Model inputs'!O83)),IF('Model inputs'!L24="","",'Model inputs'!L24),"")</f>
      </c>
    </row>
    <row r="949">
      <c r="A949" t="inlineStr" s="16">
        <is>
          <t xml:space="preserve">Calculation</t>
        </is>
      </c>
      <c r="B949">
        <f>IF(IF(EXACT("Annual deal-team",'Model inputs'!O83)="",FALSE,EXACT("Annual deal-team",'Model inputs'!O83)),IF('Model inputs'!M20="","",'Model inputs'!M20),"")</f>
      </c>
    </row>
    <row r="950">
      <c r="A950" t="inlineStr" s="16">
        <is>
          <t xml:space="preserve">Calculation</t>
        </is>
      </c>
      <c r="B950">
        <f>IF(IF(EXACT("Hybrid",'Model inputs'!O83)="",FALSE,EXACT("Hybrid",'Model inputs'!O83)),IF('Model inputs'!M21="","",'Model inputs'!M21),"")</f>
      </c>
    </row>
    <row r="951">
      <c r="A951" t="inlineStr" s="16">
        <is>
          <t xml:space="preserve">Calculation</t>
        </is>
      </c>
      <c r="B951">
        <f>IF(IF(EXACT("Per audit — base",'Model inputs'!O83)="",FALSE,EXACT("Per audit — base",'Model inputs'!O83)),IF('Model inputs'!M22="","",'Model inputs'!M22),"")</f>
      </c>
    </row>
    <row r="952">
      <c r="A952" t="inlineStr" s="16">
        <is>
          <t xml:space="preserve">Calculation</t>
        </is>
      </c>
      <c r="B952">
        <f>IF(IF(EXACT("Per audit — high",'Model inputs'!O83)="",FALSE,EXACT("Per audit — high",'Model inputs'!O83)),IF('Model inputs'!M23="","",'Model inputs'!M23),"")</f>
      </c>
    </row>
    <row r="953">
      <c r="A953" t="inlineStr" s="16">
        <is>
          <t xml:space="preserve">Calculation</t>
        </is>
      </c>
      <c r="B953">
        <f>IF(IF(EXACT("Per audit — low",'Model inputs'!O83)="",FALSE,EXACT("Per audit — low",'Model inputs'!O83)),IF('Model inputs'!M24="","",'Model inputs'!M24),"")</f>
      </c>
    </row>
    <row r="954">
      <c r="A954" t="inlineStr" s="16">
        <is>
          <t xml:space="preserve">Calculation</t>
        </is>
      </c>
      <c r="B954">
        <f>IF(IF(EXACT("Annual deal-team",'Model inputs'!O83)="",FALSE,EXACT("Annual deal-team",'Model inputs'!O83)),IF('Model inputs'!N20="","",'Model inputs'!N20),"")</f>
      </c>
    </row>
    <row r="955">
      <c r="A955" t="inlineStr" s="16">
        <is>
          <t xml:space="preserve">Calculation</t>
        </is>
      </c>
      <c r="B955">
        <f>IF(IF(EXACT("Hybrid",'Model inputs'!O83)="",FALSE,EXACT("Hybrid",'Model inputs'!O83)),IF('Model inputs'!N21="","",'Model inputs'!N21),"")</f>
      </c>
    </row>
    <row r="956">
      <c r="A956" t="inlineStr" s="16">
        <is>
          <t xml:space="preserve">Calculation</t>
        </is>
      </c>
      <c r="B956">
        <f>IF(IF(EXACT("Per audit — base",'Model inputs'!O83)="",FALSE,EXACT("Per audit — base",'Model inputs'!O83)),IF('Model inputs'!N22="","",'Model inputs'!N22),"")</f>
      </c>
    </row>
    <row r="957">
      <c r="A957" t="inlineStr" s="16">
        <is>
          <t xml:space="preserve">Calculation</t>
        </is>
      </c>
      <c r="B957">
        <f>IF(IF(EXACT("Per audit — high",'Model inputs'!O83)="",FALSE,EXACT("Per audit — high",'Model inputs'!O83)),IF('Model inputs'!N23="","",'Model inputs'!N23),"")</f>
      </c>
    </row>
    <row r="958">
      <c r="A958" t="inlineStr" s="16">
        <is>
          <t xml:space="preserve">Calculation</t>
        </is>
      </c>
      <c r="B958">
        <f>IF(IF(EXACT("Per audit — low",'Model inputs'!O83)="",FALSE,EXACT("Per audit — low",'Model inputs'!O83)),IF('Model inputs'!N24="","",'Model inputs'!N24),"")</f>
      </c>
    </row>
    <row r="959">
      <c r="A959" t="inlineStr" s="16">
        <is>
          <t xml:space="preserve">Calculation</t>
        </is>
      </c>
      <c r="B959">
        <f>IF(IF(EXACT("Annual deal-team",'Model inputs'!O83)="",FALSE,EXACT("Annual deal-team",'Model inputs'!O83)),IF('Model inputs'!C52="","",'Model inputs'!C52),"")</f>
      </c>
    </row>
    <row r="960">
      <c r="A960" t="inlineStr" s="16">
        <is>
          <t xml:space="preserve">Calculation</t>
        </is>
      </c>
      <c r="B960">
        <f>IF(IF(EXACT("Hybrid",'Model inputs'!O83)="",FALSE,EXACT("Hybrid",'Model inputs'!O83)),IF('Model inputs'!C53="","",'Model inputs'!C53),"")</f>
      </c>
    </row>
    <row r="961">
      <c r="A961" t="inlineStr" s="16">
        <is>
          <t xml:space="preserve">Calculation</t>
        </is>
      </c>
      <c r="B961">
        <f>IF(IF(EXACT("Per audit — base",'Model inputs'!O83)="",FALSE,EXACT("Per audit — base",'Model inputs'!O83)),IF('Model inputs'!C54="","",'Model inputs'!C54),"")</f>
      </c>
    </row>
    <row r="962">
      <c r="A962" t="inlineStr" s="16">
        <is>
          <t xml:space="preserve">Calculation</t>
        </is>
      </c>
      <c r="B962">
        <f>IF(IF(EXACT("Per audit — high",'Model inputs'!O83)="",FALSE,EXACT("Per audit — high",'Model inputs'!O83)),IF('Model inputs'!C55="","",'Model inputs'!C55),"")</f>
      </c>
    </row>
    <row r="963">
      <c r="A963" t="inlineStr" s="16">
        <is>
          <t xml:space="preserve">Calculation</t>
        </is>
      </c>
      <c r="B963">
        <f>IF(IF(EXACT("Per audit — low",'Model inputs'!O83)="",FALSE,EXACT("Per audit — low",'Model inputs'!O83)),IF('Model inputs'!C56="","",'Model inputs'!C56),"")</f>
      </c>
    </row>
    <row r="964">
      <c r="A964" t="inlineStr" s="16">
        <is>
          <t xml:space="preserve">Calculation</t>
        </is>
      </c>
      <c r="B964">
        <f>IF(IF(EXACT("Annual deal-team",'Model inputs'!O83)="",FALSE,EXACT("Annual deal-team",'Model inputs'!O83)),IF('Model inputs'!D52="","",'Model inputs'!D52),"")</f>
      </c>
    </row>
    <row r="965">
      <c r="A965" t="inlineStr" s="16">
        <is>
          <t xml:space="preserve">Calculation</t>
        </is>
      </c>
      <c r="B965">
        <f>IF(IF(EXACT("Hybrid",'Model inputs'!O83)="",FALSE,EXACT("Hybrid",'Model inputs'!O83)),IF('Model inputs'!D53="","",'Model inputs'!D53),"")</f>
      </c>
    </row>
    <row r="966">
      <c r="A966" t="inlineStr" s="16">
        <is>
          <t xml:space="preserve">Calculation</t>
        </is>
      </c>
      <c r="B966">
        <f>IF(IF(EXACT("Per audit — base",'Model inputs'!O83)="",FALSE,EXACT("Per audit — base",'Model inputs'!O83)),IF('Model inputs'!D54="","",'Model inputs'!D54),"")</f>
      </c>
    </row>
    <row r="967">
      <c r="A967" t="inlineStr" s="16">
        <is>
          <t xml:space="preserve">Calculation</t>
        </is>
      </c>
      <c r="B967">
        <f>IF(IF(EXACT("Per audit — high",'Model inputs'!O83)="",FALSE,EXACT("Per audit — high",'Model inputs'!O83)),IF('Model inputs'!D55="","",'Model inputs'!D55),"")</f>
      </c>
    </row>
    <row r="968">
      <c r="A968" t="inlineStr" s="16">
        <is>
          <t xml:space="preserve">Calculation</t>
        </is>
      </c>
      <c r="B968">
        <f>IF(IF(EXACT("Per audit — low",'Model inputs'!O83)="",FALSE,EXACT("Per audit — low",'Model inputs'!O83)),IF('Model inputs'!D56="","",'Model inputs'!D56),"")</f>
      </c>
    </row>
    <row r="969">
      <c r="A969" t="inlineStr" s="16">
        <is>
          <t xml:space="preserve">Calculation</t>
        </is>
      </c>
      <c r="B969">
        <f>IF(IF(EXACT("Annual deal-team",'Model inputs'!O83)="",FALSE,EXACT("Annual deal-team",'Model inputs'!O83)),IF('Model inputs'!E52="","",'Model inputs'!E52),"")</f>
      </c>
    </row>
    <row r="970">
      <c r="A970" t="inlineStr" s="16">
        <is>
          <t xml:space="preserve">Calculation</t>
        </is>
      </c>
      <c r="B970">
        <f>IF(IF(EXACT("Hybrid",'Model inputs'!O83)="",FALSE,EXACT("Hybrid",'Model inputs'!O83)),IF('Model inputs'!E53="","",'Model inputs'!E53),"")</f>
      </c>
    </row>
    <row r="971">
      <c r="A971" t="inlineStr" s="16">
        <is>
          <t xml:space="preserve">Calculation</t>
        </is>
      </c>
      <c r="B971">
        <f>IF(IF(EXACT("Per audit — base",'Model inputs'!O83)="",FALSE,EXACT("Per audit — base",'Model inputs'!O83)),IF('Model inputs'!E54="","",'Model inputs'!E54),"")</f>
      </c>
    </row>
    <row r="972">
      <c r="A972" t="inlineStr" s="16">
        <is>
          <t xml:space="preserve">Calculation</t>
        </is>
      </c>
      <c r="B972">
        <f>IF(IF(EXACT("Per audit — high",'Model inputs'!O83)="",FALSE,EXACT("Per audit — high",'Model inputs'!O83)),IF('Model inputs'!E55="","",'Model inputs'!E55),"")</f>
      </c>
    </row>
    <row r="973">
      <c r="A973" t="inlineStr" s="16">
        <is>
          <t xml:space="preserve">Calculation</t>
        </is>
      </c>
      <c r="B973">
        <f>IF(IF(EXACT("Per audit — low",'Model inputs'!O83)="",FALSE,EXACT("Per audit — low",'Model inputs'!O83)),IF('Model inputs'!E56="","",'Model inputs'!E56),"")</f>
      </c>
    </row>
    <row r="974">
      <c r="A974" t="inlineStr" s="16">
        <is>
          <t xml:space="preserve">Calculation</t>
        </is>
      </c>
      <c r="B974">
        <f>IF(IF(EXACT("Annual deal-team",'Model inputs'!O83)="",FALSE,EXACT("Annual deal-team",'Model inputs'!O83)),IF('Model inputs'!F52="","",'Model inputs'!F52),"")</f>
      </c>
    </row>
    <row r="975">
      <c r="A975" t="inlineStr" s="16">
        <is>
          <t xml:space="preserve">Calculation</t>
        </is>
      </c>
      <c r="B975">
        <f>IF(IF(EXACT("Hybrid",'Model inputs'!O83)="",FALSE,EXACT("Hybrid",'Model inputs'!O83)),IF('Model inputs'!F53="","",'Model inputs'!F53),"")</f>
      </c>
    </row>
    <row r="976">
      <c r="A976" t="inlineStr" s="16">
        <is>
          <t xml:space="preserve">Calculation</t>
        </is>
      </c>
      <c r="B976">
        <f>IF(IF(EXACT("Per audit — base",'Model inputs'!O83)="",FALSE,EXACT("Per audit — base",'Model inputs'!O83)),IF('Model inputs'!F54="","",'Model inputs'!F54),"")</f>
      </c>
    </row>
    <row r="977">
      <c r="A977" t="inlineStr" s="16">
        <is>
          <t xml:space="preserve">Calculation</t>
        </is>
      </c>
      <c r="B977">
        <f>IF(IF(EXACT("Per audit — high",'Model inputs'!O83)="",FALSE,EXACT("Per audit — high",'Model inputs'!O83)),IF('Model inputs'!F55="","",'Model inputs'!F55),"")</f>
      </c>
    </row>
    <row r="978">
      <c r="A978" t="inlineStr" s="16">
        <is>
          <t xml:space="preserve">Calculation</t>
        </is>
      </c>
      <c r="B978">
        <f>IF(IF(EXACT("Per audit — low",'Model inputs'!O83)="",FALSE,EXACT("Per audit — low",'Model inputs'!O83)),IF('Model inputs'!F56="","",'Model inputs'!F56),"")</f>
      </c>
    </row>
    <row r="979">
      <c r="A979" t="inlineStr" s="16">
        <is>
          <t xml:space="preserve">Calculation</t>
        </is>
      </c>
      <c r="B979">
        <f>IF(IF(EXACT("Annual deal-team",'Model inputs'!O83)="",FALSE,EXACT("Annual deal-team",'Model inputs'!O83)),IF('Model inputs'!G52="","",'Model inputs'!G52),"")</f>
      </c>
    </row>
    <row r="980">
      <c r="A980" t="inlineStr" s="16">
        <is>
          <t xml:space="preserve">Calculation</t>
        </is>
      </c>
      <c r="B980">
        <f>IF(IF(EXACT("Hybrid",'Model inputs'!O83)="",FALSE,EXACT("Hybrid",'Model inputs'!O83)),IF('Model inputs'!G53="","",'Model inputs'!G53),"")</f>
      </c>
    </row>
    <row r="981">
      <c r="A981" t="inlineStr" s="16">
        <is>
          <t xml:space="preserve">Calculation</t>
        </is>
      </c>
      <c r="B981">
        <f>IF(IF(EXACT("Per audit — base",'Model inputs'!O83)="",FALSE,EXACT("Per audit — base",'Model inputs'!O83)),IF('Model inputs'!G54="","",'Model inputs'!G54),"")</f>
      </c>
    </row>
    <row r="982">
      <c r="A982" t="inlineStr" s="16">
        <is>
          <t xml:space="preserve">Calculation</t>
        </is>
      </c>
      <c r="B982">
        <f>IF(IF(EXACT("Per audit — high",'Model inputs'!O83)="",FALSE,EXACT("Per audit — high",'Model inputs'!O83)),IF('Model inputs'!G55="","",'Model inputs'!G55),"")</f>
      </c>
    </row>
    <row r="983">
      <c r="A983" t="inlineStr" s="16">
        <is>
          <t xml:space="preserve">Calculation</t>
        </is>
      </c>
      <c r="B983">
        <f>IF(IF(EXACT("Per audit — low",'Model inputs'!O83)="",FALSE,EXACT("Per audit — low",'Model inputs'!O83)),IF('Model inputs'!G56="","",'Model inputs'!G56),"")</f>
      </c>
    </row>
    <row r="984">
      <c r="A984" t="inlineStr" s="16">
        <is>
          <t xml:space="preserve">Calculation</t>
        </is>
      </c>
      <c r="B984">
        <f>IF(IF(EXACT("Annual deal-team",'Model inputs'!O83)="",FALSE,EXACT("Annual deal-team",'Model inputs'!O83)),IF('Model inputs'!H52="","",'Model inputs'!H52),"")</f>
      </c>
    </row>
    <row r="985">
      <c r="A985" t="inlineStr" s="16">
        <is>
          <t xml:space="preserve">Calculation</t>
        </is>
      </c>
      <c r="B985">
        <f>IF(IF(EXACT("Hybrid",'Model inputs'!O83)="",FALSE,EXACT("Hybrid",'Model inputs'!O83)),IF('Model inputs'!H53="","",'Model inputs'!H53),"")</f>
      </c>
    </row>
    <row r="986">
      <c r="A986" t="inlineStr" s="16">
        <is>
          <t xml:space="preserve">Calculation</t>
        </is>
      </c>
      <c r="B986">
        <f>IF(IF(EXACT("Per audit — base",'Model inputs'!O83)="",FALSE,EXACT("Per audit — base",'Model inputs'!O83)),IF('Model inputs'!H54="","",'Model inputs'!H54),"")</f>
      </c>
    </row>
    <row r="987">
      <c r="A987" t="inlineStr" s="16">
        <is>
          <t xml:space="preserve">Calculation</t>
        </is>
      </c>
      <c r="B987">
        <f>IF(IF(EXACT("Per audit — high",'Model inputs'!O83)="",FALSE,EXACT("Per audit — high",'Model inputs'!O83)),IF('Model inputs'!H55="","",'Model inputs'!H55),"")</f>
      </c>
    </row>
    <row r="988">
      <c r="A988" t="inlineStr" s="16">
        <is>
          <t xml:space="preserve">Calculation</t>
        </is>
      </c>
      <c r="B988">
        <f>IF(IF(EXACT("Per audit — low",'Model inputs'!O83)="",FALSE,EXACT("Per audit — low",'Model inputs'!O83)),IF('Model inputs'!H56="","",'Model inputs'!H56),"")</f>
      </c>
    </row>
    <row r="989">
      <c r="A989" t="inlineStr" s="16">
        <is>
          <t xml:space="preserve">Calculation</t>
        </is>
      </c>
      <c r="B989">
        <f>IF(IF(EXACT("Annual deal-team",'Model inputs'!O83)="",FALSE,EXACT("Annual deal-team",'Model inputs'!O83)),IF('Model inputs'!I52="","",'Model inputs'!I52),"")</f>
      </c>
    </row>
    <row r="990">
      <c r="A990" t="inlineStr" s="16">
        <is>
          <t xml:space="preserve">Calculation</t>
        </is>
      </c>
      <c r="B990">
        <f>IF(IF(EXACT("Hybrid",'Model inputs'!O83)="",FALSE,EXACT("Hybrid",'Model inputs'!O83)),IF('Model inputs'!I53="","",'Model inputs'!I53),"")</f>
      </c>
    </row>
    <row r="991">
      <c r="A991" t="inlineStr" s="16">
        <is>
          <t xml:space="preserve">Calculation</t>
        </is>
      </c>
      <c r="B991">
        <f>IF(IF(EXACT("Per audit — base",'Model inputs'!O83)="",FALSE,EXACT("Per audit — base",'Model inputs'!O83)),IF('Model inputs'!I54="","",'Model inputs'!I54),"")</f>
      </c>
    </row>
    <row r="992">
      <c r="A992" t="inlineStr" s="16">
        <is>
          <t xml:space="preserve">Calculation</t>
        </is>
      </c>
      <c r="B992">
        <f>IF(IF(EXACT("Per audit — high",'Model inputs'!O83)="",FALSE,EXACT("Per audit — high",'Model inputs'!O83)),IF('Model inputs'!I55="","",'Model inputs'!I55),"")</f>
      </c>
    </row>
    <row r="993">
      <c r="A993" t="inlineStr" s="16">
        <is>
          <t xml:space="preserve">Calculation</t>
        </is>
      </c>
      <c r="B993">
        <f>IF(IF(EXACT("Per audit — low",'Model inputs'!O83)="",FALSE,EXACT("Per audit — low",'Model inputs'!O83)),IF('Model inputs'!I56="","",'Model inputs'!I56),"")</f>
      </c>
    </row>
    <row r="994">
      <c r="A994" t="inlineStr" s="16">
        <is>
          <t xml:space="preserve">Calculation</t>
        </is>
      </c>
      <c r="B994">
        <f>IF(IF(EXACT("Annual deal-team",'Model inputs'!O83)="",FALSE,EXACT("Annual deal-team",'Model inputs'!O83)),IF('Model inputs'!J52="","",'Model inputs'!J52),"")</f>
      </c>
    </row>
    <row r="995">
      <c r="A995" t="inlineStr" s="16">
        <is>
          <t xml:space="preserve">Calculation</t>
        </is>
      </c>
      <c r="B995">
        <f>IF(IF(EXACT("Hybrid",'Model inputs'!O83)="",FALSE,EXACT("Hybrid",'Model inputs'!O83)),IF('Model inputs'!J53="","",'Model inputs'!J53),"")</f>
      </c>
    </row>
    <row r="996">
      <c r="A996" t="inlineStr" s="16">
        <is>
          <t xml:space="preserve">Calculation</t>
        </is>
      </c>
      <c r="B996">
        <f>IF(IF(EXACT("Per audit — base",'Model inputs'!O83)="",FALSE,EXACT("Per audit — base",'Model inputs'!O83)),IF('Model inputs'!J54="","",'Model inputs'!J54),"")</f>
      </c>
    </row>
    <row r="997">
      <c r="A997" t="inlineStr" s="16">
        <is>
          <t xml:space="preserve">Calculation</t>
        </is>
      </c>
      <c r="B997">
        <f>IF(IF(EXACT("Per audit — high",'Model inputs'!O83)="",FALSE,EXACT("Per audit — high",'Model inputs'!O83)),IF('Model inputs'!J55="","",'Model inputs'!J55),"")</f>
      </c>
    </row>
    <row r="998">
      <c r="A998" t="inlineStr" s="16">
        <is>
          <t xml:space="preserve">Calculation</t>
        </is>
      </c>
      <c r="B998">
        <f>IF(IF(EXACT("Per audit — low",'Model inputs'!O83)="",FALSE,EXACT("Per audit — low",'Model inputs'!O83)),IF('Model inputs'!J56="","",'Model inputs'!J56),"")</f>
      </c>
    </row>
    <row r="999">
      <c r="A999" t="inlineStr" s="16">
        <is>
          <t xml:space="preserve">Calculation</t>
        </is>
      </c>
      <c r="B999">
        <f>IF(IF(EXACT("Annual deal-team",'Model inputs'!O83)="",FALSE,EXACT("Annual deal-team",'Model inputs'!O83)),IF('Model inputs'!K52="","",'Model inputs'!K52),"")</f>
      </c>
    </row>
    <row r="1000">
      <c r="A1000" t="inlineStr" s="16">
        <is>
          <t xml:space="preserve">Calculation</t>
        </is>
      </c>
      <c r="B1000">
        <f>IF(IF(EXACT("Hybrid",'Model inputs'!O83)="",FALSE,EXACT("Hybrid",'Model inputs'!O83)),IF('Model inputs'!K53="","",'Model inputs'!K53),"")</f>
      </c>
    </row>
    <row r="1001">
      <c r="A1001" t="inlineStr" s="16">
        <is>
          <t xml:space="preserve">Calculation</t>
        </is>
      </c>
      <c r="B1001">
        <f>IF(IF(EXACT("Per audit — base",'Model inputs'!O83)="",FALSE,EXACT("Per audit — base",'Model inputs'!O83)),IF('Model inputs'!K54="","",'Model inputs'!K54),"")</f>
      </c>
    </row>
    <row r="1002">
      <c r="A1002" t="inlineStr" s="16">
        <is>
          <t xml:space="preserve">Calculation</t>
        </is>
      </c>
      <c r="B1002">
        <f>IF(IF(EXACT("Per audit — high",'Model inputs'!O83)="",FALSE,EXACT("Per audit — high",'Model inputs'!O83)),IF('Model inputs'!K55="","",'Model inputs'!K55),"")</f>
      </c>
    </row>
    <row r="1003">
      <c r="A1003" t="inlineStr" s="16">
        <is>
          <t xml:space="preserve">Calculation</t>
        </is>
      </c>
      <c r="B1003">
        <f>IF(IF(EXACT("Per audit — low",'Model inputs'!O83)="",FALSE,EXACT("Per audit — low",'Model inputs'!O83)),IF('Model inputs'!K56="","",'Model inputs'!K56),"")</f>
      </c>
    </row>
    <row r="1004">
      <c r="A1004" t="inlineStr" s="16">
        <is>
          <t xml:space="preserve">Calculation</t>
        </is>
      </c>
      <c r="B1004">
        <f>IF(IF(EXACT("Annual deal-team",'Model inputs'!O83)="",FALSE,EXACT("Annual deal-team",'Model inputs'!O83)),IF('Model inputs'!L52="","",'Model inputs'!L52),"")</f>
      </c>
    </row>
    <row r="1005">
      <c r="A1005" t="inlineStr" s="16">
        <is>
          <t xml:space="preserve">Calculation</t>
        </is>
      </c>
      <c r="B1005">
        <f>IF(IF(EXACT("Hybrid",'Model inputs'!O83)="",FALSE,EXACT("Hybrid",'Model inputs'!O83)),IF('Model inputs'!L53="","",'Model inputs'!L53),"")</f>
      </c>
    </row>
    <row r="1006">
      <c r="A1006" t="inlineStr" s="16">
        <is>
          <t xml:space="preserve">Calculation</t>
        </is>
      </c>
      <c r="B1006">
        <f>IF(IF(EXACT("Per audit — base",'Model inputs'!O83)="",FALSE,EXACT("Per audit — base",'Model inputs'!O83)),IF('Model inputs'!L54="","",'Model inputs'!L54),"")</f>
      </c>
    </row>
    <row r="1007">
      <c r="A1007" t="inlineStr" s="16">
        <is>
          <t xml:space="preserve">Calculation</t>
        </is>
      </c>
      <c r="B1007">
        <f>IF(IF(EXACT("Per audit — high",'Model inputs'!O83)="",FALSE,EXACT("Per audit — high",'Model inputs'!O83)),IF('Model inputs'!L55="","",'Model inputs'!L55),"")</f>
      </c>
    </row>
    <row r="1008">
      <c r="A1008" t="inlineStr" s="16">
        <is>
          <t xml:space="preserve">Calculation</t>
        </is>
      </c>
      <c r="B1008">
        <f>IF(IF(EXACT("Per audit — low",'Model inputs'!O83)="",FALSE,EXACT("Per audit — low",'Model inputs'!O83)),IF('Model inputs'!L56="","",'Model inputs'!L56),"")</f>
      </c>
    </row>
    <row r="1009">
      <c r="A1009" t="inlineStr" s="16">
        <is>
          <t xml:space="preserve">Calculation</t>
        </is>
      </c>
      <c r="B1009">
        <f>IF(IF(EXACT("Annual deal-team",'Model inputs'!O83)="",FALSE,EXACT("Annual deal-team",'Model inputs'!O83)),IF('Model inputs'!M52="","",'Model inputs'!M52),"")</f>
      </c>
    </row>
    <row r="1010">
      <c r="A1010" t="inlineStr" s="16">
        <is>
          <t xml:space="preserve">Calculation</t>
        </is>
      </c>
      <c r="B1010">
        <f>IF(IF(EXACT("Hybrid",'Model inputs'!O83)="",FALSE,EXACT("Hybrid",'Model inputs'!O83)),IF('Model inputs'!M53="","",'Model inputs'!M53),"")</f>
      </c>
    </row>
    <row r="1011">
      <c r="A1011" t="inlineStr" s="16">
        <is>
          <t xml:space="preserve">Calculation</t>
        </is>
      </c>
      <c r="B1011">
        <f>IF(IF(EXACT("Per audit — base",'Model inputs'!O83)="",FALSE,EXACT("Per audit — base",'Model inputs'!O83)),IF('Model inputs'!M54="","",'Model inputs'!M54),"")</f>
      </c>
    </row>
    <row r="1012">
      <c r="A1012" t="inlineStr" s="16">
        <is>
          <t xml:space="preserve">Calculation</t>
        </is>
      </c>
      <c r="B1012">
        <f>IF(IF(EXACT("Per audit — high",'Model inputs'!O83)="",FALSE,EXACT("Per audit — high",'Model inputs'!O83)),IF('Model inputs'!M55="","",'Model inputs'!M55),"")</f>
      </c>
    </row>
    <row r="1013">
      <c r="A1013" t="inlineStr" s="16">
        <is>
          <t xml:space="preserve">Calculation</t>
        </is>
      </c>
      <c r="B1013">
        <f>IF(IF(EXACT("Per audit — low",'Model inputs'!O83)="",FALSE,EXACT("Per audit — low",'Model inputs'!O83)),IF('Model inputs'!M56="","",'Model inputs'!M56),"")</f>
      </c>
    </row>
    <row r="1014">
      <c r="A1014" t="inlineStr" s="16">
        <is>
          <t xml:space="preserve">Calculation</t>
        </is>
      </c>
      <c r="B1014">
        <f>IF(IF(EXACT("Annual deal-team",'Model inputs'!O83)="",FALSE,EXACT("Annual deal-team",'Model inputs'!O83)),IF('Model inputs'!N52="","",'Model inputs'!N52),"")</f>
      </c>
    </row>
    <row r="1015">
      <c r="A1015" t="inlineStr" s="16">
        <is>
          <t xml:space="preserve">Calculation</t>
        </is>
      </c>
      <c r="B1015">
        <f>IF(IF(EXACT("Hybrid",'Model inputs'!O83)="",FALSE,EXACT("Hybrid",'Model inputs'!O83)),IF('Model inputs'!N53="","",'Model inputs'!N53),"")</f>
      </c>
    </row>
    <row r="1016">
      <c r="A1016" t="inlineStr" s="16">
        <is>
          <t xml:space="preserve">Calculation</t>
        </is>
      </c>
      <c r="B1016">
        <f>IF(IF(EXACT("Per audit — base",'Model inputs'!O83)="",FALSE,EXACT("Per audit — base",'Model inputs'!O83)),IF('Model inputs'!N54="","",'Model inputs'!N54),"")</f>
      </c>
    </row>
    <row r="1017">
      <c r="A1017" t="inlineStr" s="16">
        <is>
          <t xml:space="preserve">Calculation</t>
        </is>
      </c>
      <c r="B1017">
        <f>IF(IF(EXACT("Per audit — high",'Model inputs'!O83)="",FALSE,EXACT("Per audit — high",'Model inputs'!O83)),IF('Model inputs'!N55="","",'Model inputs'!N55),"")</f>
      </c>
    </row>
    <row r="1018">
      <c r="A1018" t="inlineStr" s="16">
        <is>
          <t xml:space="preserve">Calculation</t>
        </is>
      </c>
      <c r="B1018">
        <f>IF(IF(EXACT("Per audit — low",'Model inputs'!O83)="",FALSE,EXACT("Per audit — low",'Model inputs'!O83)),IF('Model inputs'!N56="","",'Model inputs'!N56),"")</f>
      </c>
    </row>
    <row r="1019">
      <c r="A1019" t="inlineStr" s="16">
        <is>
          <t xml:space="preserve">Calculation</t>
        </is>
      </c>
      <c r="B1019">
        <f>IF(IF(EXACT("Annual deal-team",'Model inputs'!O83)="",FALSE,EXACT("Annual deal-team",'Model inputs'!O83)),IF('Model inputs'!C62="","",'Model inputs'!C62),"")</f>
      </c>
    </row>
    <row r="1020">
      <c r="A1020" t="inlineStr" s="16">
        <is>
          <t xml:space="preserve">Calculation</t>
        </is>
      </c>
      <c r="B1020">
        <f>IF(IF(EXACT("Hybrid",'Model inputs'!O83)="",FALSE,EXACT("Hybrid",'Model inputs'!O83)),IF('Model inputs'!C63="","",'Model inputs'!C63),"")</f>
      </c>
    </row>
    <row r="1021">
      <c r="A1021" t="inlineStr" s="16">
        <is>
          <t xml:space="preserve">Calculation</t>
        </is>
      </c>
      <c r="B1021">
        <f>IF(IF(EXACT("Per audit — base",'Model inputs'!O83)="",FALSE,EXACT("Per audit — base",'Model inputs'!O83)),IF('Model inputs'!C64="","",'Model inputs'!C64),"")</f>
      </c>
    </row>
    <row r="1022">
      <c r="A1022" t="inlineStr" s="16">
        <is>
          <t xml:space="preserve">Calculation</t>
        </is>
      </c>
      <c r="B1022">
        <f>IF(IF(EXACT("Per audit — high",'Model inputs'!O83)="",FALSE,EXACT("Per audit — high",'Model inputs'!O83)),IF('Model inputs'!C65="","",'Model inputs'!C65),"")</f>
      </c>
    </row>
    <row r="1023">
      <c r="A1023" t="inlineStr" s="16">
        <is>
          <t xml:space="preserve">Calculation</t>
        </is>
      </c>
      <c r="B1023">
        <f>IF(IF(EXACT("Per audit — low",'Model inputs'!O83)="",FALSE,EXACT("Per audit — low",'Model inputs'!O83)),IF('Model inputs'!C66="","",'Model inputs'!C66),"")</f>
      </c>
    </row>
    <row r="1024">
      <c r="A1024" t="inlineStr" s="16">
        <is>
          <t xml:space="preserve">Calculation</t>
        </is>
      </c>
      <c r="B1024">
        <f>IF(IF(EXACT("Annual deal-team",'Model inputs'!O83)="",FALSE,EXACT("Annual deal-team",'Model inputs'!O83)),IF('Model inputs'!D62="","",'Model inputs'!D62),"")</f>
      </c>
    </row>
    <row r="1025">
      <c r="A1025" t="inlineStr" s="16">
        <is>
          <t xml:space="preserve">Calculation</t>
        </is>
      </c>
      <c r="B1025">
        <f>IF(IF(EXACT("Hybrid",'Model inputs'!O83)="",FALSE,EXACT("Hybrid",'Model inputs'!O83)),IF('Model inputs'!D63="","",'Model inputs'!D63),"")</f>
      </c>
    </row>
    <row r="1026">
      <c r="A1026" t="inlineStr" s="16">
        <is>
          <t xml:space="preserve">Calculation</t>
        </is>
      </c>
      <c r="B1026">
        <f>IF(IF(EXACT("Per audit — base",'Model inputs'!O83)="",FALSE,EXACT("Per audit — base",'Model inputs'!O83)),IF('Model inputs'!D64="","",'Model inputs'!D64),"")</f>
      </c>
    </row>
    <row r="1027">
      <c r="A1027" t="inlineStr" s="16">
        <is>
          <t xml:space="preserve">Calculation</t>
        </is>
      </c>
      <c r="B1027">
        <f>IF(IF(EXACT("Per audit — high",'Model inputs'!O83)="",FALSE,EXACT("Per audit — high",'Model inputs'!O83)),IF('Model inputs'!D65="","",'Model inputs'!D65),"")</f>
      </c>
    </row>
    <row r="1028">
      <c r="A1028" t="inlineStr" s="16">
        <is>
          <t xml:space="preserve">Calculation</t>
        </is>
      </c>
      <c r="B1028">
        <f>IF(IF(EXACT("Per audit — low",'Model inputs'!O83)="",FALSE,EXACT("Per audit — low",'Model inputs'!O83)),IF('Model inputs'!D66="","",'Model inputs'!D66),"")</f>
      </c>
    </row>
    <row r="1029">
      <c r="A1029" t="inlineStr" s="16">
        <is>
          <t xml:space="preserve">Calculation</t>
        </is>
      </c>
      <c r="B1029">
        <f>IF(IF(EXACT("Annual deal-team",'Model inputs'!O83)="",FALSE,EXACT("Annual deal-team",'Model inputs'!O83)),IF('Model inputs'!E62="","",'Model inputs'!E62),"")</f>
      </c>
    </row>
    <row r="1030">
      <c r="A1030" t="inlineStr" s="16">
        <is>
          <t xml:space="preserve">Calculation</t>
        </is>
      </c>
      <c r="B1030">
        <f>IF(IF(EXACT("Hybrid",'Model inputs'!O83)="",FALSE,EXACT("Hybrid",'Model inputs'!O83)),IF('Model inputs'!E63="","",'Model inputs'!E63),"")</f>
      </c>
    </row>
    <row r="1031">
      <c r="A1031" t="inlineStr" s="16">
        <is>
          <t xml:space="preserve">Calculation</t>
        </is>
      </c>
      <c r="B1031">
        <f>IF(IF(EXACT("Per audit — base",'Model inputs'!O83)="",FALSE,EXACT("Per audit — base",'Model inputs'!O83)),IF('Model inputs'!E64="","",'Model inputs'!E64),"")</f>
      </c>
    </row>
    <row r="1032">
      <c r="A1032" t="inlineStr" s="16">
        <is>
          <t xml:space="preserve">Calculation</t>
        </is>
      </c>
      <c r="B1032">
        <f>IF(IF(EXACT("Per audit — high",'Model inputs'!O83)="",FALSE,EXACT("Per audit — high",'Model inputs'!O83)),IF('Model inputs'!E65="","",'Model inputs'!E65),"")</f>
      </c>
    </row>
    <row r="1033">
      <c r="A1033" t="inlineStr" s="16">
        <is>
          <t xml:space="preserve">Calculation</t>
        </is>
      </c>
      <c r="B1033">
        <f>IF(IF(EXACT("Per audit — low",'Model inputs'!O83)="",FALSE,EXACT("Per audit — low",'Model inputs'!O83)),IF('Model inputs'!E66="","",'Model inputs'!E66),"")</f>
      </c>
    </row>
    <row r="1034">
      <c r="A1034" t="inlineStr" s="16">
        <is>
          <t xml:space="preserve">Calculation</t>
        </is>
      </c>
      <c r="B1034">
        <f>IF(IF(EXACT("Annual deal-team",'Model inputs'!O83)="",FALSE,EXACT("Annual deal-team",'Model inputs'!O83)),IF('Model inputs'!F62="","",'Model inputs'!F62),"")</f>
      </c>
    </row>
    <row r="1035">
      <c r="A1035" t="inlineStr" s="16">
        <is>
          <t xml:space="preserve">Calculation</t>
        </is>
      </c>
      <c r="B1035">
        <f>IF(IF(EXACT("Hybrid",'Model inputs'!O83)="",FALSE,EXACT("Hybrid",'Model inputs'!O83)),IF('Model inputs'!F63="","",'Model inputs'!F63),"")</f>
      </c>
    </row>
    <row r="1036">
      <c r="A1036" t="inlineStr" s="16">
        <is>
          <t xml:space="preserve">Calculation</t>
        </is>
      </c>
      <c r="B1036">
        <f>IF(IF(EXACT("Per audit — base",'Model inputs'!O83)="",FALSE,EXACT("Per audit — base",'Model inputs'!O83)),IF('Model inputs'!F64="","",'Model inputs'!F64),"")</f>
      </c>
    </row>
    <row r="1037">
      <c r="A1037" t="inlineStr" s="16">
        <is>
          <t xml:space="preserve">Calculation</t>
        </is>
      </c>
      <c r="B1037">
        <f>IF(IF(EXACT("Per audit — high",'Model inputs'!O83)="",FALSE,EXACT("Per audit — high",'Model inputs'!O83)),IF('Model inputs'!F65="","",'Model inputs'!F65),"")</f>
      </c>
    </row>
    <row r="1038">
      <c r="A1038" t="inlineStr" s="16">
        <is>
          <t xml:space="preserve">Calculation</t>
        </is>
      </c>
      <c r="B1038">
        <f>IF(IF(EXACT("Per audit — low",'Model inputs'!O83)="",FALSE,EXACT("Per audit — low",'Model inputs'!O83)),IF('Model inputs'!F66="","",'Model inputs'!F66),"")</f>
      </c>
    </row>
    <row r="1039">
      <c r="A1039" t="inlineStr" s="16">
        <is>
          <t xml:space="preserve">Calculation</t>
        </is>
      </c>
      <c r="B1039">
        <f>IF(IF(EXACT("Annual deal-team",'Model inputs'!O83)="",FALSE,EXACT("Annual deal-team",'Model inputs'!O83)),IF('Model inputs'!G62="","",'Model inputs'!G62),"")</f>
      </c>
    </row>
    <row r="1040">
      <c r="A1040" t="inlineStr" s="16">
        <is>
          <t xml:space="preserve">Calculation</t>
        </is>
      </c>
      <c r="B1040">
        <f>IF(IF(EXACT("Hybrid",'Model inputs'!O83)="",FALSE,EXACT("Hybrid",'Model inputs'!O83)),IF('Model inputs'!G63="","",'Model inputs'!G63),"")</f>
      </c>
    </row>
    <row r="1041">
      <c r="A1041" t="inlineStr" s="16">
        <is>
          <t xml:space="preserve">Calculation</t>
        </is>
      </c>
      <c r="B1041">
        <f>IF(IF(EXACT("Per audit — base",'Model inputs'!O83)="",FALSE,EXACT("Per audit — base",'Model inputs'!O83)),IF('Model inputs'!G64="","",'Model inputs'!G64),"")</f>
      </c>
    </row>
    <row r="1042">
      <c r="A1042" t="inlineStr" s="16">
        <is>
          <t xml:space="preserve">Calculation</t>
        </is>
      </c>
      <c r="B1042">
        <f>IF(IF(EXACT("Per audit — high",'Model inputs'!O83)="",FALSE,EXACT("Per audit — high",'Model inputs'!O83)),IF('Model inputs'!G65="","",'Model inputs'!G65),"")</f>
      </c>
    </row>
    <row r="1043">
      <c r="A1043" t="inlineStr" s="16">
        <is>
          <t xml:space="preserve">Calculation</t>
        </is>
      </c>
      <c r="B1043">
        <f>IF(IF(EXACT("Per audit — low",'Model inputs'!O83)="",FALSE,EXACT("Per audit — low",'Model inputs'!O83)),IF('Model inputs'!G66="","",'Model inputs'!G66),"")</f>
      </c>
    </row>
    <row r="1044">
      <c r="A1044" t="inlineStr" s="16">
        <is>
          <t xml:space="preserve">Calculation</t>
        </is>
      </c>
      <c r="B1044">
        <f>IF(IF(EXACT("Annual deal-team",'Model inputs'!O83)="",FALSE,EXACT("Annual deal-team",'Model inputs'!O83)),IF('Model inputs'!H62="","",'Model inputs'!H62),"")</f>
      </c>
    </row>
    <row r="1045">
      <c r="A1045" t="inlineStr" s="16">
        <is>
          <t xml:space="preserve">Calculation</t>
        </is>
      </c>
      <c r="B1045">
        <f>IF(IF(EXACT("Hybrid",'Model inputs'!O83)="",FALSE,EXACT("Hybrid",'Model inputs'!O83)),IF('Model inputs'!H63="","",'Model inputs'!H63),"")</f>
      </c>
    </row>
    <row r="1046">
      <c r="A1046" t="inlineStr" s="16">
        <is>
          <t xml:space="preserve">Calculation</t>
        </is>
      </c>
      <c r="B1046">
        <f>IF(IF(EXACT("Per audit — base",'Model inputs'!O83)="",FALSE,EXACT("Per audit — base",'Model inputs'!O83)),IF('Model inputs'!H64="","",'Model inputs'!H64),"")</f>
      </c>
    </row>
    <row r="1047">
      <c r="A1047" t="inlineStr" s="16">
        <is>
          <t xml:space="preserve">Calculation</t>
        </is>
      </c>
      <c r="B1047">
        <f>IF(IF(EXACT("Per audit — high",'Model inputs'!O83)="",FALSE,EXACT("Per audit — high",'Model inputs'!O83)),IF('Model inputs'!H65="","",'Model inputs'!H65),"")</f>
      </c>
    </row>
    <row r="1048">
      <c r="A1048" t="inlineStr" s="16">
        <is>
          <t xml:space="preserve">Calculation</t>
        </is>
      </c>
      <c r="B1048">
        <f>IF(IF(EXACT("Per audit — low",'Model inputs'!O83)="",FALSE,EXACT("Per audit — low",'Model inputs'!O83)),IF('Model inputs'!H66="","",'Model inputs'!H66),"")</f>
      </c>
    </row>
    <row r="1049">
      <c r="A1049" t="inlineStr" s="16">
        <is>
          <t xml:space="preserve">Calculation</t>
        </is>
      </c>
      <c r="B1049">
        <f>IF(IF(EXACT("Annual deal-team",'Model inputs'!O83)="",FALSE,EXACT("Annual deal-team",'Model inputs'!O83)),IF('Model inputs'!I62="","",'Model inputs'!I62),"")</f>
      </c>
    </row>
    <row r="1050">
      <c r="A1050" t="inlineStr" s="16">
        <is>
          <t xml:space="preserve">Calculation</t>
        </is>
      </c>
      <c r="B1050">
        <f>IF(IF(EXACT("Hybrid",'Model inputs'!O83)="",FALSE,EXACT("Hybrid",'Model inputs'!O83)),IF('Model inputs'!I63="","",'Model inputs'!I63),"")</f>
      </c>
    </row>
    <row r="1051">
      <c r="A1051" t="inlineStr" s="16">
        <is>
          <t xml:space="preserve">Calculation</t>
        </is>
      </c>
      <c r="B1051">
        <f>IF(IF(EXACT("Per audit — base",'Model inputs'!O83)="",FALSE,EXACT("Per audit — base",'Model inputs'!O83)),IF('Model inputs'!I64="","",'Model inputs'!I64),"")</f>
      </c>
    </row>
    <row r="1052">
      <c r="A1052" t="inlineStr" s="16">
        <is>
          <t xml:space="preserve">Calculation</t>
        </is>
      </c>
      <c r="B1052">
        <f>IF(IF(EXACT("Per audit — high",'Model inputs'!O83)="",FALSE,EXACT("Per audit — high",'Model inputs'!O83)),IF('Model inputs'!I65="","",'Model inputs'!I65),"")</f>
      </c>
    </row>
    <row r="1053">
      <c r="A1053" t="inlineStr" s="16">
        <is>
          <t xml:space="preserve">Calculation</t>
        </is>
      </c>
      <c r="B1053">
        <f>IF(IF(EXACT("Per audit — low",'Model inputs'!O83)="",FALSE,EXACT("Per audit — low",'Model inputs'!O83)),IF('Model inputs'!I66="","",'Model inputs'!I66),"")</f>
      </c>
    </row>
    <row r="1054">
      <c r="A1054" t="inlineStr" s="16">
        <is>
          <t xml:space="preserve">Calculation</t>
        </is>
      </c>
      <c r="B1054">
        <f>IF(IF(EXACT("Annual deal-team",'Model inputs'!O83)="",FALSE,EXACT("Annual deal-team",'Model inputs'!O83)),IF('Model inputs'!J62="","",'Model inputs'!J62),"")</f>
      </c>
    </row>
    <row r="1055">
      <c r="A1055" t="inlineStr" s="16">
        <is>
          <t xml:space="preserve">Calculation</t>
        </is>
      </c>
      <c r="B1055">
        <f>IF(IF(EXACT("Hybrid",'Model inputs'!O83)="",FALSE,EXACT("Hybrid",'Model inputs'!O83)),IF('Model inputs'!J63="","",'Model inputs'!J63),"")</f>
      </c>
    </row>
    <row r="1056">
      <c r="A1056" t="inlineStr" s="16">
        <is>
          <t xml:space="preserve">Calculation</t>
        </is>
      </c>
      <c r="B1056">
        <f>IF(IF(EXACT("Per audit — base",'Model inputs'!O83)="",FALSE,EXACT("Per audit — base",'Model inputs'!O83)),IF('Model inputs'!J64="","",'Model inputs'!J64),"")</f>
      </c>
    </row>
    <row r="1057">
      <c r="A1057" t="inlineStr" s="16">
        <is>
          <t xml:space="preserve">Calculation</t>
        </is>
      </c>
      <c r="B1057">
        <f>IF(IF(EXACT("Per audit — high",'Model inputs'!O83)="",FALSE,EXACT("Per audit — high",'Model inputs'!O83)),IF('Model inputs'!J65="","",'Model inputs'!J65),"")</f>
      </c>
    </row>
    <row r="1058">
      <c r="A1058" t="inlineStr" s="16">
        <is>
          <t xml:space="preserve">Calculation</t>
        </is>
      </c>
      <c r="B1058">
        <f>IF(IF(EXACT("Per audit — low",'Model inputs'!O83)="",FALSE,EXACT("Per audit — low",'Model inputs'!O83)),IF('Model inputs'!J66="","",'Model inputs'!J66),"")</f>
      </c>
    </row>
    <row r="1059">
      <c r="A1059" t="inlineStr" s="16">
        <is>
          <t xml:space="preserve">Calculation</t>
        </is>
      </c>
      <c r="B1059">
        <f>IF(IF(EXACT("Annual deal-team",'Model inputs'!O83)="",FALSE,EXACT("Annual deal-team",'Model inputs'!O83)),IF('Model inputs'!K62="","",'Model inputs'!K62),"")</f>
      </c>
    </row>
    <row r="1060">
      <c r="A1060" t="inlineStr" s="16">
        <is>
          <t xml:space="preserve">Calculation</t>
        </is>
      </c>
      <c r="B1060">
        <f>IF(IF(EXACT("Hybrid",'Model inputs'!O83)="",FALSE,EXACT("Hybrid",'Model inputs'!O83)),IF('Model inputs'!K63="","",'Model inputs'!K63),"")</f>
      </c>
    </row>
    <row r="1061">
      <c r="A1061" t="inlineStr" s="16">
        <is>
          <t xml:space="preserve">Calculation</t>
        </is>
      </c>
      <c r="B1061">
        <f>IF(IF(EXACT("Per audit — base",'Model inputs'!O83)="",FALSE,EXACT("Per audit — base",'Model inputs'!O83)),IF('Model inputs'!K64="","",'Model inputs'!K64),"")</f>
      </c>
    </row>
    <row r="1062">
      <c r="A1062" t="inlineStr" s="16">
        <is>
          <t xml:space="preserve">Calculation</t>
        </is>
      </c>
      <c r="B1062">
        <f>IF(IF(EXACT("Per audit — high",'Model inputs'!O83)="",FALSE,EXACT("Per audit — high",'Model inputs'!O83)),IF('Model inputs'!K65="","",'Model inputs'!K65),"")</f>
      </c>
    </row>
    <row r="1063">
      <c r="A1063" t="inlineStr" s="16">
        <is>
          <t xml:space="preserve">Calculation</t>
        </is>
      </c>
      <c r="B1063">
        <f>IF(IF(EXACT("Per audit — low",'Model inputs'!O83)="",FALSE,EXACT("Per audit — low",'Model inputs'!O83)),IF('Model inputs'!K66="","",'Model inputs'!K66),"")</f>
      </c>
    </row>
    <row r="1064">
      <c r="A1064" t="inlineStr" s="16">
        <is>
          <t xml:space="preserve">Calculation</t>
        </is>
      </c>
      <c r="B1064">
        <f>IF(IF(EXACT("Annual deal-team",'Model inputs'!O83)="",FALSE,EXACT("Annual deal-team",'Model inputs'!O83)),IF('Model inputs'!L62="","",'Model inputs'!L62),"")</f>
      </c>
    </row>
    <row r="1065">
      <c r="A1065" t="inlineStr" s="16">
        <is>
          <t xml:space="preserve">Calculation</t>
        </is>
      </c>
      <c r="B1065">
        <f>IF(IF(EXACT("Hybrid",'Model inputs'!O83)="",FALSE,EXACT("Hybrid",'Model inputs'!O83)),IF('Model inputs'!L63="","",'Model inputs'!L63),"")</f>
      </c>
    </row>
    <row r="1066">
      <c r="A1066" t="inlineStr" s="16">
        <is>
          <t xml:space="preserve">Calculation</t>
        </is>
      </c>
      <c r="B1066">
        <f>IF(IF(EXACT("Per audit — base",'Model inputs'!O83)="",FALSE,EXACT("Per audit — base",'Model inputs'!O83)),IF('Model inputs'!L64="","",'Model inputs'!L64),"")</f>
      </c>
    </row>
    <row r="1067">
      <c r="A1067" t="inlineStr" s="16">
        <is>
          <t xml:space="preserve">Calculation</t>
        </is>
      </c>
      <c r="B1067">
        <f>IF(IF(EXACT("Per audit — high",'Model inputs'!O83)="",FALSE,EXACT("Per audit — high",'Model inputs'!O83)),IF('Model inputs'!L65="","",'Model inputs'!L65),"")</f>
      </c>
    </row>
    <row r="1068">
      <c r="A1068" t="inlineStr" s="16">
        <is>
          <t xml:space="preserve">Calculation</t>
        </is>
      </c>
      <c r="B1068">
        <f>IF(IF(EXACT("Per audit — low",'Model inputs'!O83)="",FALSE,EXACT("Per audit — low",'Model inputs'!O83)),IF('Model inputs'!L66="","",'Model inputs'!L66),"")</f>
      </c>
    </row>
    <row r="1069">
      <c r="A1069" t="inlineStr" s="16">
        <is>
          <t xml:space="preserve">Calculation</t>
        </is>
      </c>
      <c r="B1069">
        <f>IF(IF(EXACT("Annual deal-team",'Model inputs'!O83)="",FALSE,EXACT("Annual deal-team",'Model inputs'!O83)),IF('Model inputs'!M62="","",'Model inputs'!M62),"")</f>
      </c>
    </row>
    <row r="1070">
      <c r="A1070" t="inlineStr" s="16">
        <is>
          <t xml:space="preserve">Calculation</t>
        </is>
      </c>
      <c r="B1070">
        <f>IF(IF(EXACT("Hybrid",'Model inputs'!O83)="",FALSE,EXACT("Hybrid",'Model inputs'!O83)),IF('Model inputs'!M63="","",'Model inputs'!M63),"")</f>
      </c>
    </row>
    <row r="1071">
      <c r="A1071" t="inlineStr" s="16">
        <is>
          <t xml:space="preserve">Calculation</t>
        </is>
      </c>
      <c r="B1071">
        <f>IF(IF(EXACT("Per audit — base",'Model inputs'!O83)="",FALSE,EXACT("Per audit — base",'Model inputs'!O83)),IF('Model inputs'!M64="","",'Model inputs'!M64),"")</f>
      </c>
    </row>
    <row r="1072">
      <c r="A1072" t="inlineStr" s="16">
        <is>
          <t xml:space="preserve">Calculation</t>
        </is>
      </c>
      <c r="B1072">
        <f>IF(IF(EXACT("Per audit — high",'Model inputs'!O83)="",FALSE,EXACT("Per audit — high",'Model inputs'!O83)),IF('Model inputs'!M65="","",'Model inputs'!M65),"")</f>
      </c>
    </row>
    <row r="1073">
      <c r="A1073" t="inlineStr" s="16">
        <is>
          <t xml:space="preserve">Calculation</t>
        </is>
      </c>
      <c r="B1073">
        <f>IF(IF(EXACT("Per audit — low",'Model inputs'!O83)="",FALSE,EXACT("Per audit — low",'Model inputs'!O83)),IF('Model inputs'!M66="","",'Model inputs'!M66),"")</f>
      </c>
    </row>
    <row r="1074">
      <c r="A1074" t="inlineStr" s="16">
        <is>
          <t xml:space="preserve">Calculation</t>
        </is>
      </c>
      <c r="B1074">
        <f>IF(IF(EXACT("Annual deal-team",'Model inputs'!O83)="",FALSE,EXACT("Annual deal-team",'Model inputs'!O83)),IF('Model inputs'!N62="","",'Model inputs'!N62),"")</f>
      </c>
    </row>
    <row r="1075">
      <c r="A1075" t="inlineStr" s="16">
        <is>
          <t xml:space="preserve">Calculation</t>
        </is>
      </c>
      <c r="B1075">
        <f>IF(IF(EXACT("Hybrid",'Model inputs'!O83)="",FALSE,EXACT("Hybrid",'Model inputs'!O83)),IF('Model inputs'!N63="","",'Model inputs'!N63),"")</f>
      </c>
    </row>
    <row r="1076">
      <c r="A1076" t="inlineStr" s="16">
        <is>
          <t xml:space="preserve">Calculation</t>
        </is>
      </c>
      <c r="B1076">
        <f>IF(IF(EXACT("Per audit — base",'Model inputs'!O83)="",FALSE,EXACT("Per audit — base",'Model inputs'!O83)),IF('Model inputs'!N64="","",'Model inputs'!N64),"")</f>
      </c>
    </row>
    <row r="1077">
      <c r="A1077" t="inlineStr" s="16">
        <is>
          <t xml:space="preserve">Calculation</t>
        </is>
      </c>
      <c r="B1077">
        <f>IF(IF(EXACT("Per audit — high",'Model inputs'!O83)="",FALSE,EXACT("Per audit — high",'Model inputs'!O83)),IF('Model inputs'!N65="","",'Model inputs'!N65),"")</f>
      </c>
    </row>
    <row r="1078">
      <c r="A1078" t="inlineStr" s="16">
        <is>
          <t xml:space="preserve">Calculation</t>
        </is>
      </c>
      <c r="B1078">
        <f>IF(IF(EXACT("Per audit — low",'Model inputs'!O83)="",FALSE,EXACT("Per audit — low",'Model inputs'!O83)),IF('Model inputs'!N66="","",'Model inputs'!N66),"")</f>
      </c>
    </row>
  </sheetData>
  <mergeCells count="2">
    <mergeCell ref="A1:P1"/>
    <mergeCell ref="A2:P2"/>
  </mergeCells>
</worksheet>
</file>

<file path=xl/worksheets/sheet3.xml><?xml version="1.0" encoding="utf-8"?>
<worksheet xmlns="http://schemas.openxmlformats.org/spreadsheetml/2006/main">
  <dimension ref="A1:F6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19">
        <is>
          <t xml:space="preserve">Model inputs</t>
        </is>
      </c>
      <c r="B5" t="inlineStr" s="19">
        <is>
          <t xml:space="preserve">O30</t>
        </is>
      </c>
      <c r="C5" t="inlineStr" s="19">
        <is>
          <t xml:space="preserve">Customer monthly delivered audits</t>
        </is>
      </c>
      <c r="D5" t="inlineStr" s="19">
        <is>
          <t xml:space="preserve"/>
        </is>
      </c>
      <c r="E5" t="inlineStr" s="19">
        <is>
          <t xml:space="preserve">Main Scenario</t>
        </is>
      </c>
      <c r="F5" t="inlineStr" s="19">
        <is>
          <t xml:space="preserve">It reads Pricing model, which this workbook does not contain.</t>
        </is>
      </c>
    </row>
    <row r="6">
      <c r="A6" t="inlineStr" s="19">
        <is>
          <t xml:space="preserve">Model inputs</t>
        </is>
      </c>
      <c r="B6" t="inlineStr" s="19">
        <is>
          <t xml:space="preserve">O36</t>
        </is>
      </c>
      <c r="C6" t="inlineStr" s="19">
        <is>
          <t xml:space="preserve">Customer monthly earned revenue</t>
        </is>
      </c>
      <c r="D6" t="inlineStr" s="19">
        <is>
          <t xml:space="preserve"/>
        </is>
      </c>
      <c r="E6" t="inlineStr" s="19">
        <is>
          <t xml:space="preserve">Main Scenario</t>
        </is>
      </c>
      <c r="F6" t="inlineStr" s="19">
        <is>
          <t xml:space="preserve">It reads Pricing model, which this workbook does not contain.</t>
        </is>
      </c>
    </row>
  </sheetData>
  <mergeCells count="2">
    <mergeCell ref="A1:F1"/>
    <mergeCell ref="A2:F2"/>
  </mergeCells>
</worksheet>
</file>