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ealScope scenario comparison" sheetId="1" r:id="rId1"/>
    <sheet name="Model inputs" sheetId="2" r:id="rId2"/>
    <sheet name="Export note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&quot;$&quot;#,##0.00;(&quot;$&quot;#,##0.00)"/>
    <numFmt numFmtId="165" formatCode="#,##0.###;(#,##0.###)"/>
    <numFmt numFmtId="166" formatCode="0.00%"/>
    <numFmt numFmtId="167" formatCode="yyyy-mm-dd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5" borderId="1" xfId="0" applyFill="1" applyFont="1" applyBorder="1" applyAlignment="1">
      <alignment vertical="center" horizontal="right"/>
    </xf>
    <xf numFmtId="0" fontId="3" fillId="6" borderId="0" xfId="0" applyFill="1" applyFont="1" applyAlignment="1">
      <alignment vertical="center" horizontal="left"/>
    </xf>
    <xf numFmtId="167" fontId="0" fillId="0" borderId="0" xfId="0" applyNumberFormat="1" applyAlignment="1">
      <alignment vertical="center" horizontal="right"/>
    </xf>
    <xf numFmtId="0" fontId="0" fillId="6" borderId="0" xfId="0" applyFill="1" applyAlignment="1">
      <alignment vertical="center" horizontal="left" indent="1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C1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</cols>
  <sheetData>
    <row r="1" ht="32" customHeight="1">
      <c r="A1" t="inlineStr" s="1">
        <is>
          <t xml:space="preserve">DealScope scenario comparison</t>
        </is>
      </c>
    </row>
    <row r="2" ht="20" customHeight="1">
      <c r="A2" t="inlineStr" s="2">
        <is>
          <t xml:space="preserve">DealScope — Business summary · Growth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Conservative</t>
        </is>
      </c>
    </row>
    <row r="5">
      <c r="A5" t="inlineStr" s="5">
        <is>
          <t xml:space="preserve">Forecast earned revenue</t>
        </is>
      </c>
      <c r="B5" s="6">
        <f>SUM('Model inputs'!B305,'Model inputs'!B306)</f>
        <v>390000</v>
      </c>
      <c r="C5" s="6">
        <f>SUM('Model inputs'!B307,'Model inputs'!B308)</f>
        <v>30000</v>
      </c>
    </row>
    <row r="6">
      <c r="A6" t="inlineStr" s="7">
        <is>
          <t xml:space="preserve">Forecast cash collections</t>
        </is>
      </c>
      <c r="B6" s="8">
        <f>SUM('Model inputs'!B309,'Model inputs'!B310)</f>
        <v>555000</v>
      </c>
      <c r="C6" s="8">
        <f>SUM('Model inputs'!B311,'Model inputs'!B312)</f>
        <v>30000</v>
      </c>
    </row>
    <row r="7">
      <c r="A7" t="inlineStr" s="7">
        <is>
          <t xml:space="preserve">Forecast audits</t>
        </is>
      </c>
      <c r="B7" s="9">
        <f>SUM('Model inputs'!B313,'Model inputs'!B314)</f>
        <v>390</v>
      </c>
      <c r="C7" s="9">
        <f>SUM('Model inputs'!B315,'Model inputs'!B316)</f>
        <v>40</v>
      </c>
    </row>
    <row r="8">
      <c r="A8" t="inlineStr" s="7">
        <is>
          <t xml:space="preserve">Forecast gross margin</t>
        </is>
      </c>
      <c r="B8" s="10">
        <f>IFERROR('Model inputs'!B16/'DealScope scenario comparison'!B5,"")</f>
        <v>0.90535</v>
      </c>
      <c r="C8" s="10">
        <f>IFERROR('Model inputs'!B17/'DealScope scenario comparison'!C5,"")</f>
        <v>0.8720333333333333</v>
      </c>
    </row>
    <row r="9">
      <c r="A9" t="inlineStr" s="7">
        <is>
          <t xml:space="preserve">Forecast contribution margin</t>
        </is>
      </c>
      <c r="B9" s="10">
        <f>IFERROR('Model inputs'!B14/'DealScope scenario comparison'!B5,"")</f>
        <v>0.86785</v>
      </c>
      <c r="C9" s="10">
        <f>IFERROR('Model inputs'!B15/'DealScope scenario comparison'!C5,"")</f>
        <v>0.8220333333333333</v>
      </c>
    </row>
    <row r="10">
      <c r="A10" t="inlineStr" s="7">
        <is>
          <t xml:space="preserve">Forecast net cash burn</t>
        </is>
      </c>
      <c r="B10" s="8">
        <f>SUM('Model inputs'!B317,'Model inputs'!B318)</f>
        <v>-486011.5</v>
      </c>
      <c r="C10" s="8">
        <f>SUM('Model inputs'!B319,'Model inputs'!B320)</f>
        <v>-12161</v>
      </c>
    </row>
    <row r="11">
      <c r="A11" t="inlineStr" s="7">
        <is>
          <t xml:space="preserve">Peak modeled funding need</t>
        </is>
      </c>
      <c r="B11" s="8">
        <f>MAX(IF(IF(AND('Model inputs'!B20&lt;=DATE(2026,1,1),DATE(2026,1,1)&lt;=EDATE('Model inputs'!B20,'Model inputs'!B18-1*1))="",FALSE,AND('Model inputs'!B20&lt;=DATE(2026,1,1),DATE(2026,1,1)&lt;=EDATE('Model inputs'!B20,'Model inputs'!B18-1*1))),'Model inputs'!C12,""),IF(IF(AND('Model inputs'!B20&lt;=DATE(2026,2,1),DATE(2026,2,1)&lt;=EDATE('Model inputs'!B20,'Model inputs'!B18-1*1))="",FALSE,AND('Model inputs'!B20&lt;=DATE(2026,2,1),DATE(2026,2,1)&lt;=EDATE('Model inputs'!B20,'Model inputs'!B18-1*1))),'Model inputs'!D12,""),IF(IF(AND('Model inputs'!B20&lt;=DATE(2026,3,1),DATE(2026,3,1)&lt;=EDATE('Model inputs'!B20,'Model inputs'!B18-1*1))="",FALSE,AND('Model inputs'!B20&lt;=DATE(2026,3,1),DATE(2026,3,1)&lt;=EDATE('Model inputs'!B20,'Model inputs'!B18-1*1))),'Model inputs'!E12,""),IF(IF(AND('Model inputs'!B20&lt;=DATE(2026,4,1),DATE(2026,4,1)&lt;=EDATE('Model inputs'!B20,'Model inputs'!B18-1*1))="",FALSE,AND('Model inputs'!B20&lt;=DATE(2026,4,1),DATE(2026,4,1)&lt;=EDATE('Model inputs'!B20,'Model inputs'!B18-1*1))),'Model inputs'!F12,""),IF(IF(AND('Model inputs'!B20&lt;=DATE(2026,5,1),DATE(2026,5,1)&lt;=EDATE('Model inputs'!B20,'Model inputs'!B18-1*1))="",FALSE,AND('Model inputs'!B20&lt;=DATE(2026,5,1),DATE(2026,5,1)&lt;=EDATE('Model inputs'!B20,'Model inputs'!B18-1*1))),'Model inputs'!G12,""),IF(IF(AND('Model inputs'!B20&lt;=DATE(2026,6,1),DATE(2026,6,1)&lt;=EDATE('Model inputs'!B20,'Model inputs'!B18-1*1))="",FALSE,AND('Model inputs'!B20&lt;=DATE(2026,6,1),DATE(2026,6,1)&lt;=EDATE('Model inputs'!B20,'Model inputs'!B18-1*1))),'Model inputs'!H12,""),IF(IF(AND('Model inputs'!B20&lt;=DATE(2026,7,1),DATE(2026,7,1)&lt;=EDATE('Model inputs'!B20,'Model inputs'!B18-1*1))="",FALSE,AND('Model inputs'!B20&lt;=DATE(2026,7,1),DATE(2026,7,1)&lt;=EDATE('Model inputs'!B20,'Model inputs'!B18-1*1))),'Model inputs'!I12,""),IF(IF(AND('Model inputs'!B20&lt;=DATE(2026,8,1),DATE(2026,8,1)&lt;=EDATE('Model inputs'!B20,'Model inputs'!B18-1*1))="",FALSE,AND('Model inputs'!B20&lt;=DATE(2026,8,1),DATE(2026,8,1)&lt;=EDATE('Model inputs'!B20,'Model inputs'!B18-1*1))),'Model inputs'!J12,""),IF(IF(AND('Model inputs'!B20&lt;=DATE(2026,9,1),DATE(2026,9,1)&lt;=EDATE('Model inputs'!B20,'Model inputs'!B18-1*1))="",FALSE,AND('Model inputs'!B20&lt;=DATE(2026,9,1),DATE(2026,9,1)&lt;=EDATE('Model inputs'!B20,'Model inputs'!B18-1*1))),'Model inputs'!K12,""),IF(IF(AND('Model inputs'!B20&lt;=DATE(2026,10,1),DATE(2026,10,1)&lt;=EDATE('Model inputs'!B20,'Model inputs'!B18-1*1))="",FALSE,AND('Model inputs'!B20&lt;=DATE(2026,10,1),DATE(2026,10,1)&lt;=EDATE('Model inputs'!B20,'Model inputs'!B18-1*1))),'Model inputs'!L12,""),IF(IF(AND('Model inputs'!B20&lt;=DATE(2026,11,1),DATE(2026,11,1)&lt;=EDATE('Model inputs'!B20,'Model inputs'!B18-1*1))="",FALSE,AND('Model inputs'!B20&lt;=DATE(2026,11,1),DATE(2026,11,1)&lt;=EDATE('Model inputs'!B20,'Model inputs'!B18-1*1))),'Model inputs'!M12,""),IF(IF(AND('Model inputs'!B20&lt;=DATE(2026,12,1),DATE(2026,12,1)&lt;=EDATE('Model inputs'!B20,'Model inputs'!B18-1*1))="",FALSE,AND('Model inputs'!B20&lt;=DATE(2026,12,1),DATE(2026,12,1)&lt;=EDATE('Model inputs'!B20,'Model inputs'!B18-1*1))),'Model inputs'!N12,""),IF(IF(AND('Model inputs'!B20&lt;=DATE(2027,1,1),DATE(2027,1,1)&lt;=EDATE('Model inputs'!B20,'Model inputs'!B18-1*1))="",FALSE,AND('Model inputs'!B20&lt;=DATE(2027,1,1),DATE(2027,1,1)&lt;=EDATE('Model inputs'!B20,'Model inputs'!B18-1*1))),'Model inputs'!O12,""),IF(IF(AND('Model inputs'!B20&lt;=DATE(2027,2,1),DATE(2027,2,1)&lt;=EDATE('Model inputs'!B20,'Model inputs'!B18-1*1))="",FALSE,AND('Model inputs'!B20&lt;=DATE(2027,2,1),DATE(2027,2,1)&lt;=EDATE('Model inputs'!B20,'Model inputs'!B18-1*1))),'Model inputs'!P12,""),IF(IF(AND('Model inputs'!B20&lt;=DATE(2027,3,1),DATE(2027,3,1)&lt;=EDATE('Model inputs'!B20,'Model inputs'!B18-1*1))="",FALSE,AND('Model inputs'!B20&lt;=DATE(2027,3,1),DATE(2027,3,1)&lt;=EDATE('Model inputs'!B20,'Model inputs'!B18-1*1))),'Model inputs'!Q12,""),IF(IF(AND('Model inputs'!B20&lt;=DATE(2027,4,1),DATE(2027,4,1)&lt;=EDATE('Model inputs'!B20,'Model inputs'!B18-1*1))="",FALSE,AND('Model inputs'!B20&lt;=DATE(2027,4,1),DATE(2027,4,1)&lt;=EDATE('Model inputs'!B20,'Model inputs'!B18-1*1))),'Model inputs'!R12,""),IF(IF(AND('Model inputs'!B20&lt;=DATE(2027,5,1),DATE(2027,5,1)&lt;=EDATE('Model inputs'!B20,'Model inputs'!B18-1*1))="",FALSE,AND('Model inputs'!B20&lt;=DATE(2027,5,1),DATE(2027,5,1)&lt;=EDATE('Model inputs'!B20,'Model inputs'!B18-1*1))),'Model inputs'!S12,""),IF(IF(AND('Model inputs'!B20&lt;=DATE(2027,6,1),DATE(2027,6,1)&lt;=EDATE('Model inputs'!B20,'Model inputs'!B18-1*1))="",FALSE,AND('Model inputs'!B20&lt;=DATE(2027,6,1),DATE(2027,6,1)&lt;=EDATE('Model inputs'!B20,'Model inputs'!B18-1*1))),'Model inputs'!T12,""),IF(IF(AND('Model inputs'!B20&lt;=DATE(2027,7,1),DATE(2027,7,1)&lt;=EDATE('Model inputs'!B20,'Model inputs'!B18-1*1))="",FALSE,AND('Model inputs'!B20&lt;=DATE(2027,7,1),DATE(2027,7,1)&lt;=EDATE('Model inputs'!B20,'Model inputs'!B18-1*1))),'Model inputs'!U12,""),IF(IF(AND('Model inputs'!B20&lt;=DATE(2027,8,1),DATE(2027,8,1)&lt;=EDATE('Model inputs'!B20,'Model inputs'!B18-1*1))="",FALSE,AND('Model inputs'!B20&lt;=DATE(2027,8,1),DATE(2027,8,1)&lt;=EDATE('Model inputs'!B20,'Model inputs'!B18-1*1))),'Model inputs'!V12,""),IF(IF(AND('Model inputs'!B20&lt;=DATE(2027,9,1),DATE(2027,9,1)&lt;=EDATE('Model inputs'!B20,'Model inputs'!B18-1*1))="",FALSE,AND('Model inputs'!B20&lt;=DATE(2027,9,1),DATE(2027,9,1)&lt;=EDATE('Model inputs'!B20,'Model inputs'!B18-1*1))),'Model inputs'!W12,""),IF(IF(AND('Model inputs'!B20&lt;=DATE(2027,10,1),DATE(2027,10,1)&lt;=EDATE('Model inputs'!B20,'Model inputs'!B18-1*1))="",FALSE,AND('Model inputs'!B20&lt;=DATE(2027,10,1),DATE(2027,10,1)&lt;=EDATE('Model inputs'!B20,'Model inputs'!B18-1*1))),'Model inputs'!X12,""),IF(IF(AND('Model inputs'!B20&lt;=DATE(2027,11,1),DATE(2027,11,1)&lt;=EDATE('Model inputs'!B20,'Model inputs'!B18-1*1))="",FALSE,AND('Model inputs'!B20&lt;=DATE(2027,11,1),DATE(2027,11,1)&lt;=EDATE('Model inputs'!B20,'Model inputs'!B18-1*1))),'Model inputs'!Y12,""),IF(IF(AND('Model inputs'!B20&lt;=DATE(2027,12,1),DATE(2027,12,1)&lt;=EDATE('Model inputs'!B20,'Model inputs'!B18-1*1))="",FALSE,AND('Model inputs'!B20&lt;=DATE(2027,12,1),DATE(2027,12,1)&lt;=EDATE('Model inputs'!B20,'Model inputs'!B18-1*1))),'Model inputs'!Z12,""))</f>
        <v>0</v>
      </c>
      <c r="C11" s="8">
        <f>MAX(IF(IF(AND('Model inputs'!B21&lt;=DATE(2026,1,1),DATE(2026,1,1)&lt;=EDATE('Model inputs'!B21,'Model inputs'!B19-1*1))="",FALSE,AND('Model inputs'!B21&lt;=DATE(2026,1,1),DATE(2026,1,1)&lt;=EDATE('Model inputs'!B21,'Model inputs'!B19-1*1))),'Model inputs'!C13,""),IF(IF(AND('Model inputs'!B21&lt;=DATE(2026,2,1),DATE(2026,2,1)&lt;=EDATE('Model inputs'!B21,'Model inputs'!B19-1*1))="",FALSE,AND('Model inputs'!B21&lt;=DATE(2026,2,1),DATE(2026,2,1)&lt;=EDATE('Model inputs'!B21,'Model inputs'!B19-1*1))),'Model inputs'!D13,""),IF(IF(AND('Model inputs'!B21&lt;=DATE(2026,3,1),DATE(2026,3,1)&lt;=EDATE('Model inputs'!B21,'Model inputs'!B19-1*1))="",FALSE,AND('Model inputs'!B21&lt;=DATE(2026,3,1),DATE(2026,3,1)&lt;=EDATE('Model inputs'!B21,'Model inputs'!B19-1*1))),'Model inputs'!E13,""),IF(IF(AND('Model inputs'!B21&lt;=DATE(2026,4,1),DATE(2026,4,1)&lt;=EDATE('Model inputs'!B21,'Model inputs'!B19-1*1))="",FALSE,AND('Model inputs'!B21&lt;=DATE(2026,4,1),DATE(2026,4,1)&lt;=EDATE('Model inputs'!B21,'Model inputs'!B19-1*1))),'Model inputs'!F13,""),IF(IF(AND('Model inputs'!B21&lt;=DATE(2026,5,1),DATE(2026,5,1)&lt;=EDATE('Model inputs'!B21,'Model inputs'!B19-1*1))="",FALSE,AND('Model inputs'!B21&lt;=DATE(2026,5,1),DATE(2026,5,1)&lt;=EDATE('Model inputs'!B21,'Model inputs'!B19-1*1))),'Model inputs'!G13,""),IF(IF(AND('Model inputs'!B21&lt;=DATE(2026,6,1),DATE(2026,6,1)&lt;=EDATE('Model inputs'!B21,'Model inputs'!B19-1*1))="",FALSE,AND('Model inputs'!B21&lt;=DATE(2026,6,1),DATE(2026,6,1)&lt;=EDATE('Model inputs'!B21,'Model inputs'!B19-1*1))),'Model inputs'!H13,""),IF(IF(AND('Model inputs'!B21&lt;=DATE(2026,7,1),DATE(2026,7,1)&lt;=EDATE('Model inputs'!B21,'Model inputs'!B19-1*1))="",FALSE,AND('Model inputs'!B21&lt;=DATE(2026,7,1),DATE(2026,7,1)&lt;=EDATE('Model inputs'!B21,'Model inputs'!B19-1*1))),'Model inputs'!I13,""),IF(IF(AND('Model inputs'!B21&lt;=DATE(2026,8,1),DATE(2026,8,1)&lt;=EDATE('Model inputs'!B21,'Model inputs'!B19-1*1))="",FALSE,AND('Model inputs'!B21&lt;=DATE(2026,8,1),DATE(2026,8,1)&lt;=EDATE('Model inputs'!B21,'Model inputs'!B19-1*1))),'Model inputs'!J13,""),IF(IF(AND('Model inputs'!B21&lt;=DATE(2026,9,1),DATE(2026,9,1)&lt;=EDATE('Model inputs'!B21,'Model inputs'!B19-1*1))="",FALSE,AND('Model inputs'!B21&lt;=DATE(2026,9,1),DATE(2026,9,1)&lt;=EDATE('Model inputs'!B21,'Model inputs'!B19-1*1))),'Model inputs'!K13,""),IF(IF(AND('Model inputs'!B21&lt;=DATE(2026,10,1),DATE(2026,10,1)&lt;=EDATE('Model inputs'!B21,'Model inputs'!B19-1*1))="",FALSE,AND('Model inputs'!B21&lt;=DATE(2026,10,1),DATE(2026,10,1)&lt;=EDATE('Model inputs'!B21,'Model inputs'!B19-1*1))),'Model inputs'!L13,""),IF(IF(AND('Model inputs'!B21&lt;=DATE(2026,11,1),DATE(2026,11,1)&lt;=EDATE('Model inputs'!B21,'Model inputs'!B19-1*1))="",FALSE,AND('Model inputs'!B21&lt;=DATE(2026,11,1),DATE(2026,11,1)&lt;=EDATE('Model inputs'!B21,'Model inputs'!B19-1*1))),'Model inputs'!M13,""),IF(IF(AND('Model inputs'!B21&lt;=DATE(2026,12,1),DATE(2026,12,1)&lt;=EDATE('Model inputs'!B21,'Model inputs'!B19-1*1))="",FALSE,AND('Model inputs'!B21&lt;=DATE(2026,12,1),DATE(2026,12,1)&lt;=EDATE('Model inputs'!B21,'Model inputs'!B19-1*1))),'Model inputs'!N13,""),IF(IF(AND('Model inputs'!B21&lt;=DATE(2027,1,1),DATE(2027,1,1)&lt;=EDATE('Model inputs'!B21,'Model inputs'!B19-1*1))="",FALSE,AND('Model inputs'!B21&lt;=DATE(2027,1,1),DATE(2027,1,1)&lt;=EDATE('Model inputs'!B21,'Model inputs'!B19-1*1))),'Model inputs'!O13,""),IF(IF(AND('Model inputs'!B21&lt;=DATE(2027,2,1),DATE(2027,2,1)&lt;=EDATE('Model inputs'!B21,'Model inputs'!B19-1*1))="",FALSE,AND('Model inputs'!B21&lt;=DATE(2027,2,1),DATE(2027,2,1)&lt;=EDATE('Model inputs'!B21,'Model inputs'!B19-1*1))),'Model inputs'!P13,""),IF(IF(AND('Model inputs'!B21&lt;=DATE(2027,3,1),DATE(2027,3,1)&lt;=EDATE('Model inputs'!B21,'Model inputs'!B19-1*1))="",FALSE,AND('Model inputs'!B21&lt;=DATE(2027,3,1),DATE(2027,3,1)&lt;=EDATE('Model inputs'!B21,'Model inputs'!B19-1*1))),'Model inputs'!Q13,""),IF(IF(AND('Model inputs'!B21&lt;=DATE(2027,4,1),DATE(2027,4,1)&lt;=EDATE('Model inputs'!B21,'Model inputs'!B19-1*1))="",FALSE,AND('Model inputs'!B21&lt;=DATE(2027,4,1),DATE(2027,4,1)&lt;=EDATE('Model inputs'!B21,'Model inputs'!B19-1*1))),'Model inputs'!R13,""),IF(IF(AND('Model inputs'!B21&lt;=DATE(2027,5,1),DATE(2027,5,1)&lt;=EDATE('Model inputs'!B21,'Model inputs'!B19-1*1))="",FALSE,AND('Model inputs'!B21&lt;=DATE(2027,5,1),DATE(2027,5,1)&lt;=EDATE('Model inputs'!B21,'Model inputs'!B19-1*1))),'Model inputs'!S13,""),IF(IF(AND('Model inputs'!B21&lt;=DATE(2027,6,1),DATE(2027,6,1)&lt;=EDATE('Model inputs'!B21,'Model inputs'!B19-1*1))="",FALSE,AND('Model inputs'!B21&lt;=DATE(2027,6,1),DATE(2027,6,1)&lt;=EDATE('Model inputs'!B21,'Model inputs'!B19-1*1))),'Model inputs'!T13,""),IF(IF(AND('Model inputs'!B21&lt;=DATE(2027,7,1),DATE(2027,7,1)&lt;=EDATE('Model inputs'!B21,'Model inputs'!B19-1*1))="",FALSE,AND('Model inputs'!B21&lt;=DATE(2027,7,1),DATE(2027,7,1)&lt;=EDATE('Model inputs'!B21,'Model inputs'!B19-1*1))),'Model inputs'!U13,""),IF(IF(AND('Model inputs'!B21&lt;=DATE(2027,8,1),DATE(2027,8,1)&lt;=EDATE('Model inputs'!B21,'Model inputs'!B19-1*1))="",FALSE,AND('Model inputs'!B21&lt;=DATE(2027,8,1),DATE(2027,8,1)&lt;=EDATE('Model inputs'!B21,'Model inputs'!B19-1*1))),'Model inputs'!V13,""),IF(IF(AND('Model inputs'!B21&lt;=DATE(2027,9,1),DATE(2027,9,1)&lt;=EDATE('Model inputs'!B21,'Model inputs'!B19-1*1))="",FALSE,AND('Model inputs'!B21&lt;=DATE(2027,9,1),DATE(2027,9,1)&lt;=EDATE('Model inputs'!B21,'Model inputs'!B19-1*1))),'Model inputs'!W13,""),IF(IF(AND('Model inputs'!B21&lt;=DATE(2027,10,1),DATE(2027,10,1)&lt;=EDATE('Model inputs'!B21,'Model inputs'!B19-1*1))="",FALSE,AND('Model inputs'!B21&lt;=DATE(2027,10,1),DATE(2027,10,1)&lt;=EDATE('Model inputs'!B21,'Model inputs'!B19-1*1))),'Model inputs'!X13,""),IF(IF(AND('Model inputs'!B21&lt;=DATE(2027,11,1),DATE(2027,11,1)&lt;=EDATE('Model inputs'!B21,'Model inputs'!B19-1*1))="",FALSE,AND('Model inputs'!B21&lt;=DATE(2027,11,1),DATE(2027,11,1)&lt;=EDATE('Model inputs'!B21,'Model inputs'!B19-1*1))),'Model inputs'!Y13,""),IF(IF(AND('Model inputs'!B21&lt;=DATE(2027,12,1),DATE(2027,12,1)&lt;=EDATE('Model inputs'!B21,'Model inputs'!B19-1*1))="",FALSE,AND('Model inputs'!B21&lt;=DATE(2027,12,1),DATE(2027,12,1)&lt;=EDATE('Model inputs'!B21,'Model inputs'!B19-1*1))),'Model inputs'!Z13,""))</f>
        <v>1500</v>
      </c>
    </row>
    <row r="12">
      <c r="A12" t="inlineStr" s="5">
        <is>
          <t xml:space="preserve">Conditional runway months</t>
        </is>
      </c>
      <c r="B12" t="str" s="11">
        <f>IF(IF(IF(IFERROR(IF(ISERROR('Model inputs'!B10=1),'Model inputs'!B10=1,IF('Model inputs'!B10="","",'Model inputs'!B10=1))=FALSE,FALSE),FALSE,IF(IFERROR(IF(ISERROR('Model inputs'!B8&gt;0),'Model inputs'!B8&gt;0,IF('Model inputs'!B8="","",'Model inputs'!B8&gt;0))=FALSE,FALSE),FALSE,IF(OR(IF(ISERROR('Model inputs'!B10=1),'Model inputs'!B10=1,IF('Model inputs'!B10="","",'Model inputs'!B10=1))="",IF(ISERROR('Model inputs'!B8&gt;0),'Model inputs'!B8&gt;0,IF('Model inputs'!B8="","",'Model inputs'!B8&gt;0))=""),"",AND(IF(ISERROR('Model inputs'!B10=1),'Model inputs'!B10=1,IF('Model inputs'!B10="","",'Model inputs'!B10=1)),IF(ISERROR('Model inputs'!B8&gt;0),'Model inputs'!B8&gt;0,IF('Model inputs'!B8="","",'Model inputs'!B8&gt;0))))))="",FALSE,IF(IFERROR(IF(ISERROR('Model inputs'!B10=1),'Model inputs'!B10=1,IF('Model inputs'!B10="","",'Model inputs'!B10=1))=FALSE,FALSE),FALSE,IF(IFERROR(IF(ISERROR('Model inputs'!B8&gt;0),'Model inputs'!B8&gt;0,IF('Model inputs'!B8="","",'Model inputs'!B8&gt;0))=FALSE,FALSE),FALSE,IF(OR(IF(ISERROR('Model inputs'!B10=1),'Model inputs'!B10=1,IF('Model inputs'!B10="","",'Model inputs'!B10=1))="",IF(ISERROR('Model inputs'!B8&gt;0),'Model inputs'!B8&gt;0,IF('Model inputs'!B8="","",'Model inputs'!B8&gt;0))=""),"",AND(IF(ISERROR('Model inputs'!B10=1),'Model inputs'!B10=1,IF('Model inputs'!B10="","",'Model inputs'!B10=1)),IF(ISERROR('Model inputs'!B8&gt;0),'Model inputs'!B8&gt;0,IF('Model inputs'!B8="","",'Model inputs'!B8&gt;0))))))),IF('Model inputs'!B6="",0,'Model inputs'!B6)/'Model inputs'!B8,"")</f>
        <v/>
      </c>
      <c r="C12" t="str" s="11">
        <f>IF(IF(IF(IFERROR(IF(ISERROR('Model inputs'!B11=1),'Model inputs'!B11=1,IF('Model inputs'!B11="","",'Model inputs'!B11=1))=FALSE,FALSE),FALSE,IF(IFERROR(IF(ISERROR('Model inputs'!B9&gt;0),'Model inputs'!B9&gt;0,IF('Model inputs'!B9="","",'Model inputs'!B9&gt;0))=FALSE,FALSE),FALSE,IF(OR(IF(ISERROR('Model inputs'!B11=1),'Model inputs'!B11=1,IF('Model inputs'!B11="","",'Model inputs'!B11=1))="",IF(ISERROR('Model inputs'!B9&gt;0),'Model inputs'!B9&gt;0,IF('Model inputs'!B9="","",'Model inputs'!B9&gt;0))=""),"",AND(IF(ISERROR('Model inputs'!B11=1),'Model inputs'!B11=1,IF('Model inputs'!B11="","",'Model inputs'!B11=1)),IF(ISERROR('Model inputs'!B9&gt;0),'Model inputs'!B9&gt;0,IF('Model inputs'!B9="","",'Model inputs'!B9&gt;0))))))="",FALSE,IF(IFERROR(IF(ISERROR('Model inputs'!B11=1),'Model inputs'!B11=1,IF('Model inputs'!B11="","",'Model inputs'!B11=1))=FALSE,FALSE),FALSE,IF(IFERROR(IF(ISERROR('Model inputs'!B9&gt;0),'Model inputs'!B9&gt;0,IF('Model inputs'!B9="","",'Model inputs'!B9&gt;0))=FALSE,FALSE),FALSE,IF(OR(IF(ISERROR('Model inputs'!B11=1),'Model inputs'!B11=1,IF('Model inputs'!B11="","",'Model inputs'!B11=1))="",IF(ISERROR('Model inputs'!B9&gt;0),'Model inputs'!B9&gt;0,IF('Model inputs'!B9="","",'Model inputs'!B9&gt;0))=""),"",AND(IF(ISERROR('Model inputs'!B11=1),'Model inputs'!B11=1,IF('Model inputs'!B11="","",'Model inputs'!B11=1)),IF(ISERROR('Model inputs'!B9&gt;0),'Model inputs'!B9&gt;0,IF('Model inputs'!B9="","",'Model inputs'!B9&gt;0))))))),IF('Model inputs'!B7="",0,'Model inputs'!B7)/'Model inputs'!B9,"")</f>
        <v/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dimension ref="A1:AA1228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2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  <c r="C5" t="inlineStr" s="13">
        <is>
          <t xml:space="preserve">2026-01</t>
        </is>
      </c>
      <c r="D5" t="inlineStr" s="4">
        <is>
          <t xml:space="preserve">2026-02</t>
        </is>
      </c>
      <c r="E5" t="inlineStr" s="4">
        <is>
          <t xml:space="preserve">2026-03</t>
        </is>
      </c>
      <c r="F5" t="inlineStr" s="13">
        <is>
          <t xml:space="preserve">2026-04</t>
        </is>
      </c>
      <c r="G5" t="inlineStr" s="4">
        <is>
          <t xml:space="preserve">2026-05</t>
        </is>
      </c>
      <c r="H5" t="inlineStr" s="4">
        <is>
          <t xml:space="preserve">2026-06</t>
        </is>
      </c>
      <c r="I5" t="inlineStr" s="13">
        <is>
          <t xml:space="preserve">2026-07</t>
        </is>
      </c>
      <c r="J5" t="inlineStr" s="4">
        <is>
          <t xml:space="preserve">2026-08</t>
        </is>
      </c>
      <c r="K5" t="inlineStr" s="4">
        <is>
          <t xml:space="preserve">2026-09</t>
        </is>
      </c>
      <c r="L5" t="inlineStr" s="13">
        <is>
          <t xml:space="preserve">2026-10</t>
        </is>
      </c>
      <c r="M5" t="inlineStr" s="4">
        <is>
          <t xml:space="preserve">2026-11</t>
        </is>
      </c>
      <c r="N5" t="inlineStr" s="4">
        <is>
          <t xml:space="preserve">2026-12</t>
        </is>
      </c>
      <c r="O5" t="inlineStr" s="13">
        <is>
          <t xml:space="preserve">2027-01</t>
        </is>
      </c>
      <c r="P5" t="inlineStr" s="4">
        <is>
          <t xml:space="preserve">2027-02</t>
        </is>
      </c>
      <c r="Q5" t="inlineStr" s="4">
        <is>
          <t xml:space="preserve">2027-03</t>
        </is>
      </c>
      <c r="R5" t="inlineStr" s="13">
        <is>
          <t xml:space="preserve">2027-04</t>
        </is>
      </c>
      <c r="S5" t="inlineStr" s="4">
        <is>
          <t xml:space="preserve">2027-05</t>
        </is>
      </c>
      <c r="T5" t="inlineStr" s="4">
        <is>
          <t xml:space="preserve">2027-06</t>
        </is>
      </c>
      <c r="U5" t="inlineStr" s="13">
        <is>
          <t xml:space="preserve">2027-07</t>
        </is>
      </c>
      <c r="V5" t="inlineStr" s="4">
        <is>
          <t xml:space="preserve">2027-08</t>
        </is>
      </c>
      <c r="W5" t="inlineStr" s="4">
        <is>
          <t xml:space="preserve">2027-09</t>
        </is>
      </c>
      <c r="X5" t="inlineStr" s="13">
        <is>
          <t xml:space="preserve">2027-10</t>
        </is>
      </c>
      <c r="Y5" t="inlineStr" s="4">
        <is>
          <t xml:space="preserve">2027-11</t>
        </is>
      </c>
      <c r="Z5" t="inlineStr" s="4">
        <is>
          <t xml:space="preserve">2027-12</t>
        </is>
      </c>
      <c r="AA5" t="inlineStr" s="4">
        <is>
          <t xml:space="preserve">Value</t>
        </is>
      </c>
    </row>
    <row r="6">
      <c r="A6" t="inlineStr" s="14">
        <is>
          <t xml:space="preserve">Available opening cash · Growth</t>
        </is>
      </c>
      <c r="B6" t="str" s="8">
        <f>""</f>
        <v/>
      </c>
    </row>
    <row r="7">
      <c r="A7" t="inlineStr" s="14">
        <is>
          <t xml:space="preserve">Available opening cash · Conservative</t>
        </is>
      </c>
      <c r="B7" t="str" s="8">
        <f>""</f>
        <v/>
      </c>
    </row>
    <row r="8">
      <c r="A8" t="inlineStr" s="14">
        <is>
          <t xml:space="preserve">Average monthly net cash burn · Growth</t>
        </is>
      </c>
      <c r="B8" s="8">
        <f>'DealScope scenario comparison'!B10/'Model inputs'!B18</f>
        <v>-40500.958333333336</v>
      </c>
    </row>
    <row r="9">
      <c r="A9" t="inlineStr" s="14">
        <is>
          <t xml:space="preserve">Average monthly net cash burn · Conservative</t>
        </is>
      </c>
      <c r="B9" s="8">
        <f>'DealScope scenario comparison'!C10/'Model inputs'!B19</f>
        <v>-1013.4166666666666</v>
      </c>
    </row>
    <row r="10">
      <c r="A10" t="inlineStr" s="14">
        <is>
          <t xml:space="preserve">Cash supplied switch · Growth</t>
        </is>
      </c>
      <c r="B10" s="9">
        <f>0</f>
        <v>0</v>
      </c>
    </row>
    <row r="11">
      <c r="A11" t="inlineStr" s="14">
        <is>
          <t xml:space="preserve">Cash supplied switch · Conservative</t>
        </is>
      </c>
      <c r="B11" s="9">
        <f>0</f>
        <v>0</v>
      </c>
    </row>
    <row r="12">
      <c r="A12" t="inlineStr" s="14">
        <is>
          <t xml:space="preserve">Cumulative funding gap · Growth</t>
        </is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f>MAX(IF(IF(IF(IF(ISERROR('Model inputs'!L84=1),'Model inputs'!L84=1,IF('Model inputs'!L84="","",'Model inputs'!L84=1))="",FALSE,IF(ISERROR('Model inputs'!L84=1),'Model inputs'!L84=1,IF('Model inputs'!L84="","",'Model inputs'!L84=1))),0,IF('Model inputs'!K54="","",'Model inputs'!K54))="",0,IF(IF(IF(ISERROR('Model inputs'!L84=1),'Model inputs'!L84=1,IF('Model inputs'!L84="","",'Model inputs'!L84=1))="",FALSE,IF(ISERROR('Model inputs'!L84=1),'Model inputs'!L84=1,IF('Model inputs'!L84="","",'Model inputs'!L84=1))),0,IF('Model inputs'!K54="","",'Model inputs'!K54)))+'Model inputs'!L28,0)</f>
        <v>0</v>
      </c>
      <c r="M12" s="8">
        <f>MAX(IF(IF(IF(IF(ISERROR('Model inputs'!M84=1),'Model inputs'!M84=1,IF('Model inputs'!M84="","",'Model inputs'!M84=1))="",FALSE,IF(ISERROR('Model inputs'!M84=1),'Model inputs'!M84=1,IF('Model inputs'!M84="","",'Model inputs'!M84=1))),0,IF('Model inputs'!L54="","",'Model inputs'!L54))="",0,IF(IF(IF(ISERROR('Model inputs'!M84=1),'Model inputs'!M84=1,IF('Model inputs'!M84="","",'Model inputs'!M84=1))="",FALSE,IF(ISERROR('Model inputs'!M84=1),'Model inputs'!M84=1,IF('Model inputs'!M84="","",'Model inputs'!M84=1))),0,IF('Model inputs'!L54="","",'Model inputs'!L54)))+'Model inputs'!M28,0)</f>
        <v>0</v>
      </c>
      <c r="N12" s="8">
        <f>MAX(IF(IF(IF(IF(ISERROR('Model inputs'!N84=1),'Model inputs'!N84=1,IF('Model inputs'!N84="","",'Model inputs'!N84=1))="",FALSE,IF(ISERROR('Model inputs'!N84=1),'Model inputs'!N84=1,IF('Model inputs'!N84="","",'Model inputs'!N84=1))),0,IF('Model inputs'!M54="","",'Model inputs'!M54))="",0,IF(IF(IF(ISERROR('Model inputs'!N84=1),'Model inputs'!N84=1,IF('Model inputs'!N84="","",'Model inputs'!N84=1))="",FALSE,IF(ISERROR('Model inputs'!N84=1),'Model inputs'!N84=1,IF('Model inputs'!N84="","",'Model inputs'!N84=1))),0,IF('Model inputs'!M54="","",'Model inputs'!M54)))+'Model inputs'!N28,0)</f>
        <v>0</v>
      </c>
      <c r="O12" s="8">
        <f>MAX(IF(IF(IF(IF(ISERROR('Model inputs'!O84=1),'Model inputs'!O84=1,IF('Model inputs'!O84="","",'Model inputs'!O84=1))="",FALSE,IF(ISERROR('Model inputs'!O84=1),'Model inputs'!O84=1,IF('Model inputs'!O84="","",'Model inputs'!O84=1))),0,IF('Model inputs'!N54="","",'Model inputs'!N54))="",0,IF(IF(IF(ISERROR('Model inputs'!O84=1),'Model inputs'!O84=1,IF('Model inputs'!O84="","",'Model inputs'!O84=1))="",FALSE,IF(ISERROR('Model inputs'!O84=1),'Model inputs'!O84=1,IF('Model inputs'!O84="","",'Model inputs'!O84=1))),0,IF('Model inputs'!N54="","",'Model inputs'!N54)))+'Model inputs'!O28,0)</f>
        <v>0</v>
      </c>
      <c r="P12" s="8">
        <f>MAX(IF(IF(IF(IF(ISERROR('Model inputs'!P84=1),'Model inputs'!P84=1,IF('Model inputs'!P84="","",'Model inputs'!P84=1))="",FALSE,IF(ISERROR('Model inputs'!P84=1),'Model inputs'!P84=1,IF('Model inputs'!P84="","",'Model inputs'!P84=1))),0,IF('Model inputs'!O54="","",'Model inputs'!O54))="",0,IF(IF(IF(ISERROR('Model inputs'!P84=1),'Model inputs'!P84=1,IF('Model inputs'!P84="","",'Model inputs'!P84=1))="",FALSE,IF(ISERROR('Model inputs'!P84=1),'Model inputs'!P84=1,IF('Model inputs'!P84="","",'Model inputs'!P84=1))),0,IF('Model inputs'!O54="","",'Model inputs'!O54)))+'Model inputs'!P28,0)</f>
        <v>0</v>
      </c>
      <c r="Q12" s="8">
        <f>MAX(IF(IF(IF(IF(ISERROR('Model inputs'!Q84=1),'Model inputs'!Q84=1,IF('Model inputs'!Q84="","",'Model inputs'!Q84=1))="",FALSE,IF(ISERROR('Model inputs'!Q84=1),'Model inputs'!Q84=1,IF('Model inputs'!Q84="","",'Model inputs'!Q84=1))),0,IF('Model inputs'!P54="","",'Model inputs'!P54))="",0,IF(IF(IF(ISERROR('Model inputs'!Q84=1),'Model inputs'!Q84=1,IF('Model inputs'!Q84="","",'Model inputs'!Q84=1))="",FALSE,IF(ISERROR('Model inputs'!Q84=1),'Model inputs'!Q84=1,IF('Model inputs'!Q84="","",'Model inputs'!Q84=1))),0,IF('Model inputs'!P54="","",'Model inputs'!P54)))+'Model inputs'!Q28,0)</f>
        <v>0</v>
      </c>
      <c r="R12" s="8">
        <f>MAX(IF(IF(IF(IF(ISERROR('Model inputs'!R84=1),'Model inputs'!R84=1,IF('Model inputs'!R84="","",'Model inputs'!R84=1))="",FALSE,IF(ISERROR('Model inputs'!R84=1),'Model inputs'!R84=1,IF('Model inputs'!R84="","",'Model inputs'!R84=1))),0,IF('Model inputs'!Q54="","",'Model inputs'!Q54))="",0,IF(IF(IF(ISERROR('Model inputs'!R84=1),'Model inputs'!R84=1,IF('Model inputs'!R84="","",'Model inputs'!R84=1))="",FALSE,IF(ISERROR('Model inputs'!R84=1),'Model inputs'!R84=1,IF('Model inputs'!R84="","",'Model inputs'!R84=1))),0,IF('Model inputs'!Q54="","",'Model inputs'!Q54)))+'Model inputs'!R28,0)</f>
        <v>0</v>
      </c>
      <c r="S12" s="8">
        <f>MAX(IF(IF(IF(IF(ISERROR('Model inputs'!S84=1),'Model inputs'!S84=1,IF('Model inputs'!S84="","",'Model inputs'!S84=1))="",FALSE,IF(ISERROR('Model inputs'!S84=1),'Model inputs'!S84=1,IF('Model inputs'!S84="","",'Model inputs'!S84=1))),0,IF('Model inputs'!R54="","",'Model inputs'!R54))="",0,IF(IF(IF(ISERROR('Model inputs'!S84=1),'Model inputs'!S84=1,IF('Model inputs'!S84="","",'Model inputs'!S84=1))="",FALSE,IF(ISERROR('Model inputs'!S84=1),'Model inputs'!S84=1,IF('Model inputs'!S84="","",'Model inputs'!S84=1))),0,IF('Model inputs'!R54="","",'Model inputs'!R54)))+'Model inputs'!S28,0)</f>
        <v>0</v>
      </c>
      <c r="T12" s="8">
        <f>MAX(IF(IF(IF(IF(ISERROR('Model inputs'!T84=1),'Model inputs'!T84=1,IF('Model inputs'!T84="","",'Model inputs'!T84=1))="",FALSE,IF(ISERROR('Model inputs'!T84=1),'Model inputs'!T84=1,IF('Model inputs'!T84="","",'Model inputs'!T84=1))),0,IF('Model inputs'!S54="","",'Model inputs'!S54))="",0,IF(IF(IF(ISERROR('Model inputs'!T84=1),'Model inputs'!T84=1,IF('Model inputs'!T84="","",'Model inputs'!T84=1))="",FALSE,IF(ISERROR('Model inputs'!T84=1),'Model inputs'!T84=1,IF('Model inputs'!T84="","",'Model inputs'!T84=1))),0,IF('Model inputs'!S54="","",'Model inputs'!S54)))+'Model inputs'!T28,0)</f>
        <v>0</v>
      </c>
      <c r="U12" s="8">
        <f>MAX(IF(IF(IF(IF(ISERROR('Model inputs'!U84=1),'Model inputs'!U84=1,IF('Model inputs'!U84="","",'Model inputs'!U84=1))="",FALSE,IF(ISERROR('Model inputs'!U84=1),'Model inputs'!U84=1,IF('Model inputs'!U84="","",'Model inputs'!U84=1))),0,IF('Model inputs'!T54="","",'Model inputs'!T54))="",0,IF(IF(IF(ISERROR('Model inputs'!U84=1),'Model inputs'!U84=1,IF('Model inputs'!U84="","",'Model inputs'!U84=1))="",FALSE,IF(ISERROR('Model inputs'!U84=1),'Model inputs'!U84=1,IF('Model inputs'!U84="","",'Model inputs'!U84=1))),0,IF('Model inputs'!T54="","",'Model inputs'!T54)))+'Model inputs'!U28,0)</f>
        <v>0</v>
      </c>
      <c r="V12" s="8">
        <f>MAX(IF(IF(IF(IF(ISERROR('Model inputs'!V84=1),'Model inputs'!V84=1,IF('Model inputs'!V84="","",'Model inputs'!V84=1))="",FALSE,IF(ISERROR('Model inputs'!V84=1),'Model inputs'!V84=1,IF('Model inputs'!V84="","",'Model inputs'!V84=1))),0,IF('Model inputs'!U54="","",'Model inputs'!U54))="",0,IF(IF(IF(ISERROR('Model inputs'!V84=1),'Model inputs'!V84=1,IF('Model inputs'!V84="","",'Model inputs'!V84=1))="",FALSE,IF(ISERROR('Model inputs'!V84=1),'Model inputs'!V84=1,IF('Model inputs'!V84="","",'Model inputs'!V84=1))),0,IF('Model inputs'!U54="","",'Model inputs'!U54)))+'Model inputs'!V28,0)</f>
        <v>0</v>
      </c>
      <c r="W12" s="8">
        <f>MAX(IF(IF(IF(IF(ISERROR('Model inputs'!W84=1),'Model inputs'!W84=1,IF('Model inputs'!W84="","",'Model inputs'!W84=1))="",FALSE,IF(ISERROR('Model inputs'!W84=1),'Model inputs'!W84=1,IF('Model inputs'!W84="","",'Model inputs'!W84=1))),0,IF('Model inputs'!V54="","",'Model inputs'!V54))="",0,IF(IF(IF(ISERROR('Model inputs'!W84=1),'Model inputs'!W84=1,IF('Model inputs'!W84="","",'Model inputs'!W84=1))="",FALSE,IF(ISERROR('Model inputs'!W84=1),'Model inputs'!W84=1,IF('Model inputs'!W84="","",'Model inputs'!W84=1))),0,IF('Model inputs'!V54="","",'Model inputs'!V54)))+'Model inputs'!W28,0)</f>
        <v>0</v>
      </c>
      <c r="X12" s="8">
        <f>MAX(IF(IF(IF(IF(ISERROR('Model inputs'!X84=1),'Model inputs'!X84=1,IF('Model inputs'!X84="","",'Model inputs'!X84=1))="",FALSE,IF(ISERROR('Model inputs'!X84=1),'Model inputs'!X84=1,IF('Model inputs'!X84="","",'Model inputs'!X84=1))),0,IF('Model inputs'!W54="","",'Model inputs'!W54))="",0,IF(IF(IF(ISERROR('Model inputs'!X84=1),'Model inputs'!X84=1,IF('Model inputs'!X84="","",'Model inputs'!X84=1))="",FALSE,IF(ISERROR('Model inputs'!X84=1),'Model inputs'!X84=1,IF('Model inputs'!X84="","",'Model inputs'!X84=1))),0,IF('Model inputs'!W54="","",'Model inputs'!W54)))+'Model inputs'!X28,0)</f>
        <v>0</v>
      </c>
      <c r="Y12" s="8">
        <f>MAX(IF(IF(IF(IF(ISERROR('Model inputs'!Y84=1),'Model inputs'!Y84=1,IF('Model inputs'!Y84="","",'Model inputs'!Y84=1))="",FALSE,IF(ISERROR('Model inputs'!Y84=1),'Model inputs'!Y84=1,IF('Model inputs'!Y84="","",'Model inputs'!Y84=1))),0,IF('Model inputs'!X54="","",'Model inputs'!X54))="",0,IF(IF(IF(ISERROR('Model inputs'!Y84=1),'Model inputs'!Y84=1,IF('Model inputs'!Y84="","",'Model inputs'!Y84=1))="",FALSE,IF(ISERROR('Model inputs'!Y84=1),'Model inputs'!Y84=1,IF('Model inputs'!Y84="","",'Model inputs'!Y84=1))),0,IF('Model inputs'!X54="","",'Model inputs'!X54)))+'Model inputs'!Y28,0)</f>
        <v>0</v>
      </c>
      <c r="Z12" s="8">
        <f>MAX(IF(IF(IF(IF(ISERROR('Model inputs'!Z84=1),'Model inputs'!Z84=1,IF('Model inputs'!Z84="","",'Model inputs'!Z84=1))="",FALSE,IF(ISERROR('Model inputs'!Z84=1),'Model inputs'!Z84=1,IF('Model inputs'!Z84="","",'Model inputs'!Z84=1))),0,IF('Model inputs'!Y54="","",'Model inputs'!Y54))="",0,IF(IF(IF(ISERROR('Model inputs'!Z84=1),'Model inputs'!Z84=1,IF('Model inputs'!Z84="","",'Model inputs'!Z84=1))="",FALSE,IF(ISERROR('Model inputs'!Z84=1),'Model inputs'!Z84=1,IF('Model inputs'!Z84="","",'Model inputs'!Z84=1))),0,IF('Model inputs'!Y54="","",'Model inputs'!Y54)))+'Model inputs'!Z28,0)</f>
        <v>0</v>
      </c>
    </row>
    <row r="13">
      <c r="A13" t="inlineStr" s="14">
        <is>
          <t xml:space="preserve">Cumulative funding gap · Conservative</t>
        </is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f>MAX(IF(IF(IF(IF(ISERROR('Model inputs'!L85=1),'Model inputs'!L85=1,IF('Model inputs'!L85="","",'Model inputs'!L85=1))="",FALSE,IF(ISERROR('Model inputs'!L85=1),'Model inputs'!L85=1,IF('Model inputs'!L85="","",'Model inputs'!L85=1))),0,IF('Model inputs'!K55="","",'Model inputs'!K55))="",0,IF(IF(IF(ISERROR('Model inputs'!L85=1),'Model inputs'!L85=1,IF('Model inputs'!L85="","",'Model inputs'!L85=1))="",FALSE,IF(ISERROR('Model inputs'!L85=1),'Model inputs'!L85=1,IF('Model inputs'!L85="","",'Model inputs'!L85=1))),0,IF('Model inputs'!K55="","",'Model inputs'!K55)))+'Model inputs'!L29,0)</f>
        <v>750</v>
      </c>
      <c r="M13" s="8">
        <f>MAX(IF(IF(IF(IF(ISERROR('Model inputs'!M85=1),'Model inputs'!M85=1,IF('Model inputs'!M85="","",'Model inputs'!M85=1))="",FALSE,IF(ISERROR('Model inputs'!M85=1),'Model inputs'!M85=1,IF('Model inputs'!M85="","",'Model inputs'!M85=1))),0,IF('Model inputs'!L55="","",'Model inputs'!L55))="",0,IF(IF(IF(ISERROR('Model inputs'!M85=1),'Model inputs'!M85=1,IF('Model inputs'!M85="","",'Model inputs'!M85=1))="",FALSE,IF(ISERROR('Model inputs'!M85=1),'Model inputs'!M85=1,IF('Model inputs'!M85="","",'Model inputs'!M85=1))),0,IF('Model inputs'!L55="","",'Model inputs'!L55)))+'Model inputs'!M29,0)</f>
        <v>1500</v>
      </c>
      <c r="N13" s="8">
        <f>MAX(IF(IF(IF(IF(ISERROR('Model inputs'!N85=1),'Model inputs'!N85=1,IF('Model inputs'!N85="","",'Model inputs'!N85=1))="",FALSE,IF(ISERROR('Model inputs'!N85=1),'Model inputs'!N85=1,IF('Model inputs'!N85="","",'Model inputs'!N85=1))),0,IF('Model inputs'!M55="","",'Model inputs'!M55))="",0,IF(IF(IF(ISERROR('Model inputs'!N85=1),'Model inputs'!N85=1,IF('Model inputs'!N85="","",'Model inputs'!N85=1))="",FALSE,IF(ISERROR('Model inputs'!N85=1),'Model inputs'!N85=1,IF('Model inputs'!N85="","",'Model inputs'!N85=1))),0,IF('Model inputs'!M55="","",'Model inputs'!M55)))+'Model inputs'!N29,0)</f>
        <v>0</v>
      </c>
      <c r="O13" s="8">
        <f>MAX(IF(IF(IF(IF(ISERROR('Model inputs'!O85=1),'Model inputs'!O85=1,IF('Model inputs'!O85="","",'Model inputs'!O85=1))="",FALSE,IF(ISERROR('Model inputs'!O85=1),'Model inputs'!O85=1,IF('Model inputs'!O85="","",'Model inputs'!O85=1))),0,IF('Model inputs'!N55="","",'Model inputs'!N55))="",0,IF(IF(IF(ISERROR('Model inputs'!O85=1),'Model inputs'!O85=1,IF('Model inputs'!O85="","",'Model inputs'!O85=1))="",FALSE,IF(ISERROR('Model inputs'!O85=1),'Model inputs'!O85=1,IF('Model inputs'!O85="","",'Model inputs'!O85=1))),0,IF('Model inputs'!N55="","",'Model inputs'!N55)))+'Model inputs'!O29,0)</f>
        <v>0</v>
      </c>
      <c r="P13" s="8">
        <f>MAX(IF(IF(IF(IF(ISERROR('Model inputs'!P85=1),'Model inputs'!P85=1,IF('Model inputs'!P85="","",'Model inputs'!P85=1))="",FALSE,IF(ISERROR('Model inputs'!P85=1),'Model inputs'!P85=1,IF('Model inputs'!P85="","",'Model inputs'!P85=1))),0,IF('Model inputs'!O55="","",'Model inputs'!O55))="",0,IF(IF(IF(ISERROR('Model inputs'!P85=1),'Model inputs'!P85=1,IF('Model inputs'!P85="","",'Model inputs'!P85=1))="",FALSE,IF(ISERROR('Model inputs'!P85=1),'Model inputs'!P85=1,IF('Model inputs'!P85="","",'Model inputs'!P85=1))),0,IF('Model inputs'!O55="","",'Model inputs'!O55)))+'Model inputs'!P29,0)</f>
        <v>0</v>
      </c>
      <c r="Q13" s="8">
        <f>MAX(IF(IF(IF(IF(ISERROR('Model inputs'!Q85=1),'Model inputs'!Q85=1,IF('Model inputs'!Q85="","",'Model inputs'!Q85=1))="",FALSE,IF(ISERROR('Model inputs'!Q85=1),'Model inputs'!Q85=1,IF('Model inputs'!Q85="","",'Model inputs'!Q85=1))),0,IF('Model inputs'!P55="","",'Model inputs'!P55))="",0,IF(IF(IF(ISERROR('Model inputs'!Q85=1),'Model inputs'!Q85=1,IF('Model inputs'!Q85="","",'Model inputs'!Q85=1))="",FALSE,IF(ISERROR('Model inputs'!Q85=1),'Model inputs'!Q85=1,IF('Model inputs'!Q85="","",'Model inputs'!Q85=1))),0,IF('Model inputs'!P55="","",'Model inputs'!P55)))+'Model inputs'!Q29,0)</f>
        <v>0</v>
      </c>
      <c r="R13" s="8">
        <f>MAX(IF(IF(IF(IF(ISERROR('Model inputs'!R85=1),'Model inputs'!R85=1,IF('Model inputs'!R85="","",'Model inputs'!R85=1))="",FALSE,IF(ISERROR('Model inputs'!R85=1),'Model inputs'!R85=1,IF('Model inputs'!R85="","",'Model inputs'!R85=1))),0,IF('Model inputs'!Q55="","",'Model inputs'!Q55))="",0,IF(IF(IF(ISERROR('Model inputs'!R85=1),'Model inputs'!R85=1,IF('Model inputs'!R85="","",'Model inputs'!R85=1))="",FALSE,IF(ISERROR('Model inputs'!R85=1),'Model inputs'!R85=1,IF('Model inputs'!R85="","",'Model inputs'!R85=1))),0,IF('Model inputs'!Q55="","",'Model inputs'!Q55)))+'Model inputs'!R29,0)</f>
        <v>0</v>
      </c>
      <c r="S13" s="8">
        <f>MAX(IF(IF(IF(IF(ISERROR('Model inputs'!S85=1),'Model inputs'!S85=1,IF('Model inputs'!S85="","",'Model inputs'!S85=1))="",FALSE,IF(ISERROR('Model inputs'!S85=1),'Model inputs'!S85=1,IF('Model inputs'!S85="","",'Model inputs'!S85=1))),0,IF('Model inputs'!R55="","",'Model inputs'!R55))="",0,IF(IF(IF(ISERROR('Model inputs'!S85=1),'Model inputs'!S85=1,IF('Model inputs'!S85="","",'Model inputs'!S85=1))="",FALSE,IF(ISERROR('Model inputs'!S85=1),'Model inputs'!S85=1,IF('Model inputs'!S85="","",'Model inputs'!S85=1))),0,IF('Model inputs'!R55="","",'Model inputs'!R55)))+'Model inputs'!S29,0)</f>
        <v>0</v>
      </c>
      <c r="T13" s="8">
        <f>MAX(IF(IF(IF(IF(ISERROR('Model inputs'!T85=1),'Model inputs'!T85=1,IF('Model inputs'!T85="","",'Model inputs'!T85=1))="",FALSE,IF(ISERROR('Model inputs'!T85=1),'Model inputs'!T85=1,IF('Model inputs'!T85="","",'Model inputs'!T85=1))),0,IF('Model inputs'!S55="","",'Model inputs'!S55))="",0,IF(IF(IF(ISERROR('Model inputs'!T85=1),'Model inputs'!T85=1,IF('Model inputs'!T85="","",'Model inputs'!T85=1))="",FALSE,IF(ISERROR('Model inputs'!T85=1),'Model inputs'!T85=1,IF('Model inputs'!T85="","",'Model inputs'!T85=1))),0,IF('Model inputs'!S55="","",'Model inputs'!S55)))+'Model inputs'!T29,0)</f>
        <v>0</v>
      </c>
      <c r="U13" s="8">
        <f>MAX(IF(IF(IF(IF(ISERROR('Model inputs'!U85=1),'Model inputs'!U85=1,IF('Model inputs'!U85="","",'Model inputs'!U85=1))="",FALSE,IF(ISERROR('Model inputs'!U85=1),'Model inputs'!U85=1,IF('Model inputs'!U85="","",'Model inputs'!U85=1))),0,IF('Model inputs'!T55="","",'Model inputs'!T55))="",0,IF(IF(IF(ISERROR('Model inputs'!U85=1),'Model inputs'!U85=1,IF('Model inputs'!U85="","",'Model inputs'!U85=1))="",FALSE,IF(ISERROR('Model inputs'!U85=1),'Model inputs'!U85=1,IF('Model inputs'!U85="","",'Model inputs'!U85=1))),0,IF('Model inputs'!T55="","",'Model inputs'!T55)))+'Model inputs'!U29,0)</f>
        <v>0</v>
      </c>
      <c r="V13" s="8">
        <f>MAX(IF(IF(IF(IF(ISERROR('Model inputs'!V85=1),'Model inputs'!V85=1,IF('Model inputs'!V85="","",'Model inputs'!V85=1))="",FALSE,IF(ISERROR('Model inputs'!V85=1),'Model inputs'!V85=1,IF('Model inputs'!V85="","",'Model inputs'!V85=1))),0,IF('Model inputs'!U55="","",'Model inputs'!U55))="",0,IF(IF(IF(ISERROR('Model inputs'!V85=1),'Model inputs'!V85=1,IF('Model inputs'!V85="","",'Model inputs'!V85=1))="",FALSE,IF(ISERROR('Model inputs'!V85=1),'Model inputs'!V85=1,IF('Model inputs'!V85="","",'Model inputs'!V85=1))),0,IF('Model inputs'!U55="","",'Model inputs'!U55)))+'Model inputs'!V29,0)</f>
        <v>0</v>
      </c>
      <c r="W13" s="8">
        <f>MAX(IF(IF(IF(IF(ISERROR('Model inputs'!W85=1),'Model inputs'!W85=1,IF('Model inputs'!W85="","",'Model inputs'!W85=1))="",FALSE,IF(ISERROR('Model inputs'!W85=1),'Model inputs'!W85=1,IF('Model inputs'!W85="","",'Model inputs'!W85=1))),0,IF('Model inputs'!V55="","",'Model inputs'!V55))="",0,IF(IF(IF(ISERROR('Model inputs'!W85=1),'Model inputs'!W85=1,IF('Model inputs'!W85="","",'Model inputs'!W85=1))="",FALSE,IF(ISERROR('Model inputs'!W85=1),'Model inputs'!W85=1,IF('Model inputs'!W85="","",'Model inputs'!W85=1))),0,IF('Model inputs'!V55="","",'Model inputs'!V55)))+'Model inputs'!W29,0)</f>
        <v>0</v>
      </c>
      <c r="X13" s="8">
        <f>MAX(IF(IF(IF(IF(ISERROR('Model inputs'!X85=1),'Model inputs'!X85=1,IF('Model inputs'!X85="","",'Model inputs'!X85=1))="",FALSE,IF(ISERROR('Model inputs'!X85=1),'Model inputs'!X85=1,IF('Model inputs'!X85="","",'Model inputs'!X85=1))),0,IF('Model inputs'!W55="","",'Model inputs'!W55))="",0,IF(IF(IF(ISERROR('Model inputs'!X85=1),'Model inputs'!X85=1,IF('Model inputs'!X85="","",'Model inputs'!X85=1))="",FALSE,IF(ISERROR('Model inputs'!X85=1),'Model inputs'!X85=1,IF('Model inputs'!X85="","",'Model inputs'!X85=1))),0,IF('Model inputs'!W55="","",'Model inputs'!W55)))+'Model inputs'!X29,0)</f>
        <v>0</v>
      </c>
      <c r="Y13" s="8">
        <f>MAX(IF(IF(IF(IF(ISERROR('Model inputs'!Y85=1),'Model inputs'!Y85=1,IF('Model inputs'!Y85="","",'Model inputs'!Y85=1))="",FALSE,IF(ISERROR('Model inputs'!Y85=1),'Model inputs'!Y85=1,IF('Model inputs'!Y85="","",'Model inputs'!Y85=1))),0,IF('Model inputs'!X55="","",'Model inputs'!X55))="",0,IF(IF(IF(ISERROR('Model inputs'!Y85=1),'Model inputs'!Y85=1,IF('Model inputs'!Y85="","",'Model inputs'!Y85=1))="",FALSE,IF(ISERROR('Model inputs'!Y85=1),'Model inputs'!Y85=1,IF('Model inputs'!Y85="","",'Model inputs'!Y85=1))),0,IF('Model inputs'!X55="","",'Model inputs'!X55)))+'Model inputs'!Y29,0)</f>
        <v>0</v>
      </c>
      <c r="Z13" s="8">
        <f>MAX(IF(IF(IF(IF(ISERROR('Model inputs'!Z85=1),'Model inputs'!Z85=1,IF('Model inputs'!Z85="","",'Model inputs'!Z85=1))="",FALSE,IF(ISERROR('Model inputs'!Z85=1),'Model inputs'!Z85=1,IF('Model inputs'!Z85="","",'Model inputs'!Z85=1))),0,IF('Model inputs'!Y55="","",'Model inputs'!Y55))="",0,IF(IF(IF(ISERROR('Model inputs'!Z85=1),'Model inputs'!Z85=1,IF('Model inputs'!Z85="","",'Model inputs'!Z85=1))="",FALSE,IF(ISERROR('Model inputs'!Z85=1),'Model inputs'!Z85=1,IF('Model inputs'!Z85="","",'Model inputs'!Z85=1))),0,IF('Model inputs'!Y55="","",'Model inputs'!Y55)))+'Model inputs'!Z29,0)</f>
        <v>0</v>
      </c>
    </row>
    <row r="14">
      <c r="A14" t="inlineStr" s="14">
        <is>
          <t xml:space="preserve">Forecast contribution profit · Growth</t>
        </is>
      </c>
      <c r="B14" s="8">
        <f>SUM('Model inputs'!B321,'Model inputs'!B322)</f>
        <v>338461.5</v>
      </c>
    </row>
    <row r="15">
      <c r="A15" t="inlineStr" s="14">
        <is>
          <t xml:space="preserve">Forecast contribution profit · Conservative</t>
        </is>
      </c>
      <c r="B15" s="8">
        <f>SUM('Model inputs'!B323,'Model inputs'!B324)</f>
        <v>24661</v>
      </c>
    </row>
    <row r="16">
      <c r="A16" t="inlineStr" s="14">
        <is>
          <t xml:space="preserve">Forecast gross profit · Growth</t>
        </is>
      </c>
      <c r="B16" s="8">
        <f>'DealScope scenario comparison'!B5-'Model inputs'!B68</f>
        <v>353086.5</v>
      </c>
    </row>
    <row r="17">
      <c r="A17" t="inlineStr" s="14">
        <is>
          <t xml:space="preserve">Forecast gross profit · Conservative</t>
        </is>
      </c>
      <c r="B17" s="8">
        <f>'DealScope scenario comparison'!C5-'Model inputs'!B69</f>
        <v>26161</v>
      </c>
    </row>
    <row r="18">
      <c r="A18" t="inlineStr" s="14">
        <is>
          <t xml:space="preserve">Forecast months · Growth</t>
        </is>
      </c>
      <c r="B18" s="9">
        <f>12</f>
        <v>12</v>
      </c>
    </row>
    <row r="19">
      <c r="A19" t="inlineStr" s="14">
        <is>
          <t xml:space="preserve">Forecast months · Conservative</t>
        </is>
      </c>
      <c r="B19" s="9">
        <f>12</f>
        <v>12</v>
      </c>
    </row>
    <row r="20">
      <c r="A20" t="inlineStr" s="14">
        <is>
          <t xml:space="preserve">Forecast start date · Growth</t>
        </is>
      </c>
      <c r="B20" s="15">
        <f>DATE(2026,10,1)</f>
        <v>46296</v>
      </c>
    </row>
    <row r="21">
      <c r="A21" t="inlineStr" s="14">
        <is>
          <t xml:space="preserve">Forecast start date · Conservative</t>
        </is>
      </c>
      <c r="B21" s="15">
        <f>DATE(2026,10,1)</f>
        <v>46296</v>
      </c>
    </row>
    <row r="22">
      <c r="A22" t="inlineStr" s="14">
        <is>
          <t xml:space="preserve">Plan Audits delivered · Growth</t>
        </is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f>IF(SUM(IF(IF('Model inputs'!B325="",0,1)="",0,IF('Model inputs'!B325="",0,1)),IF(IF('Model inputs'!B326="",0,1)="",0,IF('Model inputs'!B326="",0,1)),IF(IF('Model inputs'!B327="",0,1)="",0,IF('Model inputs'!B327="",0,1)),IF(IF('Model inputs'!B328="",0,1)="",0,IF('Model inputs'!B328="",0,1)),IF(IF('Model inputs'!B329="",0,1)="",0,IF('Model inputs'!B329="",0,1)))=0,"",SUM('Model inputs'!B325,'Model inputs'!B326,'Model inputs'!B327,'Model inputs'!B328,'Model inputs'!B329))</f>
        <v>5</v>
      </c>
      <c r="M22" s="9">
        <f>IF(SUM(IF(IF('Model inputs'!B330="",0,1)="",0,IF('Model inputs'!B330="",0,1)),IF(IF('Model inputs'!B331="",0,1)="",0,IF('Model inputs'!B331="",0,1)),IF(IF('Model inputs'!B332="",0,1)="",0,IF('Model inputs'!B332="",0,1)),IF(IF('Model inputs'!B333="",0,1)="",0,IF('Model inputs'!B333="",0,1)),IF(IF('Model inputs'!B334="",0,1)="",0,IF('Model inputs'!B334="",0,1)))=0,"",SUM('Model inputs'!B330,'Model inputs'!B331,'Model inputs'!B332,'Model inputs'!B333,'Model inputs'!B334))</f>
        <v>10</v>
      </c>
      <c r="N22" s="9">
        <f>IF(SUM(IF(IF('Model inputs'!B335="",0,1)="",0,IF('Model inputs'!B335="",0,1)),IF(IF('Model inputs'!B336="",0,1)="",0,IF('Model inputs'!B336="",0,1)),IF(IF('Model inputs'!B337="",0,1)="",0,IF('Model inputs'!B337="",0,1)),IF(IF('Model inputs'!B338="",0,1)="",0,IF('Model inputs'!B338="",0,1)),IF(IF('Model inputs'!B339="",0,1)="",0,IF('Model inputs'!B339="",0,1)))=0,"",SUM('Model inputs'!B335,'Model inputs'!B336,'Model inputs'!B337,'Model inputs'!B338,'Model inputs'!B339))</f>
        <v>15</v>
      </c>
      <c r="O22" s="9">
        <f>IF(SUM(IF(IF('Model inputs'!B340="",0,1)="",0,IF('Model inputs'!B340="",0,1)),IF(IF('Model inputs'!B341="",0,1)="",0,IF('Model inputs'!B341="",0,1)),IF(IF('Model inputs'!B342="",0,1)="",0,IF('Model inputs'!B342="",0,1)),IF(IF('Model inputs'!B343="",0,1)="",0,IF('Model inputs'!B343="",0,1)),IF(IF('Model inputs'!B344="",0,1)="",0,IF('Model inputs'!B344="",0,1)))=0,"",SUM('Model inputs'!B340,'Model inputs'!B341,'Model inputs'!B342,'Model inputs'!B343,'Model inputs'!B344))</f>
        <v>20</v>
      </c>
      <c r="P22" s="9">
        <f>IF(SUM(IF(IF('Model inputs'!B345="",0,1)="",0,IF('Model inputs'!B345="",0,1)),IF(IF('Model inputs'!B346="",0,1)="",0,IF('Model inputs'!B346="",0,1)),IF(IF('Model inputs'!B347="",0,1)="",0,IF('Model inputs'!B347="",0,1)),IF(IF('Model inputs'!B348="",0,1)="",0,IF('Model inputs'!B348="",0,1)),IF(IF('Model inputs'!B349="",0,1)="",0,IF('Model inputs'!B349="",0,1)))=0,"",SUM('Model inputs'!B345,'Model inputs'!B346,'Model inputs'!B347,'Model inputs'!B348,'Model inputs'!B349))</f>
        <v>25</v>
      </c>
      <c r="Q22" s="9">
        <f>IF(SUM(IF(IF('Model inputs'!B350="",0,1)="",0,IF('Model inputs'!B350="",0,1)),IF(IF('Model inputs'!B351="",0,1)="",0,IF('Model inputs'!B351="",0,1)),IF(IF('Model inputs'!B352="",0,1)="",0,IF('Model inputs'!B352="",0,1)),IF(IF('Model inputs'!B353="",0,1)="",0,IF('Model inputs'!B353="",0,1)),IF(IF('Model inputs'!B354="",0,1)="",0,IF('Model inputs'!B354="",0,1)))=0,"",SUM('Model inputs'!B350,'Model inputs'!B351,'Model inputs'!B352,'Model inputs'!B353,'Model inputs'!B354))</f>
        <v>30</v>
      </c>
      <c r="R22" s="9">
        <f>IF(SUM(IF(IF('Model inputs'!B355="",0,1)="",0,IF('Model inputs'!B355="",0,1)),IF(IF('Model inputs'!B356="",0,1)="",0,IF('Model inputs'!B356="",0,1)),IF(IF('Model inputs'!B357="",0,1)="",0,IF('Model inputs'!B357="",0,1)),IF(IF('Model inputs'!B358="",0,1)="",0,IF('Model inputs'!B358="",0,1)),IF(IF('Model inputs'!B359="",0,1)="",0,IF('Model inputs'!B359="",0,1)))=0,"",SUM('Model inputs'!B355,'Model inputs'!B356,'Model inputs'!B357,'Model inputs'!B358,'Model inputs'!B359))</f>
        <v>35</v>
      </c>
      <c r="S22" s="9">
        <f>IF(SUM(IF(IF('Model inputs'!B360="",0,1)="",0,IF('Model inputs'!B360="",0,1)),IF(IF('Model inputs'!B361="",0,1)="",0,IF('Model inputs'!B361="",0,1)),IF(IF('Model inputs'!B362="",0,1)="",0,IF('Model inputs'!B362="",0,1)),IF(IF('Model inputs'!B363="",0,1)="",0,IF('Model inputs'!B363="",0,1)),IF(IF('Model inputs'!B364="",0,1)="",0,IF('Model inputs'!B364="",0,1)))=0,"",SUM('Model inputs'!B360,'Model inputs'!B361,'Model inputs'!B362,'Model inputs'!B363,'Model inputs'!B364))</f>
        <v>40</v>
      </c>
      <c r="T22" s="9">
        <f>IF(SUM(IF(IF('Model inputs'!B365="",0,1)="",0,IF('Model inputs'!B365="",0,1)),IF(IF('Model inputs'!B366="",0,1)="",0,IF('Model inputs'!B366="",0,1)),IF(IF('Model inputs'!B367="",0,1)="",0,IF('Model inputs'!B367="",0,1)),IF(IF('Model inputs'!B368="",0,1)="",0,IF('Model inputs'!B368="",0,1)),IF(IF('Model inputs'!B369="",0,1)="",0,IF('Model inputs'!B369="",0,1)))=0,"",SUM('Model inputs'!B365,'Model inputs'!B366,'Model inputs'!B367,'Model inputs'!B368,'Model inputs'!B369))</f>
        <v>45</v>
      </c>
      <c r="U22" s="9">
        <f>IF(SUM(IF(IF('Model inputs'!B370="",0,1)="",0,IF('Model inputs'!B370="",0,1)),IF(IF('Model inputs'!B371="",0,1)="",0,IF('Model inputs'!B371="",0,1)),IF(IF('Model inputs'!B372="",0,1)="",0,IF('Model inputs'!B372="",0,1)),IF(IF('Model inputs'!B373="",0,1)="",0,IF('Model inputs'!B373="",0,1)),IF(IF('Model inputs'!B374="",0,1)="",0,IF('Model inputs'!B374="",0,1)))=0,"",SUM('Model inputs'!B370,'Model inputs'!B371,'Model inputs'!B372,'Model inputs'!B373,'Model inputs'!B374))</f>
        <v>50</v>
      </c>
      <c r="V22" s="9">
        <f>IF(SUM(IF(IF('Model inputs'!B375="",0,1)="",0,IF('Model inputs'!B375="",0,1)),IF(IF('Model inputs'!B376="",0,1)="",0,IF('Model inputs'!B376="",0,1)),IF(IF('Model inputs'!B377="",0,1)="",0,IF('Model inputs'!B377="",0,1)),IF(IF('Model inputs'!B378="",0,1)="",0,IF('Model inputs'!B378="",0,1)),IF(IF('Model inputs'!B379="",0,1)="",0,IF('Model inputs'!B379="",0,1)))=0,"",SUM('Model inputs'!B375,'Model inputs'!B376,'Model inputs'!B377,'Model inputs'!B378,'Model inputs'!B379))</f>
        <v>55</v>
      </c>
      <c r="W22" s="9">
        <f>IF(SUM(IF(IF('Model inputs'!B380="",0,1)="",0,IF('Model inputs'!B380="",0,1)),IF(IF('Model inputs'!B381="",0,1)="",0,IF('Model inputs'!B381="",0,1)),IF(IF('Model inputs'!B382="",0,1)="",0,IF('Model inputs'!B382="",0,1)),IF(IF('Model inputs'!B383="",0,1)="",0,IF('Model inputs'!B383="",0,1)),IF(IF('Model inputs'!B384="",0,1)="",0,IF('Model inputs'!B384="",0,1)))=0,"",SUM('Model inputs'!B380,'Model inputs'!B381,'Model inputs'!B382,'Model inputs'!B383,'Model inputs'!B384))</f>
        <v>60</v>
      </c>
      <c r="X22" s="9">
        <f>IF(SUM(IF(IF('Model inputs'!B385="",0,1)="",0,IF('Model inputs'!B385="",0,1)),IF(IF('Model inputs'!B386="",0,1)="",0,IF('Model inputs'!B386="",0,1)),IF(IF('Model inputs'!B387="",0,1)="",0,IF('Model inputs'!B387="",0,1)),IF(IF('Model inputs'!B388="",0,1)="",0,IF('Model inputs'!B388="",0,1)),IF(IF('Model inputs'!B389="",0,1)="",0,IF('Model inputs'!B389="",0,1)))=0,"",SUM('Model inputs'!B385,'Model inputs'!B386,'Model inputs'!B387,'Model inputs'!B388,'Model inputs'!B389))</f>
        <v>60</v>
      </c>
      <c r="Y22" s="9">
        <f>IF(SUM(IF(IF('Model inputs'!B390="",0,1)="",0,IF('Model inputs'!B390="",0,1)),IF(IF('Model inputs'!B391="",0,1)="",0,IF('Model inputs'!B391="",0,1)),IF(IF('Model inputs'!B392="",0,1)="",0,IF('Model inputs'!B392="",0,1)),IF(IF('Model inputs'!B393="",0,1)="",0,IF('Model inputs'!B393="",0,1)),IF(IF('Model inputs'!B394="",0,1)="",0,IF('Model inputs'!B394="",0,1)))=0,"",SUM('Model inputs'!B390,'Model inputs'!B391,'Model inputs'!B392,'Model inputs'!B393,'Model inputs'!B394))</f>
        <v>60</v>
      </c>
      <c r="Z22" s="9">
        <f>IF(SUM(IF(IF('Model inputs'!B395="",0,1)="",0,IF('Model inputs'!B395="",0,1)),IF(IF('Model inputs'!B396="",0,1)="",0,IF('Model inputs'!B396="",0,1)),IF(IF('Model inputs'!B397="",0,1)="",0,IF('Model inputs'!B397="",0,1)),IF(IF('Model inputs'!B398="",0,1)="",0,IF('Model inputs'!B398="",0,1)),IF(IF('Model inputs'!B399="",0,1)="",0,IF('Model inputs'!B399="",0,1)))=0,"",SUM('Model inputs'!B395,'Model inputs'!B396,'Model inputs'!B397,'Model inputs'!B398,'Model inputs'!B399))</f>
        <v>60</v>
      </c>
    </row>
    <row r="23">
      <c r="A23" t="inlineStr" s="14">
        <is>
          <t xml:space="preserve">Plan Audits delivered · Conservative</t>
        </is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f>IF(SUM(IF(IF('Model inputs'!B400="",0,1)="",0,IF('Model inputs'!B400="",0,1)),IF(IF('Model inputs'!B401="",0,1)="",0,IF('Model inputs'!B401="",0,1)),IF(IF('Model inputs'!B402="",0,1)="",0,IF('Model inputs'!B402="",0,1)),IF(IF('Model inputs'!B403="",0,1)="",0,IF('Model inputs'!B403="",0,1)),IF(IF('Model inputs'!B404="",0,1)="",0,IF('Model inputs'!B404="",0,1)))=0,"",SUM('Model inputs'!B400,'Model inputs'!B401,'Model inputs'!B402,'Model inputs'!B403,'Model inputs'!B404))</f>
        <v>0</v>
      </c>
      <c r="M23" s="9">
        <f>IF(SUM(IF(IF('Model inputs'!B405="",0,1)="",0,IF('Model inputs'!B405="",0,1)),IF(IF('Model inputs'!B406="",0,1)="",0,IF('Model inputs'!B406="",0,1)),IF(IF('Model inputs'!B407="",0,1)="",0,IF('Model inputs'!B407="",0,1)),IF(IF('Model inputs'!B408="",0,1)="",0,IF('Model inputs'!B408="",0,1)),IF(IF('Model inputs'!B409="",0,1)="",0,IF('Model inputs'!B409="",0,1)))=0,"",SUM('Model inputs'!B405,'Model inputs'!B406,'Model inputs'!B407,'Model inputs'!B408,'Model inputs'!B409))</f>
        <v>0</v>
      </c>
      <c r="N23" s="9">
        <f>IF(SUM(IF(IF('Model inputs'!B410="",0,1)="",0,IF('Model inputs'!B410="",0,1)),IF(IF('Model inputs'!B411="",0,1)="",0,IF('Model inputs'!B411="",0,1)),IF(IF('Model inputs'!B412="",0,1)="",0,IF('Model inputs'!B412="",0,1)),IF(IF('Model inputs'!B413="",0,1)="",0,IF('Model inputs'!B413="",0,1)),IF(IF('Model inputs'!B414="",0,1)="",0,IF('Model inputs'!B414="",0,1)))=0,"",SUM('Model inputs'!B410,'Model inputs'!B411,'Model inputs'!B412,'Model inputs'!B413,'Model inputs'!B414))</f>
        <v>4</v>
      </c>
      <c r="O23" s="9">
        <f>IF(SUM(IF(IF('Model inputs'!B415="",0,1)="",0,IF('Model inputs'!B415="",0,1)),IF(IF('Model inputs'!B416="",0,1)="",0,IF('Model inputs'!B416="",0,1)),IF(IF('Model inputs'!B417="",0,1)="",0,IF('Model inputs'!B417="",0,1)),IF(IF('Model inputs'!B418="",0,1)="",0,IF('Model inputs'!B418="",0,1)),IF(IF('Model inputs'!B419="",0,1)="",0,IF('Model inputs'!B419="",0,1)))=0,"",SUM('Model inputs'!B415,'Model inputs'!B416,'Model inputs'!B417,'Model inputs'!B418,'Model inputs'!B419))</f>
        <v>4</v>
      </c>
      <c r="P23" s="9">
        <f>IF(SUM(IF(IF('Model inputs'!B420="",0,1)="",0,IF('Model inputs'!B420="",0,1)),IF(IF('Model inputs'!B421="",0,1)="",0,IF('Model inputs'!B421="",0,1)),IF(IF('Model inputs'!B422="",0,1)="",0,IF('Model inputs'!B422="",0,1)),IF(IF('Model inputs'!B423="",0,1)="",0,IF('Model inputs'!B423="",0,1)),IF(IF('Model inputs'!B424="",0,1)="",0,IF('Model inputs'!B424="",0,1)))=0,"",SUM('Model inputs'!B420,'Model inputs'!B421,'Model inputs'!B422,'Model inputs'!B423,'Model inputs'!B424))</f>
        <v>4</v>
      </c>
      <c r="Q23" s="9">
        <f>IF(SUM(IF(IF('Model inputs'!B425="",0,1)="",0,IF('Model inputs'!B425="",0,1)),IF(IF('Model inputs'!B426="",0,1)="",0,IF('Model inputs'!B426="",0,1)),IF(IF('Model inputs'!B427="",0,1)="",0,IF('Model inputs'!B427="",0,1)),IF(IF('Model inputs'!B428="",0,1)="",0,IF('Model inputs'!B428="",0,1)),IF(IF('Model inputs'!B429="",0,1)="",0,IF('Model inputs'!B429="",0,1)))=0,"",SUM('Model inputs'!B425,'Model inputs'!B426,'Model inputs'!B427,'Model inputs'!B428,'Model inputs'!B429))</f>
        <v>4</v>
      </c>
      <c r="R23" s="9">
        <f>IF(SUM(IF(IF('Model inputs'!B430="",0,1)="",0,IF('Model inputs'!B430="",0,1)),IF(IF('Model inputs'!B431="",0,1)="",0,IF('Model inputs'!B431="",0,1)),IF(IF('Model inputs'!B432="",0,1)="",0,IF('Model inputs'!B432="",0,1)),IF(IF('Model inputs'!B433="",0,1)="",0,IF('Model inputs'!B433="",0,1)),IF(IF('Model inputs'!B434="",0,1)="",0,IF('Model inputs'!B434="",0,1)))=0,"",SUM('Model inputs'!B430,'Model inputs'!B431,'Model inputs'!B432,'Model inputs'!B433,'Model inputs'!B434))</f>
        <v>4</v>
      </c>
      <c r="S23" s="9">
        <f>IF(SUM(IF(IF('Model inputs'!B435="",0,1)="",0,IF('Model inputs'!B435="",0,1)),IF(IF('Model inputs'!B436="",0,1)="",0,IF('Model inputs'!B436="",0,1)),IF(IF('Model inputs'!B437="",0,1)="",0,IF('Model inputs'!B437="",0,1)),IF(IF('Model inputs'!B438="",0,1)="",0,IF('Model inputs'!B438="",0,1)),IF(IF('Model inputs'!B439="",0,1)="",0,IF('Model inputs'!B439="",0,1)))=0,"",SUM('Model inputs'!B435,'Model inputs'!B436,'Model inputs'!B437,'Model inputs'!B438,'Model inputs'!B439))</f>
        <v>4</v>
      </c>
      <c r="T23" s="9">
        <f>IF(SUM(IF(IF('Model inputs'!B440="",0,1)="",0,IF('Model inputs'!B440="",0,1)),IF(IF('Model inputs'!B441="",0,1)="",0,IF('Model inputs'!B441="",0,1)),IF(IF('Model inputs'!B442="",0,1)="",0,IF('Model inputs'!B442="",0,1)),IF(IF('Model inputs'!B443="",0,1)="",0,IF('Model inputs'!B443="",0,1)),IF(IF('Model inputs'!B444="",0,1)="",0,IF('Model inputs'!B444="",0,1)))=0,"",SUM('Model inputs'!B440,'Model inputs'!B441,'Model inputs'!B442,'Model inputs'!B443,'Model inputs'!B444))</f>
        <v>4</v>
      </c>
      <c r="U23" s="9">
        <f>IF(SUM(IF(IF('Model inputs'!B445="",0,1)="",0,IF('Model inputs'!B445="",0,1)),IF(IF('Model inputs'!B446="",0,1)="",0,IF('Model inputs'!B446="",0,1)),IF(IF('Model inputs'!B447="",0,1)="",0,IF('Model inputs'!B447="",0,1)),IF(IF('Model inputs'!B448="",0,1)="",0,IF('Model inputs'!B448="",0,1)),IF(IF('Model inputs'!B449="",0,1)="",0,IF('Model inputs'!B449="",0,1)))=0,"",SUM('Model inputs'!B445,'Model inputs'!B446,'Model inputs'!B447,'Model inputs'!B448,'Model inputs'!B449))</f>
        <v>4</v>
      </c>
      <c r="V23" s="9">
        <f>IF(SUM(IF(IF('Model inputs'!B450="",0,1)="",0,IF('Model inputs'!B450="",0,1)),IF(IF('Model inputs'!B451="",0,1)="",0,IF('Model inputs'!B451="",0,1)),IF(IF('Model inputs'!B452="",0,1)="",0,IF('Model inputs'!B452="",0,1)),IF(IF('Model inputs'!B453="",0,1)="",0,IF('Model inputs'!B453="",0,1)),IF(IF('Model inputs'!B454="",0,1)="",0,IF('Model inputs'!B454="",0,1)))=0,"",SUM('Model inputs'!B450,'Model inputs'!B451,'Model inputs'!B452,'Model inputs'!B453,'Model inputs'!B454))</f>
        <v>4</v>
      </c>
      <c r="W23" s="9">
        <f>IF(SUM(IF(IF('Model inputs'!B455="",0,1)="",0,IF('Model inputs'!B455="",0,1)),IF(IF('Model inputs'!B456="",0,1)="",0,IF('Model inputs'!B456="",0,1)),IF(IF('Model inputs'!B457="",0,1)="",0,IF('Model inputs'!B457="",0,1)),IF(IF('Model inputs'!B458="",0,1)="",0,IF('Model inputs'!B458="",0,1)),IF(IF('Model inputs'!B459="",0,1)="",0,IF('Model inputs'!B459="",0,1)))=0,"",SUM('Model inputs'!B455,'Model inputs'!B456,'Model inputs'!B457,'Model inputs'!B458,'Model inputs'!B459))</f>
        <v>4</v>
      </c>
      <c r="X23" s="9">
        <f>IF(SUM(IF(IF('Model inputs'!B460="",0,1)="",0,IF('Model inputs'!B460="",0,1)),IF(IF('Model inputs'!B461="",0,1)="",0,IF('Model inputs'!B461="",0,1)),IF(IF('Model inputs'!B462="",0,1)="",0,IF('Model inputs'!B462="",0,1)),IF(IF('Model inputs'!B463="",0,1)="",0,IF('Model inputs'!B463="",0,1)),IF(IF('Model inputs'!B464="",0,1)="",0,IF('Model inputs'!B464="",0,1)))=0,"",SUM('Model inputs'!B460,'Model inputs'!B461,'Model inputs'!B462,'Model inputs'!B463,'Model inputs'!B464))</f>
        <v>4</v>
      </c>
      <c r="Y23" s="9">
        <f>IF(SUM(IF(IF('Model inputs'!B465="",0,1)="",0,IF('Model inputs'!B465="",0,1)),IF(IF('Model inputs'!B466="",0,1)="",0,IF('Model inputs'!B466="",0,1)),IF(IF('Model inputs'!B467="",0,1)="",0,IF('Model inputs'!B467="",0,1)),IF(IF('Model inputs'!B468="",0,1)="",0,IF('Model inputs'!B468="",0,1)),IF(IF('Model inputs'!B469="",0,1)="",0,IF('Model inputs'!B469="",0,1)))=0,"",SUM('Model inputs'!B465,'Model inputs'!B466,'Model inputs'!B467,'Model inputs'!B468,'Model inputs'!B469))</f>
        <v>4</v>
      </c>
      <c r="Z23" s="9">
        <f>IF(SUM(IF(IF('Model inputs'!B470="",0,1)="",0,IF('Model inputs'!B470="",0,1)),IF(IF('Model inputs'!B471="",0,1)="",0,IF('Model inputs'!B471="",0,1)),IF(IF('Model inputs'!B472="",0,1)="",0,IF('Model inputs'!B472="",0,1)),IF(IF('Model inputs'!B473="",0,1)="",0,IF('Model inputs'!B473="",0,1)),IF(IF('Model inputs'!B474="",0,1)="",0,IF('Model inputs'!B474="",0,1)))=0,"",SUM('Model inputs'!B470,'Model inputs'!B471,'Model inputs'!B472,'Model inputs'!B473,'Model inputs'!B474))</f>
        <v>4</v>
      </c>
    </row>
    <row r="24">
      <c r="A24" t="inlineStr" s="14">
        <is>
          <t xml:space="preserve">Plan Cash collections · Growth</t>
        </is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f>IF(SUM(IF(IF('Model inputs'!B475="",0,1)="",0,IF('Model inputs'!B475="",0,1)),IF(IF('Model inputs'!B476="",0,1)="",0,IF('Model inputs'!B476="",0,1)),IF(IF('Model inputs'!B477="",0,1)="",0,IF('Model inputs'!B477="",0,1)),IF(IF('Model inputs'!B478="",0,1)="",0,IF('Model inputs'!B478="",0,1)),IF(IF('Model inputs'!B479="",0,1)="",0,IF('Model inputs'!B479="",0,1)))=0,"",SUM('Model inputs'!B475,'Model inputs'!B476,'Model inputs'!B477,'Model inputs'!B478,'Model inputs'!B479))</f>
        <v>32500</v>
      </c>
      <c r="M24" s="8">
        <f>IF(SUM(IF(IF('Model inputs'!B480="",0,1)="",0,IF('Model inputs'!B480="",0,1)),IF(IF('Model inputs'!B481="",0,1)="",0,IF('Model inputs'!B481="",0,1)),IF(IF('Model inputs'!B482="",0,1)="",0,IF('Model inputs'!B482="",0,1)),IF(IF('Model inputs'!B483="",0,1)="",0,IF('Model inputs'!B483="",0,1)),IF(IF('Model inputs'!B484="",0,1)="",0,IF('Model inputs'!B484="",0,1)))=0,"",SUM('Model inputs'!B480,'Model inputs'!B481,'Model inputs'!B482,'Model inputs'!B483,'Model inputs'!B484))</f>
        <v>35000</v>
      </c>
      <c r="N24" s="8">
        <f>IF(SUM(IF(IF('Model inputs'!B485="",0,1)="",0,IF('Model inputs'!B485="",0,1)),IF(IF('Model inputs'!B486="",0,1)="",0,IF('Model inputs'!B486="",0,1)),IF(IF('Model inputs'!B487="",0,1)="",0,IF('Model inputs'!B487="",0,1)),IF(IF('Model inputs'!B488="",0,1)="",0,IF('Model inputs'!B488="",0,1)),IF(IF('Model inputs'!B489="",0,1)="",0,IF('Model inputs'!B489="",0,1)))=0,"",SUM('Model inputs'!B485,'Model inputs'!B486,'Model inputs'!B487,'Model inputs'!B488,'Model inputs'!B489))</f>
        <v>37500</v>
      </c>
      <c r="O24" s="8">
        <f>IF(SUM(IF(IF('Model inputs'!B490="",0,1)="",0,IF('Model inputs'!B490="",0,1)),IF(IF('Model inputs'!B491="",0,1)="",0,IF('Model inputs'!B491="",0,1)),IF(IF('Model inputs'!B492="",0,1)="",0,IF('Model inputs'!B492="",0,1)),IF(IF('Model inputs'!B493="",0,1)="",0,IF('Model inputs'!B493="",0,1)),IF(IF('Model inputs'!B494="",0,1)="",0,IF('Model inputs'!B494="",0,1)))=0,"",SUM('Model inputs'!B490,'Model inputs'!B491,'Model inputs'!B492,'Model inputs'!B493,'Model inputs'!B494))</f>
        <v>40000</v>
      </c>
      <c r="P24" s="8">
        <f>IF(SUM(IF(IF('Model inputs'!B495="",0,1)="",0,IF('Model inputs'!B495="",0,1)),IF(IF('Model inputs'!B496="",0,1)="",0,IF('Model inputs'!B496="",0,1)),IF(IF('Model inputs'!B497="",0,1)="",0,IF('Model inputs'!B497="",0,1)),IF(IF('Model inputs'!B498="",0,1)="",0,IF('Model inputs'!B498="",0,1)),IF(IF('Model inputs'!B499="",0,1)="",0,IF('Model inputs'!B499="",0,1)))=0,"",SUM('Model inputs'!B495,'Model inputs'!B496,'Model inputs'!B497,'Model inputs'!B498,'Model inputs'!B499))</f>
        <v>42500</v>
      </c>
      <c r="Q24" s="8">
        <f>IF(SUM(IF(IF('Model inputs'!B500="",0,1)="",0,IF('Model inputs'!B500="",0,1)),IF(IF('Model inputs'!B501="",0,1)="",0,IF('Model inputs'!B501="",0,1)),IF(IF('Model inputs'!B502="",0,1)="",0,IF('Model inputs'!B502="",0,1)),IF(IF('Model inputs'!B503="",0,1)="",0,IF('Model inputs'!B503="",0,1)),IF(IF('Model inputs'!B504="",0,1)="",0,IF('Model inputs'!B504="",0,1)))=0,"",SUM('Model inputs'!B500,'Model inputs'!B501,'Model inputs'!B502,'Model inputs'!B503,'Model inputs'!B504))</f>
        <v>45000</v>
      </c>
      <c r="R24" s="8">
        <f>IF(SUM(IF(IF('Model inputs'!B505="",0,1)="",0,IF('Model inputs'!B505="",0,1)),IF(IF('Model inputs'!B506="",0,1)="",0,IF('Model inputs'!B506="",0,1)),IF(IF('Model inputs'!B507="",0,1)="",0,IF('Model inputs'!B507="",0,1)),IF(IF('Model inputs'!B508="",0,1)="",0,IF('Model inputs'!B508="",0,1)),IF(IF('Model inputs'!B509="",0,1)="",0,IF('Model inputs'!B509="",0,1)))=0,"",SUM('Model inputs'!B505,'Model inputs'!B506,'Model inputs'!B507,'Model inputs'!B508,'Model inputs'!B509))</f>
        <v>47500</v>
      </c>
      <c r="S24" s="8">
        <f>IF(SUM(IF(IF('Model inputs'!B510="",0,1)="",0,IF('Model inputs'!B510="",0,1)),IF(IF('Model inputs'!B511="",0,1)="",0,IF('Model inputs'!B511="",0,1)),IF(IF('Model inputs'!B512="",0,1)="",0,IF('Model inputs'!B512="",0,1)),IF(IF('Model inputs'!B513="",0,1)="",0,IF('Model inputs'!B513="",0,1)),IF(IF('Model inputs'!B514="",0,1)="",0,IF('Model inputs'!B514="",0,1)))=0,"",SUM('Model inputs'!B510,'Model inputs'!B511,'Model inputs'!B512,'Model inputs'!B513,'Model inputs'!B514))</f>
        <v>50000</v>
      </c>
      <c r="T24" s="8">
        <f>IF(SUM(IF(IF('Model inputs'!B515="",0,1)="",0,IF('Model inputs'!B515="",0,1)),IF(IF('Model inputs'!B516="",0,1)="",0,IF('Model inputs'!B516="",0,1)),IF(IF('Model inputs'!B517="",0,1)="",0,IF('Model inputs'!B517="",0,1)),IF(IF('Model inputs'!B518="",0,1)="",0,IF('Model inputs'!B518="",0,1)),IF(IF('Model inputs'!B519="",0,1)="",0,IF('Model inputs'!B519="",0,1)))=0,"",SUM('Model inputs'!B515,'Model inputs'!B516,'Model inputs'!B517,'Model inputs'!B518,'Model inputs'!B519))</f>
        <v>52500</v>
      </c>
      <c r="U24" s="8">
        <f>IF(SUM(IF(IF('Model inputs'!B520="",0,1)="",0,IF('Model inputs'!B520="",0,1)),IF(IF('Model inputs'!B521="",0,1)="",0,IF('Model inputs'!B521="",0,1)),IF(IF('Model inputs'!B522="",0,1)="",0,IF('Model inputs'!B522="",0,1)),IF(IF('Model inputs'!B523="",0,1)="",0,IF('Model inputs'!B523="",0,1)),IF(IF('Model inputs'!B524="",0,1)="",0,IF('Model inputs'!B524="",0,1)))=0,"",SUM('Model inputs'!B520,'Model inputs'!B521,'Model inputs'!B522,'Model inputs'!B523,'Model inputs'!B524))</f>
        <v>55000</v>
      </c>
      <c r="V24" s="8">
        <f>IF(SUM(IF(IF('Model inputs'!B525="",0,1)="",0,IF('Model inputs'!B525="",0,1)),IF(IF('Model inputs'!B526="",0,1)="",0,IF('Model inputs'!B526="",0,1)),IF(IF('Model inputs'!B527="",0,1)="",0,IF('Model inputs'!B527="",0,1)),IF(IF('Model inputs'!B528="",0,1)="",0,IF('Model inputs'!B528="",0,1)),IF(IF('Model inputs'!B529="",0,1)="",0,IF('Model inputs'!B529="",0,1)))=0,"",SUM('Model inputs'!B525,'Model inputs'!B526,'Model inputs'!B527,'Model inputs'!B528,'Model inputs'!B529))</f>
        <v>57500</v>
      </c>
      <c r="W24" s="8">
        <f>IF(SUM(IF(IF('Model inputs'!B530="",0,1)="",0,IF('Model inputs'!B530="",0,1)),IF(IF('Model inputs'!B531="",0,1)="",0,IF('Model inputs'!B531="",0,1)),IF(IF('Model inputs'!B532="",0,1)="",0,IF('Model inputs'!B532="",0,1)),IF(IF('Model inputs'!B533="",0,1)="",0,IF('Model inputs'!B533="",0,1)),IF(IF('Model inputs'!B534="",0,1)="",0,IF('Model inputs'!B534="",0,1)))=0,"",SUM('Model inputs'!B530,'Model inputs'!B531,'Model inputs'!B532,'Model inputs'!B533,'Model inputs'!B534))</f>
        <v>60000</v>
      </c>
      <c r="X24" s="8">
        <f>IF(SUM(IF(IF('Model inputs'!B535="",0,1)="",0,IF('Model inputs'!B535="",0,1)),IF(IF('Model inputs'!B536="",0,1)="",0,IF('Model inputs'!B536="",0,1)),IF(IF('Model inputs'!B537="",0,1)="",0,IF('Model inputs'!B537="",0,1)),IF(IF('Model inputs'!B538="",0,1)="",0,IF('Model inputs'!B538="",0,1)),IF(IF('Model inputs'!B539="",0,1)="",0,IF('Model inputs'!B539="",0,1)))=0,"",SUM('Model inputs'!B535,'Model inputs'!B536,'Model inputs'!B537,'Model inputs'!B538,'Model inputs'!B539))</f>
        <v>30000</v>
      </c>
      <c r="Y24" s="8">
        <f>IF(SUM(IF(IF('Model inputs'!B540="",0,1)="",0,IF('Model inputs'!B540="",0,1)),IF(IF('Model inputs'!B541="",0,1)="",0,IF('Model inputs'!B541="",0,1)),IF(IF('Model inputs'!B542="",0,1)="",0,IF('Model inputs'!B542="",0,1)),IF(IF('Model inputs'!B543="",0,1)="",0,IF('Model inputs'!B543="",0,1)),IF(IF('Model inputs'!B544="",0,1)="",0,IF('Model inputs'!B544="",0,1)))=0,"",SUM('Model inputs'!B540,'Model inputs'!B541,'Model inputs'!B542,'Model inputs'!B543,'Model inputs'!B544))</f>
        <v>30000</v>
      </c>
      <c r="Z24" s="8">
        <f>IF(SUM(IF(IF('Model inputs'!B545="",0,1)="",0,IF('Model inputs'!B545="",0,1)),IF(IF('Model inputs'!B546="",0,1)="",0,IF('Model inputs'!B546="",0,1)),IF(IF('Model inputs'!B547="",0,1)="",0,IF('Model inputs'!B547="",0,1)),IF(IF('Model inputs'!B548="",0,1)="",0,IF('Model inputs'!B548="",0,1)),IF(IF('Model inputs'!B549="",0,1)="",0,IF('Model inputs'!B549="",0,1)))=0,"",SUM('Model inputs'!B545,'Model inputs'!B546,'Model inputs'!B547,'Model inputs'!B548,'Model inputs'!B549))</f>
        <v>30000</v>
      </c>
    </row>
    <row r="25">
      <c r="A25" t="inlineStr" s="14">
        <is>
          <t xml:space="preserve">Plan Cash collections · Conservative</t>
        </is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f>IF(SUM(IF(IF('Model inputs'!B550="",0,1)="",0,IF('Model inputs'!B550="",0,1)),IF(IF('Model inputs'!B551="",0,1)="",0,IF('Model inputs'!B551="",0,1)),IF(IF('Model inputs'!B552="",0,1)="",0,IF('Model inputs'!B552="",0,1)),IF(IF('Model inputs'!B553="",0,1)="",0,IF('Model inputs'!B553="",0,1)),IF(IF('Model inputs'!B554="",0,1)="",0,IF('Model inputs'!B554="",0,1)))=0,"",SUM('Model inputs'!B550,'Model inputs'!B551,'Model inputs'!B552,'Model inputs'!B553,'Model inputs'!B554))</f>
        <v>0</v>
      </c>
      <c r="M25" s="8">
        <f>IF(SUM(IF(IF('Model inputs'!B555="",0,1)="",0,IF('Model inputs'!B555="",0,1)),IF(IF('Model inputs'!B556="",0,1)="",0,IF('Model inputs'!B556="",0,1)),IF(IF('Model inputs'!B557="",0,1)="",0,IF('Model inputs'!B557="",0,1)),IF(IF('Model inputs'!B558="",0,1)="",0,IF('Model inputs'!B558="",0,1)),IF(IF('Model inputs'!B559="",0,1)="",0,IF('Model inputs'!B559="",0,1)))=0,"",SUM('Model inputs'!B555,'Model inputs'!B556,'Model inputs'!B557,'Model inputs'!B558,'Model inputs'!B559))</f>
        <v>0</v>
      </c>
      <c r="N25" s="8">
        <f>IF(SUM(IF(IF('Model inputs'!B560="",0,1)="",0,IF('Model inputs'!B560="",0,1)),IF(IF('Model inputs'!B561="",0,1)="",0,IF('Model inputs'!B561="",0,1)),IF(IF('Model inputs'!B562="",0,1)="",0,IF('Model inputs'!B562="",0,1)),IF(IF('Model inputs'!B563="",0,1)="",0,IF('Model inputs'!B563="",0,1)),IF(IF('Model inputs'!B564="",0,1)="",0,IF('Model inputs'!B564="",0,1)))=0,"",SUM('Model inputs'!B560,'Model inputs'!B561,'Model inputs'!B562,'Model inputs'!B563,'Model inputs'!B564))</f>
        <v>3000</v>
      </c>
      <c r="O25" s="8">
        <f>IF(SUM(IF(IF('Model inputs'!B565="",0,1)="",0,IF('Model inputs'!B565="",0,1)),IF(IF('Model inputs'!B566="",0,1)="",0,IF('Model inputs'!B566="",0,1)),IF(IF('Model inputs'!B567="",0,1)="",0,IF('Model inputs'!B567="",0,1)),IF(IF('Model inputs'!B568="",0,1)="",0,IF('Model inputs'!B568="",0,1)),IF(IF('Model inputs'!B569="",0,1)="",0,IF('Model inputs'!B569="",0,1)))=0,"",SUM('Model inputs'!B565,'Model inputs'!B566,'Model inputs'!B567,'Model inputs'!B568,'Model inputs'!B569))</f>
        <v>3000</v>
      </c>
      <c r="P25" s="8">
        <f>IF(SUM(IF(IF('Model inputs'!B570="",0,1)="",0,IF('Model inputs'!B570="",0,1)),IF(IF('Model inputs'!B571="",0,1)="",0,IF('Model inputs'!B571="",0,1)),IF(IF('Model inputs'!B572="",0,1)="",0,IF('Model inputs'!B572="",0,1)),IF(IF('Model inputs'!B573="",0,1)="",0,IF('Model inputs'!B573="",0,1)),IF(IF('Model inputs'!B574="",0,1)="",0,IF('Model inputs'!B574="",0,1)))=0,"",SUM('Model inputs'!B570,'Model inputs'!B571,'Model inputs'!B572,'Model inputs'!B573,'Model inputs'!B574))</f>
        <v>3000</v>
      </c>
      <c r="Q25" s="8">
        <f>IF(SUM(IF(IF('Model inputs'!B575="",0,1)="",0,IF('Model inputs'!B575="",0,1)),IF(IF('Model inputs'!B576="",0,1)="",0,IF('Model inputs'!B576="",0,1)),IF(IF('Model inputs'!B577="",0,1)="",0,IF('Model inputs'!B577="",0,1)),IF(IF('Model inputs'!B578="",0,1)="",0,IF('Model inputs'!B578="",0,1)),IF(IF('Model inputs'!B579="",0,1)="",0,IF('Model inputs'!B579="",0,1)))=0,"",SUM('Model inputs'!B575,'Model inputs'!B576,'Model inputs'!B577,'Model inputs'!B578,'Model inputs'!B579))</f>
        <v>3000</v>
      </c>
      <c r="R25" s="8">
        <f>IF(SUM(IF(IF('Model inputs'!B580="",0,1)="",0,IF('Model inputs'!B580="",0,1)),IF(IF('Model inputs'!B581="",0,1)="",0,IF('Model inputs'!B581="",0,1)),IF(IF('Model inputs'!B582="",0,1)="",0,IF('Model inputs'!B582="",0,1)),IF(IF('Model inputs'!B583="",0,1)="",0,IF('Model inputs'!B583="",0,1)),IF(IF('Model inputs'!B584="",0,1)="",0,IF('Model inputs'!B584="",0,1)))=0,"",SUM('Model inputs'!B580,'Model inputs'!B581,'Model inputs'!B582,'Model inputs'!B583,'Model inputs'!B584))</f>
        <v>3000</v>
      </c>
      <c r="S25" s="8">
        <f>IF(SUM(IF(IF('Model inputs'!B585="",0,1)="",0,IF('Model inputs'!B585="",0,1)),IF(IF('Model inputs'!B586="",0,1)="",0,IF('Model inputs'!B586="",0,1)),IF(IF('Model inputs'!B587="",0,1)="",0,IF('Model inputs'!B587="",0,1)),IF(IF('Model inputs'!B588="",0,1)="",0,IF('Model inputs'!B588="",0,1)),IF(IF('Model inputs'!B589="",0,1)="",0,IF('Model inputs'!B589="",0,1)))=0,"",SUM('Model inputs'!B585,'Model inputs'!B586,'Model inputs'!B587,'Model inputs'!B588,'Model inputs'!B589))</f>
        <v>3000</v>
      </c>
      <c r="T25" s="8">
        <f>IF(SUM(IF(IF('Model inputs'!B590="",0,1)="",0,IF('Model inputs'!B590="",0,1)),IF(IF('Model inputs'!B591="",0,1)="",0,IF('Model inputs'!B591="",0,1)),IF(IF('Model inputs'!B592="",0,1)="",0,IF('Model inputs'!B592="",0,1)),IF(IF('Model inputs'!B593="",0,1)="",0,IF('Model inputs'!B593="",0,1)),IF(IF('Model inputs'!B594="",0,1)="",0,IF('Model inputs'!B594="",0,1)))=0,"",SUM('Model inputs'!B590,'Model inputs'!B591,'Model inputs'!B592,'Model inputs'!B593,'Model inputs'!B594))</f>
        <v>3000</v>
      </c>
      <c r="U25" s="8">
        <f>IF(SUM(IF(IF('Model inputs'!B595="",0,1)="",0,IF('Model inputs'!B595="",0,1)),IF(IF('Model inputs'!B596="",0,1)="",0,IF('Model inputs'!B596="",0,1)),IF(IF('Model inputs'!B597="",0,1)="",0,IF('Model inputs'!B597="",0,1)),IF(IF('Model inputs'!B598="",0,1)="",0,IF('Model inputs'!B598="",0,1)),IF(IF('Model inputs'!B599="",0,1)="",0,IF('Model inputs'!B599="",0,1)))=0,"",SUM('Model inputs'!B595,'Model inputs'!B596,'Model inputs'!B597,'Model inputs'!B598,'Model inputs'!B599))</f>
        <v>3000</v>
      </c>
      <c r="V25" s="8">
        <f>IF(SUM(IF(IF('Model inputs'!B600="",0,1)="",0,IF('Model inputs'!B600="",0,1)),IF(IF('Model inputs'!B601="",0,1)="",0,IF('Model inputs'!B601="",0,1)),IF(IF('Model inputs'!B602="",0,1)="",0,IF('Model inputs'!B602="",0,1)),IF(IF('Model inputs'!B603="",0,1)="",0,IF('Model inputs'!B603="",0,1)),IF(IF('Model inputs'!B604="",0,1)="",0,IF('Model inputs'!B604="",0,1)))=0,"",SUM('Model inputs'!B600,'Model inputs'!B601,'Model inputs'!B602,'Model inputs'!B603,'Model inputs'!B604))</f>
        <v>3000</v>
      </c>
      <c r="W25" s="8">
        <f>IF(SUM(IF(IF('Model inputs'!B605="",0,1)="",0,IF('Model inputs'!B605="",0,1)),IF(IF('Model inputs'!B606="",0,1)="",0,IF('Model inputs'!B606="",0,1)),IF(IF('Model inputs'!B607="",0,1)="",0,IF('Model inputs'!B607="",0,1)),IF(IF('Model inputs'!B608="",0,1)="",0,IF('Model inputs'!B608="",0,1)),IF(IF('Model inputs'!B609="",0,1)="",0,IF('Model inputs'!B609="",0,1)))=0,"",SUM('Model inputs'!B605,'Model inputs'!B606,'Model inputs'!B607,'Model inputs'!B608,'Model inputs'!B609))</f>
        <v>3000</v>
      </c>
      <c r="X25" s="8">
        <f>IF(SUM(IF(IF('Model inputs'!B610="",0,1)="",0,IF('Model inputs'!B610="",0,1)),IF(IF('Model inputs'!B611="",0,1)="",0,IF('Model inputs'!B611="",0,1)),IF(IF('Model inputs'!B612="",0,1)="",0,IF('Model inputs'!B612="",0,1)),IF(IF('Model inputs'!B613="",0,1)="",0,IF('Model inputs'!B613="",0,1)),IF(IF('Model inputs'!B614="",0,1)="",0,IF('Model inputs'!B614="",0,1)))=0,"",SUM('Model inputs'!B610,'Model inputs'!B611,'Model inputs'!B612,'Model inputs'!B613,'Model inputs'!B614))</f>
        <v>3000</v>
      </c>
      <c r="Y25" s="8">
        <f>IF(SUM(IF(IF('Model inputs'!B615="",0,1)="",0,IF('Model inputs'!B615="",0,1)),IF(IF('Model inputs'!B616="",0,1)="",0,IF('Model inputs'!B616="",0,1)),IF(IF('Model inputs'!B617="",0,1)="",0,IF('Model inputs'!B617="",0,1)),IF(IF('Model inputs'!B618="",0,1)="",0,IF('Model inputs'!B618="",0,1)),IF(IF('Model inputs'!B619="",0,1)="",0,IF('Model inputs'!B619="",0,1)))=0,"",SUM('Model inputs'!B615,'Model inputs'!B616,'Model inputs'!B617,'Model inputs'!B618,'Model inputs'!B619))</f>
        <v>3000</v>
      </c>
      <c r="Z25" s="8">
        <f>IF(SUM(IF(IF('Model inputs'!B620="",0,1)="",0,IF('Model inputs'!B620="",0,1)),IF(IF('Model inputs'!B621="",0,1)="",0,IF('Model inputs'!B621="",0,1)),IF(IF('Model inputs'!B622="",0,1)="",0,IF('Model inputs'!B622="",0,1)),IF(IF('Model inputs'!B623="",0,1)="",0,IF('Model inputs'!B623="",0,1)),IF(IF('Model inputs'!B624="",0,1)="",0,IF('Model inputs'!B624="",0,1)))=0,"",SUM('Model inputs'!B620,'Model inputs'!B621,'Model inputs'!B622,'Model inputs'!B623,'Model inputs'!B624))</f>
        <v>3000</v>
      </c>
    </row>
    <row r="26">
      <c r="A26" t="inlineStr" s="14">
        <is>
          <t xml:space="preserve">Plan Earned revenue · Growth</t>
        </is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f>IF(SUM(IF(IF('Model inputs'!B625="",0,1)="",0,IF('Model inputs'!B625="",0,1)),IF(IF('Model inputs'!B626="",0,1)="",0,IF('Model inputs'!B626="",0,1)),IF(IF('Model inputs'!B627="",0,1)="",0,IF('Model inputs'!B627="",0,1)),IF(IF('Model inputs'!B628="",0,1)="",0,IF('Model inputs'!B628="",0,1)),IF(IF('Model inputs'!B629="",0,1)="",0,IF('Model inputs'!B629="",0,1)))=0,"",SUM('Model inputs'!B625,'Model inputs'!B626,'Model inputs'!B627,'Model inputs'!B628,'Model inputs'!B629))</f>
        <v>5000</v>
      </c>
      <c r="M26" s="8">
        <f>IF(SUM(IF(IF('Model inputs'!B630="",0,1)="",0,IF('Model inputs'!B630="",0,1)),IF(IF('Model inputs'!B631="",0,1)="",0,IF('Model inputs'!B631="",0,1)),IF(IF('Model inputs'!B632="",0,1)="",0,IF('Model inputs'!B632="",0,1)),IF(IF('Model inputs'!B633="",0,1)="",0,IF('Model inputs'!B633="",0,1)),IF(IF('Model inputs'!B634="",0,1)="",0,IF('Model inputs'!B634="",0,1)))=0,"",SUM('Model inputs'!B630,'Model inputs'!B631,'Model inputs'!B632,'Model inputs'!B633,'Model inputs'!B634))</f>
        <v>10000</v>
      </c>
      <c r="N26" s="8">
        <f>IF(SUM(IF(IF('Model inputs'!B635="",0,1)="",0,IF('Model inputs'!B635="",0,1)),IF(IF('Model inputs'!B636="",0,1)="",0,IF('Model inputs'!B636="",0,1)),IF(IF('Model inputs'!B637="",0,1)="",0,IF('Model inputs'!B637="",0,1)),IF(IF('Model inputs'!B638="",0,1)="",0,IF('Model inputs'!B638="",0,1)),IF(IF('Model inputs'!B639="",0,1)="",0,IF('Model inputs'!B639="",0,1)))=0,"",SUM('Model inputs'!B635,'Model inputs'!B636,'Model inputs'!B637,'Model inputs'!B638,'Model inputs'!B639))</f>
        <v>15000</v>
      </c>
      <c r="O26" s="8">
        <f>IF(SUM(IF(IF('Model inputs'!B640="",0,1)="",0,IF('Model inputs'!B640="",0,1)),IF(IF('Model inputs'!B641="",0,1)="",0,IF('Model inputs'!B641="",0,1)),IF(IF('Model inputs'!B642="",0,1)="",0,IF('Model inputs'!B642="",0,1)),IF(IF('Model inputs'!B643="",0,1)="",0,IF('Model inputs'!B643="",0,1)),IF(IF('Model inputs'!B644="",0,1)="",0,IF('Model inputs'!B644="",0,1)))=0,"",SUM('Model inputs'!B640,'Model inputs'!B641,'Model inputs'!B642,'Model inputs'!B643,'Model inputs'!B644))</f>
        <v>20000</v>
      </c>
      <c r="P26" s="8">
        <f>IF(SUM(IF(IF('Model inputs'!B645="",0,1)="",0,IF('Model inputs'!B645="",0,1)),IF(IF('Model inputs'!B646="",0,1)="",0,IF('Model inputs'!B646="",0,1)),IF(IF('Model inputs'!B647="",0,1)="",0,IF('Model inputs'!B647="",0,1)),IF(IF('Model inputs'!B648="",0,1)="",0,IF('Model inputs'!B648="",0,1)),IF(IF('Model inputs'!B649="",0,1)="",0,IF('Model inputs'!B649="",0,1)))=0,"",SUM('Model inputs'!B645,'Model inputs'!B646,'Model inputs'!B647,'Model inputs'!B648,'Model inputs'!B649))</f>
        <v>25000</v>
      </c>
      <c r="Q26" s="8">
        <f>IF(SUM(IF(IF('Model inputs'!B650="",0,1)="",0,IF('Model inputs'!B650="",0,1)),IF(IF('Model inputs'!B651="",0,1)="",0,IF('Model inputs'!B651="",0,1)),IF(IF('Model inputs'!B652="",0,1)="",0,IF('Model inputs'!B652="",0,1)),IF(IF('Model inputs'!B653="",0,1)="",0,IF('Model inputs'!B653="",0,1)),IF(IF('Model inputs'!B654="",0,1)="",0,IF('Model inputs'!B654="",0,1)))=0,"",SUM('Model inputs'!B650,'Model inputs'!B651,'Model inputs'!B652,'Model inputs'!B653,'Model inputs'!B654))</f>
        <v>30000</v>
      </c>
      <c r="R26" s="8">
        <f>IF(SUM(IF(IF('Model inputs'!B655="",0,1)="",0,IF('Model inputs'!B655="",0,1)),IF(IF('Model inputs'!B656="",0,1)="",0,IF('Model inputs'!B656="",0,1)),IF(IF('Model inputs'!B657="",0,1)="",0,IF('Model inputs'!B657="",0,1)),IF(IF('Model inputs'!B658="",0,1)="",0,IF('Model inputs'!B658="",0,1)),IF(IF('Model inputs'!B659="",0,1)="",0,IF('Model inputs'!B659="",0,1)))=0,"",SUM('Model inputs'!B655,'Model inputs'!B656,'Model inputs'!B657,'Model inputs'!B658,'Model inputs'!B659))</f>
        <v>35000</v>
      </c>
      <c r="S26" s="8">
        <f>IF(SUM(IF(IF('Model inputs'!B660="",0,1)="",0,IF('Model inputs'!B660="",0,1)),IF(IF('Model inputs'!B661="",0,1)="",0,IF('Model inputs'!B661="",0,1)),IF(IF('Model inputs'!B662="",0,1)="",0,IF('Model inputs'!B662="",0,1)),IF(IF('Model inputs'!B663="",0,1)="",0,IF('Model inputs'!B663="",0,1)),IF(IF('Model inputs'!B664="",0,1)="",0,IF('Model inputs'!B664="",0,1)))=0,"",SUM('Model inputs'!B660,'Model inputs'!B661,'Model inputs'!B662,'Model inputs'!B663,'Model inputs'!B664))</f>
        <v>40000</v>
      </c>
      <c r="T26" s="8">
        <f>IF(SUM(IF(IF('Model inputs'!B665="",0,1)="",0,IF('Model inputs'!B665="",0,1)),IF(IF('Model inputs'!B666="",0,1)="",0,IF('Model inputs'!B666="",0,1)),IF(IF('Model inputs'!B667="",0,1)="",0,IF('Model inputs'!B667="",0,1)),IF(IF('Model inputs'!B668="",0,1)="",0,IF('Model inputs'!B668="",0,1)),IF(IF('Model inputs'!B669="",0,1)="",0,IF('Model inputs'!B669="",0,1)))=0,"",SUM('Model inputs'!B665,'Model inputs'!B666,'Model inputs'!B667,'Model inputs'!B668,'Model inputs'!B669))</f>
        <v>45000</v>
      </c>
      <c r="U26" s="8">
        <f>IF(SUM(IF(IF('Model inputs'!B670="",0,1)="",0,IF('Model inputs'!B670="",0,1)),IF(IF('Model inputs'!B671="",0,1)="",0,IF('Model inputs'!B671="",0,1)),IF(IF('Model inputs'!B672="",0,1)="",0,IF('Model inputs'!B672="",0,1)),IF(IF('Model inputs'!B673="",0,1)="",0,IF('Model inputs'!B673="",0,1)),IF(IF('Model inputs'!B674="",0,1)="",0,IF('Model inputs'!B674="",0,1)))=0,"",SUM('Model inputs'!B670,'Model inputs'!B671,'Model inputs'!B672,'Model inputs'!B673,'Model inputs'!B674))</f>
        <v>50000</v>
      </c>
      <c r="V26" s="8">
        <f>IF(SUM(IF(IF('Model inputs'!B675="",0,1)="",0,IF('Model inputs'!B675="",0,1)),IF(IF('Model inputs'!B676="",0,1)="",0,IF('Model inputs'!B676="",0,1)),IF(IF('Model inputs'!B677="",0,1)="",0,IF('Model inputs'!B677="",0,1)),IF(IF('Model inputs'!B678="",0,1)="",0,IF('Model inputs'!B678="",0,1)),IF(IF('Model inputs'!B679="",0,1)="",0,IF('Model inputs'!B679="",0,1)))=0,"",SUM('Model inputs'!B675,'Model inputs'!B676,'Model inputs'!B677,'Model inputs'!B678,'Model inputs'!B679))</f>
        <v>55000</v>
      </c>
      <c r="W26" s="8">
        <f>IF(SUM(IF(IF('Model inputs'!B680="",0,1)="",0,IF('Model inputs'!B680="",0,1)),IF(IF('Model inputs'!B681="",0,1)="",0,IF('Model inputs'!B681="",0,1)),IF(IF('Model inputs'!B682="",0,1)="",0,IF('Model inputs'!B682="",0,1)),IF(IF('Model inputs'!B683="",0,1)="",0,IF('Model inputs'!B683="",0,1)),IF(IF('Model inputs'!B684="",0,1)="",0,IF('Model inputs'!B684="",0,1)))=0,"",SUM('Model inputs'!B680,'Model inputs'!B681,'Model inputs'!B682,'Model inputs'!B683,'Model inputs'!B684))</f>
        <v>60000</v>
      </c>
      <c r="X26" s="8">
        <f>IF(SUM(IF(IF('Model inputs'!B685="",0,1)="",0,IF('Model inputs'!B685="",0,1)),IF(IF('Model inputs'!B686="",0,1)="",0,IF('Model inputs'!B686="",0,1)),IF(IF('Model inputs'!B687="",0,1)="",0,IF('Model inputs'!B687="",0,1)),IF(IF('Model inputs'!B688="",0,1)="",0,IF('Model inputs'!B688="",0,1)),IF(IF('Model inputs'!B689="",0,1)="",0,IF('Model inputs'!B689="",0,1)))=0,"",SUM('Model inputs'!B685,'Model inputs'!B686,'Model inputs'!B687,'Model inputs'!B688,'Model inputs'!B689))</f>
        <v>60000</v>
      </c>
      <c r="Y26" s="8">
        <f>IF(SUM(IF(IF('Model inputs'!B690="",0,1)="",0,IF('Model inputs'!B690="",0,1)),IF(IF('Model inputs'!B691="",0,1)="",0,IF('Model inputs'!B691="",0,1)),IF(IF('Model inputs'!B692="",0,1)="",0,IF('Model inputs'!B692="",0,1)),IF(IF('Model inputs'!B693="",0,1)="",0,IF('Model inputs'!B693="",0,1)),IF(IF('Model inputs'!B694="",0,1)="",0,IF('Model inputs'!B694="",0,1)))=0,"",SUM('Model inputs'!B690,'Model inputs'!B691,'Model inputs'!B692,'Model inputs'!B693,'Model inputs'!B694))</f>
        <v>60000</v>
      </c>
      <c r="Z26" s="8">
        <f>IF(SUM(IF(IF('Model inputs'!B695="",0,1)="",0,IF('Model inputs'!B695="",0,1)),IF(IF('Model inputs'!B696="",0,1)="",0,IF('Model inputs'!B696="",0,1)),IF(IF('Model inputs'!B697="",0,1)="",0,IF('Model inputs'!B697="",0,1)),IF(IF('Model inputs'!B698="",0,1)="",0,IF('Model inputs'!B698="",0,1)),IF(IF('Model inputs'!B699="",0,1)="",0,IF('Model inputs'!B699="",0,1)))=0,"",SUM('Model inputs'!B695,'Model inputs'!B696,'Model inputs'!B697,'Model inputs'!B698,'Model inputs'!B699))</f>
        <v>60000</v>
      </c>
    </row>
    <row r="27">
      <c r="A27" t="inlineStr" s="14">
        <is>
          <t xml:space="preserve">Plan Earned revenue · Conservative</t>
        </is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f>IF(SUM(IF(IF('Model inputs'!B700="",0,1)="",0,IF('Model inputs'!B700="",0,1)),IF(IF('Model inputs'!B701="",0,1)="",0,IF('Model inputs'!B701="",0,1)),IF(IF('Model inputs'!B702="",0,1)="",0,IF('Model inputs'!B702="",0,1)),IF(IF('Model inputs'!B703="",0,1)="",0,IF('Model inputs'!B703="",0,1)),IF(IF('Model inputs'!B704="",0,1)="",0,IF('Model inputs'!B704="",0,1)))=0,"",SUM('Model inputs'!B700,'Model inputs'!B701,'Model inputs'!B702,'Model inputs'!B703,'Model inputs'!B704))</f>
        <v>0</v>
      </c>
      <c r="M27" s="8">
        <f>IF(SUM(IF(IF('Model inputs'!B705="",0,1)="",0,IF('Model inputs'!B705="",0,1)),IF(IF('Model inputs'!B706="",0,1)="",0,IF('Model inputs'!B706="",0,1)),IF(IF('Model inputs'!B707="",0,1)="",0,IF('Model inputs'!B707="",0,1)),IF(IF('Model inputs'!B708="",0,1)="",0,IF('Model inputs'!B708="",0,1)),IF(IF('Model inputs'!B709="",0,1)="",0,IF('Model inputs'!B709="",0,1)))=0,"",SUM('Model inputs'!B705,'Model inputs'!B706,'Model inputs'!B707,'Model inputs'!B708,'Model inputs'!B709))</f>
        <v>0</v>
      </c>
      <c r="N27" s="8">
        <f>IF(SUM(IF(IF('Model inputs'!B710="",0,1)="",0,IF('Model inputs'!B710="",0,1)),IF(IF('Model inputs'!B711="",0,1)="",0,IF('Model inputs'!B711="",0,1)),IF(IF('Model inputs'!B712="",0,1)="",0,IF('Model inputs'!B712="",0,1)),IF(IF('Model inputs'!B713="",0,1)="",0,IF('Model inputs'!B713="",0,1)),IF(IF('Model inputs'!B714="",0,1)="",0,IF('Model inputs'!B714="",0,1)))=0,"",SUM('Model inputs'!B710,'Model inputs'!B711,'Model inputs'!B712,'Model inputs'!B713,'Model inputs'!B714))</f>
        <v>3000</v>
      </c>
      <c r="O27" s="8">
        <f>IF(SUM(IF(IF('Model inputs'!B715="",0,1)="",0,IF('Model inputs'!B715="",0,1)),IF(IF('Model inputs'!B716="",0,1)="",0,IF('Model inputs'!B716="",0,1)),IF(IF('Model inputs'!B717="",0,1)="",0,IF('Model inputs'!B717="",0,1)),IF(IF('Model inputs'!B718="",0,1)="",0,IF('Model inputs'!B718="",0,1)),IF(IF('Model inputs'!B719="",0,1)="",0,IF('Model inputs'!B719="",0,1)))=0,"",SUM('Model inputs'!B715,'Model inputs'!B716,'Model inputs'!B717,'Model inputs'!B718,'Model inputs'!B719))</f>
        <v>3000</v>
      </c>
      <c r="P27" s="8">
        <f>IF(SUM(IF(IF('Model inputs'!B720="",0,1)="",0,IF('Model inputs'!B720="",0,1)),IF(IF('Model inputs'!B721="",0,1)="",0,IF('Model inputs'!B721="",0,1)),IF(IF('Model inputs'!B722="",0,1)="",0,IF('Model inputs'!B722="",0,1)),IF(IF('Model inputs'!B723="",0,1)="",0,IF('Model inputs'!B723="",0,1)),IF(IF('Model inputs'!B724="",0,1)="",0,IF('Model inputs'!B724="",0,1)))=0,"",SUM('Model inputs'!B720,'Model inputs'!B721,'Model inputs'!B722,'Model inputs'!B723,'Model inputs'!B724))</f>
        <v>3000</v>
      </c>
      <c r="Q27" s="8">
        <f>IF(SUM(IF(IF('Model inputs'!B725="",0,1)="",0,IF('Model inputs'!B725="",0,1)),IF(IF('Model inputs'!B726="",0,1)="",0,IF('Model inputs'!B726="",0,1)),IF(IF('Model inputs'!B727="",0,1)="",0,IF('Model inputs'!B727="",0,1)),IF(IF('Model inputs'!B728="",0,1)="",0,IF('Model inputs'!B728="",0,1)),IF(IF('Model inputs'!B729="",0,1)="",0,IF('Model inputs'!B729="",0,1)))=0,"",SUM('Model inputs'!B725,'Model inputs'!B726,'Model inputs'!B727,'Model inputs'!B728,'Model inputs'!B729))</f>
        <v>3000</v>
      </c>
      <c r="R27" s="8">
        <f>IF(SUM(IF(IF('Model inputs'!B730="",0,1)="",0,IF('Model inputs'!B730="",0,1)),IF(IF('Model inputs'!B731="",0,1)="",0,IF('Model inputs'!B731="",0,1)),IF(IF('Model inputs'!B732="",0,1)="",0,IF('Model inputs'!B732="",0,1)),IF(IF('Model inputs'!B733="",0,1)="",0,IF('Model inputs'!B733="",0,1)),IF(IF('Model inputs'!B734="",0,1)="",0,IF('Model inputs'!B734="",0,1)))=0,"",SUM('Model inputs'!B730,'Model inputs'!B731,'Model inputs'!B732,'Model inputs'!B733,'Model inputs'!B734))</f>
        <v>3000</v>
      </c>
      <c r="S27" s="8">
        <f>IF(SUM(IF(IF('Model inputs'!B735="",0,1)="",0,IF('Model inputs'!B735="",0,1)),IF(IF('Model inputs'!B736="",0,1)="",0,IF('Model inputs'!B736="",0,1)),IF(IF('Model inputs'!B737="",0,1)="",0,IF('Model inputs'!B737="",0,1)),IF(IF('Model inputs'!B738="",0,1)="",0,IF('Model inputs'!B738="",0,1)),IF(IF('Model inputs'!B739="",0,1)="",0,IF('Model inputs'!B739="",0,1)))=0,"",SUM('Model inputs'!B735,'Model inputs'!B736,'Model inputs'!B737,'Model inputs'!B738,'Model inputs'!B739))</f>
        <v>3000</v>
      </c>
      <c r="T27" s="8">
        <f>IF(SUM(IF(IF('Model inputs'!B740="",0,1)="",0,IF('Model inputs'!B740="",0,1)),IF(IF('Model inputs'!B741="",0,1)="",0,IF('Model inputs'!B741="",0,1)),IF(IF('Model inputs'!B742="",0,1)="",0,IF('Model inputs'!B742="",0,1)),IF(IF('Model inputs'!B743="",0,1)="",0,IF('Model inputs'!B743="",0,1)),IF(IF('Model inputs'!B744="",0,1)="",0,IF('Model inputs'!B744="",0,1)))=0,"",SUM('Model inputs'!B740,'Model inputs'!B741,'Model inputs'!B742,'Model inputs'!B743,'Model inputs'!B744))</f>
        <v>3000</v>
      </c>
      <c r="U27" s="8">
        <f>IF(SUM(IF(IF('Model inputs'!B745="",0,1)="",0,IF('Model inputs'!B745="",0,1)),IF(IF('Model inputs'!B746="",0,1)="",0,IF('Model inputs'!B746="",0,1)),IF(IF('Model inputs'!B747="",0,1)="",0,IF('Model inputs'!B747="",0,1)),IF(IF('Model inputs'!B748="",0,1)="",0,IF('Model inputs'!B748="",0,1)),IF(IF('Model inputs'!B749="",0,1)="",0,IF('Model inputs'!B749="",0,1)))=0,"",SUM('Model inputs'!B745,'Model inputs'!B746,'Model inputs'!B747,'Model inputs'!B748,'Model inputs'!B749))</f>
        <v>3000</v>
      </c>
      <c r="V27" s="8">
        <f>IF(SUM(IF(IF('Model inputs'!B750="",0,1)="",0,IF('Model inputs'!B750="",0,1)),IF(IF('Model inputs'!B751="",0,1)="",0,IF('Model inputs'!B751="",0,1)),IF(IF('Model inputs'!B752="",0,1)="",0,IF('Model inputs'!B752="",0,1)),IF(IF('Model inputs'!B753="",0,1)="",0,IF('Model inputs'!B753="",0,1)),IF(IF('Model inputs'!B754="",0,1)="",0,IF('Model inputs'!B754="",0,1)))=0,"",SUM('Model inputs'!B750,'Model inputs'!B751,'Model inputs'!B752,'Model inputs'!B753,'Model inputs'!B754))</f>
        <v>3000</v>
      </c>
      <c r="W27" s="8">
        <f>IF(SUM(IF(IF('Model inputs'!B755="",0,1)="",0,IF('Model inputs'!B755="",0,1)),IF(IF('Model inputs'!B756="",0,1)="",0,IF('Model inputs'!B756="",0,1)),IF(IF('Model inputs'!B757="",0,1)="",0,IF('Model inputs'!B757="",0,1)),IF(IF('Model inputs'!B758="",0,1)="",0,IF('Model inputs'!B758="",0,1)),IF(IF('Model inputs'!B759="",0,1)="",0,IF('Model inputs'!B759="",0,1)))=0,"",SUM('Model inputs'!B755,'Model inputs'!B756,'Model inputs'!B757,'Model inputs'!B758,'Model inputs'!B759))</f>
        <v>3000</v>
      </c>
      <c r="X27" s="8">
        <f>IF(SUM(IF(IF('Model inputs'!B760="",0,1)="",0,IF('Model inputs'!B760="",0,1)),IF(IF('Model inputs'!B761="",0,1)="",0,IF('Model inputs'!B761="",0,1)),IF(IF('Model inputs'!B762="",0,1)="",0,IF('Model inputs'!B762="",0,1)),IF(IF('Model inputs'!B763="",0,1)="",0,IF('Model inputs'!B763="",0,1)),IF(IF('Model inputs'!B764="",0,1)="",0,IF('Model inputs'!B764="",0,1)))=0,"",SUM('Model inputs'!B760,'Model inputs'!B761,'Model inputs'!B762,'Model inputs'!B763,'Model inputs'!B764))</f>
        <v>3000</v>
      </c>
      <c r="Y27" s="8">
        <f>IF(SUM(IF(IF('Model inputs'!B765="",0,1)="",0,IF('Model inputs'!B765="",0,1)),IF(IF('Model inputs'!B766="",0,1)="",0,IF('Model inputs'!B766="",0,1)),IF(IF('Model inputs'!B767="",0,1)="",0,IF('Model inputs'!B767="",0,1)),IF(IF('Model inputs'!B768="",0,1)="",0,IF('Model inputs'!B768="",0,1)),IF(IF('Model inputs'!B769="",0,1)="",0,IF('Model inputs'!B769="",0,1)))=0,"",SUM('Model inputs'!B765,'Model inputs'!B766,'Model inputs'!B767,'Model inputs'!B768,'Model inputs'!B769))</f>
        <v>3000</v>
      </c>
      <c r="Z27" s="8">
        <f>IF(SUM(IF(IF('Model inputs'!B770="",0,1)="",0,IF('Model inputs'!B770="",0,1)),IF(IF('Model inputs'!B771="",0,1)="",0,IF('Model inputs'!B771="",0,1)),IF(IF('Model inputs'!B772="",0,1)="",0,IF('Model inputs'!B772="",0,1)),IF(IF('Model inputs'!B773="",0,1)="",0,IF('Model inputs'!B773="",0,1)),IF(IF('Model inputs'!B774="",0,1)="",0,IF('Model inputs'!B774="",0,1)))=0,"",SUM('Model inputs'!B770,'Model inputs'!B771,'Model inputs'!B772,'Model inputs'!B773,'Model inputs'!B774))</f>
        <v>3000</v>
      </c>
    </row>
    <row r="28">
      <c r="A28" t="inlineStr" s="14">
        <is>
          <t xml:space="preserve">Plan Net cash burn · Growth</t>
        </is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f>IF(SUM(IF(IF('Model inputs'!B775="",0,1)="",0,IF('Model inputs'!B775="",0,1)),IF(IF('Model inputs'!B776="",0,1)="",0,IF('Model inputs'!B776="",0,1)),IF(IF('Model inputs'!B777="",0,1)="",0,IF('Model inputs'!B777="",0,1)),IF(IF('Model inputs'!B778="",0,1)="",0,IF('Model inputs'!B778="",0,1)),IF(IF('Model inputs'!B779="",0,1)="",0,IF('Model inputs'!B779="",0,1)))=0,"",SUM('Model inputs'!B775,'Model inputs'!B776,'Model inputs'!B777,'Model inputs'!B778,'Model inputs'!B779))</f>
        <v>-30264.25</v>
      </c>
      <c r="M28" s="8">
        <f>IF(SUM(IF(IF('Model inputs'!B780="",0,1)="",0,IF('Model inputs'!B780="",0,1)),IF(IF('Model inputs'!B781="",0,1)="",0,IF('Model inputs'!B781="",0,1)),IF(IF('Model inputs'!B782="",0,1)="",0,IF('Model inputs'!B782="",0,1)),IF(IF('Model inputs'!B783="",0,1)="",0,IF('Model inputs'!B783="",0,1)),IF(IF('Model inputs'!B784="",0,1)="",0,IF('Model inputs'!B784="",0,1)))=0,"",SUM('Model inputs'!B780,'Model inputs'!B781,'Model inputs'!B782,'Model inputs'!B783,'Model inputs'!B784))</f>
        <v>-32178.5</v>
      </c>
      <c r="N28" s="8">
        <f>IF(SUM(IF(IF('Model inputs'!B785="",0,1)="",0,IF('Model inputs'!B785="",0,1)),IF(IF('Model inputs'!B786="",0,1)="",0,IF('Model inputs'!B786="",0,1)),IF(IF('Model inputs'!B787="",0,1)="",0,IF('Model inputs'!B787="",0,1)),IF(IF('Model inputs'!B788="",0,1)="",0,IF('Model inputs'!B788="",0,1)),IF(IF('Model inputs'!B789="",0,1)="",0,IF('Model inputs'!B789="",0,1)))=0,"",SUM('Model inputs'!B785,'Model inputs'!B786,'Model inputs'!B787,'Model inputs'!B788,'Model inputs'!B789))</f>
        <v>-34092.75</v>
      </c>
      <c r="O28" s="8">
        <f>IF(SUM(IF(IF('Model inputs'!B790="",0,1)="",0,IF('Model inputs'!B790="",0,1)),IF(IF('Model inputs'!B791="",0,1)="",0,IF('Model inputs'!B791="",0,1)),IF(IF('Model inputs'!B792="",0,1)="",0,IF('Model inputs'!B792="",0,1)),IF(IF('Model inputs'!B793="",0,1)="",0,IF('Model inputs'!B793="",0,1)),IF(IF('Model inputs'!B794="",0,1)="",0,IF('Model inputs'!B794="",0,1)))=0,"",SUM('Model inputs'!B790,'Model inputs'!B791,'Model inputs'!B792,'Model inputs'!B793,'Model inputs'!B794))</f>
        <v>-36007</v>
      </c>
      <c r="P28" s="8">
        <f>IF(SUM(IF(IF('Model inputs'!B795="",0,1)="",0,IF('Model inputs'!B795="",0,1)),IF(IF('Model inputs'!B796="",0,1)="",0,IF('Model inputs'!B796="",0,1)),IF(IF('Model inputs'!B797="",0,1)="",0,IF('Model inputs'!B797="",0,1)),IF(IF('Model inputs'!B798="",0,1)="",0,IF('Model inputs'!B798="",0,1)),IF(IF('Model inputs'!B799="",0,1)="",0,IF('Model inputs'!B799="",0,1)))=0,"",SUM('Model inputs'!B795,'Model inputs'!B796,'Model inputs'!B797,'Model inputs'!B798,'Model inputs'!B799))</f>
        <v>-37921.25</v>
      </c>
      <c r="Q28" s="8">
        <f>IF(SUM(IF(IF('Model inputs'!B800="",0,1)="",0,IF('Model inputs'!B800="",0,1)),IF(IF('Model inputs'!B801="",0,1)="",0,IF('Model inputs'!B801="",0,1)),IF(IF('Model inputs'!B802="",0,1)="",0,IF('Model inputs'!B802="",0,1)),IF(IF('Model inputs'!B803="",0,1)="",0,IF('Model inputs'!B803="",0,1)),IF(IF('Model inputs'!B804="",0,1)="",0,IF('Model inputs'!B804="",0,1)))=0,"",SUM('Model inputs'!B800,'Model inputs'!B801,'Model inputs'!B802,'Model inputs'!B803,'Model inputs'!B804))</f>
        <v>-39335.5</v>
      </c>
      <c r="R28" s="8">
        <f>IF(SUM(IF(IF('Model inputs'!B805="",0,1)="",0,IF('Model inputs'!B805="",0,1)),IF(IF('Model inputs'!B806="",0,1)="",0,IF('Model inputs'!B806="",0,1)),IF(IF('Model inputs'!B807="",0,1)="",0,IF('Model inputs'!B807="",0,1)),IF(IF('Model inputs'!B808="",0,1)="",0,IF('Model inputs'!B808="",0,1)),IF(IF('Model inputs'!B809="",0,1)="",0,IF('Model inputs'!B809="",0,1)))=0,"",SUM('Model inputs'!B805,'Model inputs'!B806,'Model inputs'!B807,'Model inputs'!B808,'Model inputs'!B809))</f>
        <v>-41249.75</v>
      </c>
      <c r="S28" s="8">
        <f>IF(SUM(IF(IF('Model inputs'!B810="",0,1)="",0,IF('Model inputs'!B810="",0,1)),IF(IF('Model inputs'!B811="",0,1)="",0,IF('Model inputs'!B811="",0,1)),IF(IF('Model inputs'!B812="",0,1)="",0,IF('Model inputs'!B812="",0,1)),IF(IF('Model inputs'!B813="",0,1)="",0,IF('Model inputs'!B813="",0,1)),IF(IF('Model inputs'!B814="",0,1)="",0,IF('Model inputs'!B814="",0,1)))=0,"",SUM('Model inputs'!B810,'Model inputs'!B811,'Model inputs'!B812,'Model inputs'!B813,'Model inputs'!B814))</f>
        <v>-43164</v>
      </c>
      <c r="T28" s="8">
        <f>IF(SUM(IF(IF('Model inputs'!B815="",0,1)="",0,IF('Model inputs'!B815="",0,1)),IF(IF('Model inputs'!B816="",0,1)="",0,IF('Model inputs'!B816="",0,1)),IF(IF('Model inputs'!B817="",0,1)="",0,IF('Model inputs'!B817="",0,1)),IF(IF('Model inputs'!B818="",0,1)="",0,IF('Model inputs'!B818="",0,1)),IF(IF('Model inputs'!B819="",0,1)="",0,IF('Model inputs'!B819="",0,1)))=0,"",SUM('Model inputs'!B815,'Model inputs'!B816,'Model inputs'!B817,'Model inputs'!B818,'Model inputs'!B819))</f>
        <v>-45078.25</v>
      </c>
      <c r="U28" s="8">
        <f>IF(SUM(IF(IF('Model inputs'!B820="",0,1)="",0,IF('Model inputs'!B820="",0,1)),IF(IF('Model inputs'!B821="",0,1)="",0,IF('Model inputs'!B821="",0,1)),IF(IF('Model inputs'!B822="",0,1)="",0,IF('Model inputs'!B822="",0,1)),IF(IF('Model inputs'!B823="",0,1)="",0,IF('Model inputs'!B823="",0,1)),IF(IF('Model inputs'!B824="",0,1)="",0,IF('Model inputs'!B824="",0,1)))=0,"",SUM('Model inputs'!B820,'Model inputs'!B821,'Model inputs'!B822,'Model inputs'!B823,'Model inputs'!B824))</f>
        <v>-46992.5</v>
      </c>
      <c r="V28" s="8">
        <f>IF(SUM(IF(IF('Model inputs'!B825="",0,1)="",0,IF('Model inputs'!B825="",0,1)),IF(IF('Model inputs'!B826="",0,1)="",0,IF('Model inputs'!B826="",0,1)),IF(IF('Model inputs'!B827="",0,1)="",0,IF('Model inputs'!B827="",0,1)),IF(IF('Model inputs'!B828="",0,1)="",0,IF('Model inputs'!B828="",0,1)),IF(IF('Model inputs'!B829="",0,1)="",0,IF('Model inputs'!B829="",0,1)))=0,"",SUM('Model inputs'!B825,'Model inputs'!B826,'Model inputs'!B827,'Model inputs'!B828,'Model inputs'!B829))</f>
        <v>-48906.75</v>
      </c>
      <c r="W28" s="8">
        <f>IF(SUM(IF(IF('Model inputs'!B830="",0,1)="",0,IF('Model inputs'!B830="",0,1)),IF(IF('Model inputs'!B831="",0,1)="",0,IF('Model inputs'!B831="",0,1)),IF(IF('Model inputs'!B832="",0,1)="",0,IF('Model inputs'!B832="",0,1)),IF(IF('Model inputs'!B833="",0,1)="",0,IF('Model inputs'!B833="",0,1)),IF(IF('Model inputs'!B834="",0,1)="",0,IF('Model inputs'!B834="",0,1)))=0,"",SUM('Model inputs'!B830,'Model inputs'!B831,'Model inputs'!B832,'Model inputs'!B833,'Model inputs'!B834))</f>
        <v>-50821</v>
      </c>
      <c r="X28" s="8">
        <f>IF(SUM(IF(IF('Model inputs'!B835="",0,1)="",0,IF('Model inputs'!B835="",0,1)),IF(IF('Model inputs'!B836="",0,1)="",0,IF('Model inputs'!B836="",0,1)),IF(IF('Model inputs'!B837="",0,1)="",0,IF('Model inputs'!B837="",0,1)),IF(IF('Model inputs'!B838="",0,1)="",0,IF('Model inputs'!B838="",0,1)),IF(IF('Model inputs'!B839="",0,1)="",0,IF('Model inputs'!B839="",0,1)))=0,"",SUM('Model inputs'!B835,'Model inputs'!B836,'Model inputs'!B837,'Model inputs'!B838,'Model inputs'!B839))</f>
        <v>-21721</v>
      </c>
      <c r="Y28" s="8">
        <f>IF(SUM(IF(IF('Model inputs'!B840="",0,1)="",0,IF('Model inputs'!B840="",0,1)),IF(IF('Model inputs'!B841="",0,1)="",0,IF('Model inputs'!B841="",0,1)),IF(IF('Model inputs'!B842="",0,1)="",0,IF('Model inputs'!B842="",0,1)),IF(IF('Model inputs'!B843="",0,1)="",0,IF('Model inputs'!B843="",0,1)),IF(IF('Model inputs'!B844="",0,1)="",0,IF('Model inputs'!B844="",0,1)))=0,"",SUM('Model inputs'!B840,'Model inputs'!B841,'Model inputs'!B842,'Model inputs'!B843,'Model inputs'!B844))</f>
        <v>-21721</v>
      </c>
      <c r="Z28" s="8">
        <f>IF(SUM(IF(IF('Model inputs'!B845="",0,1)="",0,IF('Model inputs'!B845="",0,1)),IF(IF('Model inputs'!B846="",0,1)="",0,IF('Model inputs'!B846="",0,1)),IF(IF('Model inputs'!B847="",0,1)="",0,IF('Model inputs'!B847="",0,1)),IF(IF('Model inputs'!B848="",0,1)="",0,IF('Model inputs'!B848="",0,1)),IF(IF('Model inputs'!B849="",0,1)="",0,IF('Model inputs'!B849="",0,1)))=0,"",SUM('Model inputs'!B845,'Model inputs'!B846,'Model inputs'!B847,'Model inputs'!B848,'Model inputs'!B849))</f>
        <v>-21721</v>
      </c>
    </row>
    <row r="29">
      <c r="A29" t="inlineStr" s="14">
        <is>
          <t xml:space="preserve">Plan Net cash burn · Conservative</t>
        </is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f>IF(SUM(IF(IF('Model inputs'!B850="",0,1)="",0,IF('Model inputs'!B850="",0,1)),IF(IF('Model inputs'!B851="",0,1)="",0,IF('Model inputs'!B851="",0,1)),IF(IF('Model inputs'!B852="",0,1)="",0,IF('Model inputs'!B852="",0,1)),IF(IF('Model inputs'!B853="",0,1)="",0,IF('Model inputs'!B853="",0,1)),IF(IF('Model inputs'!B854="",0,1)="",0,IF('Model inputs'!B854="",0,1)))=0,"",SUM('Model inputs'!B850,'Model inputs'!B851,'Model inputs'!B852,'Model inputs'!B853,'Model inputs'!B854))</f>
        <v>750</v>
      </c>
      <c r="M29" s="8">
        <f>IF(SUM(IF(IF('Model inputs'!B855="",0,1)="",0,IF('Model inputs'!B855="",0,1)),IF(IF('Model inputs'!B856="",0,1)="",0,IF('Model inputs'!B856="",0,1)),IF(IF('Model inputs'!B857="",0,1)="",0,IF('Model inputs'!B857="",0,1)),IF(IF('Model inputs'!B858="",0,1)="",0,IF('Model inputs'!B858="",0,1)),IF(IF('Model inputs'!B859="",0,1)="",0,IF('Model inputs'!B859="",0,1)))=0,"",SUM('Model inputs'!B855,'Model inputs'!B856,'Model inputs'!B857,'Model inputs'!B858,'Model inputs'!B859))</f>
        <v>750</v>
      </c>
      <c r="N29" s="8">
        <f>IF(SUM(IF(IF('Model inputs'!B860="",0,1)="",0,IF('Model inputs'!B860="",0,1)),IF(IF('Model inputs'!B861="",0,1)="",0,IF('Model inputs'!B861="",0,1)),IF(IF('Model inputs'!B862="",0,1)="",0,IF('Model inputs'!B862="",0,1)),IF(IF('Model inputs'!B863="",0,1)="",0,IF('Model inputs'!B863="",0,1)),IF(IF('Model inputs'!B864="",0,1)="",0,IF('Model inputs'!B864="",0,1)))=0,"",SUM('Model inputs'!B860,'Model inputs'!B861,'Model inputs'!B862,'Model inputs'!B863,'Model inputs'!B864))</f>
        <v>-1716.1</v>
      </c>
      <c r="O29" s="8">
        <f>IF(SUM(IF(IF('Model inputs'!B865="",0,1)="",0,IF('Model inputs'!B865="",0,1)),IF(IF('Model inputs'!B866="",0,1)="",0,IF('Model inputs'!B866="",0,1)),IF(IF('Model inputs'!B867="",0,1)="",0,IF('Model inputs'!B867="",0,1)),IF(IF('Model inputs'!B868="",0,1)="",0,IF('Model inputs'!B868="",0,1)),IF(IF('Model inputs'!B869="",0,1)="",0,IF('Model inputs'!B869="",0,1)))=0,"",SUM('Model inputs'!B865,'Model inputs'!B866,'Model inputs'!B867,'Model inputs'!B868,'Model inputs'!B869))</f>
        <v>-1716.1</v>
      </c>
      <c r="P29" s="8">
        <f>IF(SUM(IF(IF('Model inputs'!B870="",0,1)="",0,IF('Model inputs'!B870="",0,1)),IF(IF('Model inputs'!B871="",0,1)="",0,IF('Model inputs'!B871="",0,1)),IF(IF('Model inputs'!B872="",0,1)="",0,IF('Model inputs'!B872="",0,1)),IF(IF('Model inputs'!B873="",0,1)="",0,IF('Model inputs'!B873="",0,1)),IF(IF('Model inputs'!B874="",0,1)="",0,IF('Model inputs'!B874="",0,1)))=0,"",SUM('Model inputs'!B870,'Model inputs'!B871,'Model inputs'!B872,'Model inputs'!B873,'Model inputs'!B874))</f>
        <v>-1716.1</v>
      </c>
      <c r="Q29" s="8">
        <f>IF(SUM(IF(IF('Model inputs'!B875="",0,1)="",0,IF('Model inputs'!B875="",0,1)),IF(IF('Model inputs'!B876="",0,1)="",0,IF('Model inputs'!B876="",0,1)),IF(IF('Model inputs'!B877="",0,1)="",0,IF('Model inputs'!B877="",0,1)),IF(IF('Model inputs'!B878="",0,1)="",0,IF('Model inputs'!B878="",0,1)),IF(IF('Model inputs'!B879="",0,1)="",0,IF('Model inputs'!B879="",0,1)))=0,"",SUM('Model inputs'!B875,'Model inputs'!B876,'Model inputs'!B877,'Model inputs'!B878,'Model inputs'!B879))</f>
        <v>-1216.1</v>
      </c>
      <c r="R29" s="8">
        <f>IF(SUM(IF(IF('Model inputs'!B880="",0,1)="",0,IF('Model inputs'!B880="",0,1)),IF(IF('Model inputs'!B881="",0,1)="",0,IF('Model inputs'!B881="",0,1)),IF(IF('Model inputs'!B882="",0,1)="",0,IF('Model inputs'!B882="",0,1)),IF(IF('Model inputs'!B883="",0,1)="",0,IF('Model inputs'!B883="",0,1)),IF(IF('Model inputs'!B884="",0,1)="",0,IF('Model inputs'!B884="",0,1)))=0,"",SUM('Model inputs'!B880,'Model inputs'!B881,'Model inputs'!B882,'Model inputs'!B883,'Model inputs'!B884))</f>
        <v>-1216.1</v>
      </c>
      <c r="S29" s="8">
        <f>IF(SUM(IF(IF('Model inputs'!B885="",0,1)="",0,IF('Model inputs'!B885="",0,1)),IF(IF('Model inputs'!B886="",0,1)="",0,IF('Model inputs'!B886="",0,1)),IF(IF('Model inputs'!B887="",0,1)="",0,IF('Model inputs'!B887="",0,1)),IF(IF('Model inputs'!B888="",0,1)="",0,IF('Model inputs'!B888="",0,1)),IF(IF('Model inputs'!B889="",0,1)="",0,IF('Model inputs'!B889="",0,1)))=0,"",SUM('Model inputs'!B885,'Model inputs'!B886,'Model inputs'!B887,'Model inputs'!B888,'Model inputs'!B889))</f>
        <v>-1216.1</v>
      </c>
      <c r="T29" s="8">
        <f>IF(SUM(IF(IF('Model inputs'!B890="",0,1)="",0,IF('Model inputs'!B890="",0,1)),IF(IF('Model inputs'!B891="",0,1)="",0,IF('Model inputs'!B891="",0,1)),IF(IF('Model inputs'!B892="",0,1)="",0,IF('Model inputs'!B892="",0,1)),IF(IF('Model inputs'!B893="",0,1)="",0,IF('Model inputs'!B893="",0,1)),IF(IF('Model inputs'!B894="",0,1)="",0,IF('Model inputs'!B894="",0,1)))=0,"",SUM('Model inputs'!B890,'Model inputs'!B891,'Model inputs'!B892,'Model inputs'!B893,'Model inputs'!B894))</f>
        <v>-1216.1</v>
      </c>
      <c r="U29" s="8">
        <f>IF(SUM(IF(IF('Model inputs'!B895="",0,1)="",0,IF('Model inputs'!B895="",0,1)),IF(IF('Model inputs'!B896="",0,1)="",0,IF('Model inputs'!B896="",0,1)),IF(IF('Model inputs'!B897="",0,1)="",0,IF('Model inputs'!B897="",0,1)),IF(IF('Model inputs'!B898="",0,1)="",0,IF('Model inputs'!B898="",0,1)),IF(IF('Model inputs'!B899="",0,1)="",0,IF('Model inputs'!B899="",0,1)))=0,"",SUM('Model inputs'!B895,'Model inputs'!B896,'Model inputs'!B897,'Model inputs'!B898,'Model inputs'!B899))</f>
        <v>-1216.1</v>
      </c>
      <c r="V29" s="8">
        <f>IF(SUM(IF(IF('Model inputs'!B900="",0,1)="",0,IF('Model inputs'!B900="",0,1)),IF(IF('Model inputs'!B901="",0,1)="",0,IF('Model inputs'!B901="",0,1)),IF(IF('Model inputs'!B902="",0,1)="",0,IF('Model inputs'!B902="",0,1)),IF(IF('Model inputs'!B903="",0,1)="",0,IF('Model inputs'!B903="",0,1)),IF(IF('Model inputs'!B904="",0,1)="",0,IF('Model inputs'!B904="",0,1)))=0,"",SUM('Model inputs'!B900,'Model inputs'!B901,'Model inputs'!B902,'Model inputs'!B903,'Model inputs'!B904))</f>
        <v>-1216.1</v>
      </c>
      <c r="W29" s="8">
        <f>IF(SUM(IF(IF('Model inputs'!B905="",0,1)="",0,IF('Model inputs'!B905="",0,1)),IF(IF('Model inputs'!B906="",0,1)="",0,IF('Model inputs'!B906="",0,1)),IF(IF('Model inputs'!B907="",0,1)="",0,IF('Model inputs'!B907="",0,1)),IF(IF('Model inputs'!B908="",0,1)="",0,IF('Model inputs'!B908="",0,1)),IF(IF('Model inputs'!B909="",0,1)="",0,IF('Model inputs'!B909="",0,1)))=0,"",SUM('Model inputs'!B905,'Model inputs'!B906,'Model inputs'!B907,'Model inputs'!B908,'Model inputs'!B909))</f>
        <v>-1216.1</v>
      </c>
      <c r="X29" s="8">
        <f>IF(SUM(IF(IF('Model inputs'!B910="",0,1)="",0,IF('Model inputs'!B910="",0,1)),IF(IF('Model inputs'!B911="",0,1)="",0,IF('Model inputs'!B911="",0,1)),IF(IF('Model inputs'!B912="",0,1)="",0,IF('Model inputs'!B912="",0,1)),IF(IF('Model inputs'!B913="",0,1)="",0,IF('Model inputs'!B913="",0,1)),IF(IF('Model inputs'!B914="",0,1)="",0,IF('Model inputs'!B914="",0,1)))=0,"",SUM('Model inputs'!B910,'Model inputs'!B911,'Model inputs'!B912,'Model inputs'!B913,'Model inputs'!B914))</f>
        <v>-1216.1</v>
      </c>
      <c r="Y29" s="8">
        <f>IF(SUM(IF(IF('Model inputs'!B915="",0,1)="",0,IF('Model inputs'!B915="",0,1)),IF(IF('Model inputs'!B916="",0,1)="",0,IF('Model inputs'!B916="",0,1)),IF(IF('Model inputs'!B917="",0,1)="",0,IF('Model inputs'!B917="",0,1)),IF(IF('Model inputs'!B918="",0,1)="",0,IF('Model inputs'!B918="",0,1)),IF(IF('Model inputs'!B919="",0,1)="",0,IF('Model inputs'!B919="",0,1)))=0,"",SUM('Model inputs'!B915,'Model inputs'!B916,'Model inputs'!B917,'Model inputs'!B918,'Model inputs'!B919))</f>
        <v>-1216.1</v>
      </c>
      <c r="Z29" s="8">
        <f>IF(SUM(IF(IF('Model inputs'!B920="",0,1)="",0,IF('Model inputs'!B920="",0,1)),IF(IF('Model inputs'!B921="",0,1)="",0,IF('Model inputs'!B921="",0,1)),IF(IF('Model inputs'!B922="",0,1)="",0,IF('Model inputs'!B922="",0,1)),IF(IF('Model inputs'!B923="",0,1)="",0,IF('Model inputs'!B923="",0,1)),IF(IF('Model inputs'!B924="",0,1)="",0,IF('Model inputs'!B924="",0,1)))=0,"",SUM('Model inputs'!B920,'Model inputs'!B921,'Model inputs'!B922,'Model inputs'!B923,'Model inputs'!B924))</f>
        <v>-1216.1</v>
      </c>
    </row>
    <row r="30">
      <c r="A30" t="inlineStr" s="14">
        <is>
          <t xml:space="preserve">Audits delivered</t>
        </is>
      </c>
      <c r="C30" s="11">
        <f>SUM('Model inputs'!C31,'Model inputs'!C32,'Model inputs'!C33,'Model inputs'!C34,'Model inputs'!C35)</f>
        <v>0</v>
      </c>
      <c r="D30" s="11">
        <f>SUM('Model inputs'!D31,'Model inputs'!D32,'Model inputs'!D33,'Model inputs'!D34,'Model inputs'!D35)</f>
        <v>0</v>
      </c>
      <c r="E30" s="11">
        <f>SUM('Model inputs'!E31,'Model inputs'!E32,'Model inputs'!E33,'Model inputs'!E34,'Model inputs'!E35)</f>
        <v>0</v>
      </c>
      <c r="F30" s="11">
        <f>SUM('Model inputs'!F31,'Model inputs'!F32,'Model inputs'!F33,'Model inputs'!F34,'Model inputs'!F35)</f>
        <v>0</v>
      </c>
      <c r="G30" s="11">
        <f>SUM('Model inputs'!G31,'Model inputs'!G32,'Model inputs'!G33,'Model inputs'!G34,'Model inputs'!G35)</f>
        <v>0</v>
      </c>
      <c r="H30" s="11">
        <f>SUM('Model inputs'!H31,'Model inputs'!H32,'Model inputs'!H33,'Model inputs'!H34,'Model inputs'!H35)</f>
        <v>0</v>
      </c>
      <c r="I30" s="11">
        <f>SUM('Model inputs'!I31,'Model inputs'!I32,'Model inputs'!I33,'Model inputs'!I34,'Model inputs'!I35)</f>
        <v>0</v>
      </c>
      <c r="J30" s="11">
        <f>SUM('Model inputs'!J31,'Model inputs'!J32,'Model inputs'!J33,'Model inputs'!J34,'Model inputs'!J35)</f>
        <v>0</v>
      </c>
      <c r="K30" s="11">
        <f>SUM('Model inputs'!K31,'Model inputs'!K32,'Model inputs'!K33,'Model inputs'!K34,'Model inputs'!K35)</f>
        <v>0</v>
      </c>
      <c r="L30" t="str" s="11">
        <f>""</f>
        <v/>
      </c>
      <c r="M30" t="str" s="11">
        <f>""</f>
        <v/>
      </c>
      <c r="N30" t="str" s="11">
        <f>""</f>
        <v/>
      </c>
      <c r="O30" t="str" s="11">
        <f>""</f>
        <v/>
      </c>
      <c r="P30" t="str" s="11">
        <f>""</f>
        <v/>
      </c>
      <c r="Q30" t="str" s="11">
        <f>""</f>
        <v/>
      </c>
      <c r="R30" t="str" s="11">
        <f>""</f>
        <v/>
      </c>
      <c r="S30" t="str" s="11">
        <f>""</f>
        <v/>
      </c>
      <c r="T30" t="str" s="11">
        <f>""</f>
        <v/>
      </c>
      <c r="U30" t="str" s="11">
        <f>""</f>
        <v/>
      </c>
      <c r="V30" t="str" s="11">
        <f>""</f>
        <v/>
      </c>
      <c r="W30" t="str" s="11">
        <f>""</f>
        <v/>
      </c>
      <c r="X30" t="str" s="11">
        <f>""</f>
        <v/>
      </c>
      <c r="Y30" t="str" s="11">
        <f>""</f>
        <v/>
      </c>
      <c r="Z30" t="str" s="11">
        <f>""</f>
        <v/>
      </c>
    </row>
    <row r="31" outlineLevel="1">
      <c r="A31" t="inlineStr" s="16">
        <is>
          <t xml:space="preserve">Audits delivered &gt; Annual deal-team</t>
        </is>
      </c>
      <c r="C31" s="9">
        <f>0</f>
        <v>0</v>
      </c>
      <c r="D31" s="9">
        <f>0</f>
        <v>0</v>
      </c>
      <c r="E31" s="9">
        <f>0</f>
        <v>0</v>
      </c>
      <c r="F31" s="9">
        <f>0</f>
        <v>0</v>
      </c>
      <c r="G31" s="9">
        <f>0</f>
        <v>0</v>
      </c>
      <c r="H31" s="9">
        <f>0</f>
        <v>0</v>
      </c>
      <c r="I31" s="9">
        <f>0</f>
        <v>0</v>
      </c>
      <c r="J31" s="9">
        <f>0</f>
        <v>0</v>
      </c>
      <c r="K31" s="9">
        <f>0</f>
        <v>0</v>
      </c>
      <c r="L31" s="9">
        <f>'Model inputs'!L154*'Model inputs'!AA113</f>
        <v>5</v>
      </c>
      <c r="M31" s="9">
        <f>'Model inputs'!M154*'Model inputs'!AA113</f>
        <v>10</v>
      </c>
      <c r="N31" s="9">
        <f>'Model inputs'!N154*'Model inputs'!AA113</f>
        <v>15</v>
      </c>
      <c r="O31" s="9">
        <f>'Model inputs'!O154*'Model inputs'!AA113</f>
        <v>20</v>
      </c>
      <c r="P31" s="9">
        <f>'Model inputs'!P154*'Model inputs'!AA113</f>
        <v>25</v>
      </c>
      <c r="Q31" s="9">
        <f>'Model inputs'!Q154*'Model inputs'!AA113</f>
        <v>30</v>
      </c>
      <c r="R31" s="9">
        <f>'Model inputs'!R154*'Model inputs'!AA113</f>
        <v>35</v>
      </c>
      <c r="S31" s="9">
        <f>'Model inputs'!S154*'Model inputs'!AA113</f>
        <v>40</v>
      </c>
      <c r="T31" s="9">
        <f>'Model inputs'!T154*'Model inputs'!AA113</f>
        <v>45</v>
      </c>
      <c r="U31" s="9">
        <f>'Model inputs'!U154*'Model inputs'!AA113</f>
        <v>50</v>
      </c>
      <c r="V31" s="9">
        <f>'Model inputs'!V154*'Model inputs'!AA113</f>
        <v>55</v>
      </c>
      <c r="W31" s="9">
        <f>'Model inputs'!W154*'Model inputs'!AA113</f>
        <v>60</v>
      </c>
      <c r="X31" s="9">
        <f>'Model inputs'!X154*'Model inputs'!AA113</f>
        <v>60</v>
      </c>
      <c r="Y31" s="9">
        <f>'Model inputs'!Y154*'Model inputs'!AA113</f>
        <v>60</v>
      </c>
      <c r="Z31" s="9">
        <f>'Model inputs'!Z154*'Model inputs'!AA113</f>
        <v>60</v>
      </c>
    </row>
    <row r="32" outlineLevel="1">
      <c r="A32" t="inlineStr" s="16">
        <is>
          <t xml:space="preserve">Audits delivered &gt; Hybrid</t>
        </is>
      </c>
      <c r="C32" s="9">
        <f>0</f>
        <v>0</v>
      </c>
      <c r="D32" s="9">
        <f>0</f>
        <v>0</v>
      </c>
      <c r="E32" s="9">
        <f>0</f>
        <v>0</v>
      </c>
      <c r="F32" s="9">
        <f>0</f>
        <v>0</v>
      </c>
      <c r="G32" s="9">
        <f>0</f>
        <v>0</v>
      </c>
      <c r="H32" s="9">
        <f>0</f>
        <v>0</v>
      </c>
      <c r="I32" s="9">
        <f>0</f>
        <v>0</v>
      </c>
      <c r="J32" s="9">
        <f>0</f>
        <v>0</v>
      </c>
      <c r="K32" s="9">
        <f>0</f>
        <v>0</v>
      </c>
      <c r="L32" s="9">
        <f>'Model inputs'!L154*'Model inputs'!AA114</f>
        <v>5</v>
      </c>
      <c r="M32" s="9">
        <f>'Model inputs'!M154*'Model inputs'!AA114</f>
        <v>10</v>
      </c>
      <c r="N32" s="9">
        <f>'Model inputs'!N154*'Model inputs'!AA114</f>
        <v>15</v>
      </c>
      <c r="O32" s="9">
        <f>'Model inputs'!O154*'Model inputs'!AA114</f>
        <v>20</v>
      </c>
      <c r="P32" s="9">
        <f>'Model inputs'!P154*'Model inputs'!AA114</f>
        <v>25</v>
      </c>
      <c r="Q32" s="9">
        <f>'Model inputs'!Q154*'Model inputs'!AA114</f>
        <v>30</v>
      </c>
      <c r="R32" s="9">
        <f>'Model inputs'!R154*'Model inputs'!AA114</f>
        <v>35</v>
      </c>
      <c r="S32" s="9">
        <f>'Model inputs'!S154*'Model inputs'!AA114</f>
        <v>40</v>
      </c>
      <c r="T32" s="9">
        <f>'Model inputs'!T154*'Model inputs'!AA114</f>
        <v>45</v>
      </c>
      <c r="U32" s="9">
        <f>'Model inputs'!U154*'Model inputs'!AA114</f>
        <v>50</v>
      </c>
      <c r="V32" s="9">
        <f>'Model inputs'!V154*'Model inputs'!AA114</f>
        <v>55</v>
      </c>
      <c r="W32" s="9">
        <f>'Model inputs'!W154*'Model inputs'!AA114</f>
        <v>60</v>
      </c>
      <c r="X32" s="9">
        <f>'Model inputs'!X154*'Model inputs'!AA114</f>
        <v>60</v>
      </c>
      <c r="Y32" s="9">
        <f>'Model inputs'!Y154*'Model inputs'!AA114</f>
        <v>60</v>
      </c>
      <c r="Z32" s="9">
        <f>'Model inputs'!Z154*'Model inputs'!AA114</f>
        <v>60</v>
      </c>
    </row>
    <row r="33" outlineLevel="1">
      <c r="A33" t="inlineStr" s="16">
        <is>
          <t xml:space="preserve">Audits delivered &gt; Per audit — base</t>
        </is>
      </c>
      <c r="C33" s="9">
        <f>0</f>
        <v>0</v>
      </c>
      <c r="D33" s="9">
        <f>0</f>
        <v>0</v>
      </c>
      <c r="E33" s="9">
        <f>0</f>
        <v>0</v>
      </c>
      <c r="F33" s="9">
        <f>0</f>
        <v>0</v>
      </c>
      <c r="G33" s="9">
        <f>0</f>
        <v>0</v>
      </c>
      <c r="H33" s="9">
        <f>0</f>
        <v>0</v>
      </c>
      <c r="I33" s="9">
        <f>0</f>
        <v>0</v>
      </c>
      <c r="J33" s="9">
        <f>0</f>
        <v>0</v>
      </c>
      <c r="K33" s="9">
        <f>0</f>
        <v>0</v>
      </c>
      <c r="L33" s="9">
        <f>'Model inputs'!L154*'Model inputs'!AA115</f>
        <v>5</v>
      </c>
      <c r="M33" s="9">
        <f>'Model inputs'!M154*'Model inputs'!AA115</f>
        <v>10</v>
      </c>
      <c r="N33" s="9">
        <f>'Model inputs'!N154*'Model inputs'!AA115</f>
        <v>15</v>
      </c>
      <c r="O33" s="9">
        <f>'Model inputs'!O154*'Model inputs'!AA115</f>
        <v>20</v>
      </c>
      <c r="P33" s="9">
        <f>'Model inputs'!P154*'Model inputs'!AA115</f>
        <v>25</v>
      </c>
      <c r="Q33" s="9">
        <f>'Model inputs'!Q154*'Model inputs'!AA115</f>
        <v>30</v>
      </c>
      <c r="R33" s="9">
        <f>'Model inputs'!R154*'Model inputs'!AA115</f>
        <v>35</v>
      </c>
      <c r="S33" s="9">
        <f>'Model inputs'!S154*'Model inputs'!AA115</f>
        <v>40</v>
      </c>
      <c r="T33" s="9">
        <f>'Model inputs'!T154*'Model inputs'!AA115</f>
        <v>45</v>
      </c>
      <c r="U33" s="9">
        <f>'Model inputs'!U154*'Model inputs'!AA115</f>
        <v>50</v>
      </c>
      <c r="V33" s="9">
        <f>'Model inputs'!V154*'Model inputs'!AA115</f>
        <v>55</v>
      </c>
      <c r="W33" s="9">
        <f>'Model inputs'!W154*'Model inputs'!AA115</f>
        <v>60</v>
      </c>
      <c r="X33" s="9">
        <f>'Model inputs'!X154*'Model inputs'!AA115</f>
        <v>60</v>
      </c>
      <c r="Y33" s="9">
        <f>'Model inputs'!Y154*'Model inputs'!AA115</f>
        <v>60</v>
      </c>
      <c r="Z33" s="9">
        <f>'Model inputs'!Z154*'Model inputs'!AA115</f>
        <v>60</v>
      </c>
    </row>
    <row r="34" outlineLevel="1">
      <c r="A34" t="inlineStr" s="16">
        <is>
          <t xml:space="preserve">Audits delivered &gt; Per audit — high</t>
        </is>
      </c>
      <c r="C34" s="9">
        <f>0</f>
        <v>0</v>
      </c>
      <c r="D34" s="9">
        <f>0</f>
        <v>0</v>
      </c>
      <c r="E34" s="9">
        <f>0</f>
        <v>0</v>
      </c>
      <c r="F34" s="9">
        <f>0</f>
        <v>0</v>
      </c>
      <c r="G34" s="9">
        <f>0</f>
        <v>0</v>
      </c>
      <c r="H34" s="9">
        <f>0</f>
        <v>0</v>
      </c>
      <c r="I34" s="9">
        <f>0</f>
        <v>0</v>
      </c>
      <c r="J34" s="9">
        <f>0</f>
        <v>0</v>
      </c>
      <c r="K34" s="9">
        <f>0</f>
        <v>0</v>
      </c>
      <c r="L34" s="9">
        <f>'Model inputs'!L154*'Model inputs'!AA116</f>
        <v>5</v>
      </c>
      <c r="M34" s="9">
        <f>'Model inputs'!M154*'Model inputs'!AA116</f>
        <v>10</v>
      </c>
      <c r="N34" s="9">
        <f>'Model inputs'!N154*'Model inputs'!AA116</f>
        <v>15</v>
      </c>
      <c r="O34" s="9">
        <f>'Model inputs'!O154*'Model inputs'!AA116</f>
        <v>20</v>
      </c>
      <c r="P34" s="9">
        <f>'Model inputs'!P154*'Model inputs'!AA116</f>
        <v>25</v>
      </c>
      <c r="Q34" s="9">
        <f>'Model inputs'!Q154*'Model inputs'!AA116</f>
        <v>30</v>
      </c>
      <c r="R34" s="9">
        <f>'Model inputs'!R154*'Model inputs'!AA116</f>
        <v>35</v>
      </c>
      <c r="S34" s="9">
        <f>'Model inputs'!S154*'Model inputs'!AA116</f>
        <v>40</v>
      </c>
      <c r="T34" s="9">
        <f>'Model inputs'!T154*'Model inputs'!AA116</f>
        <v>45</v>
      </c>
      <c r="U34" s="9">
        <f>'Model inputs'!U154*'Model inputs'!AA116</f>
        <v>50</v>
      </c>
      <c r="V34" s="9">
        <f>'Model inputs'!V154*'Model inputs'!AA116</f>
        <v>55</v>
      </c>
      <c r="W34" s="9">
        <f>'Model inputs'!W154*'Model inputs'!AA116</f>
        <v>60</v>
      </c>
      <c r="X34" s="9">
        <f>'Model inputs'!X154*'Model inputs'!AA116</f>
        <v>60</v>
      </c>
      <c r="Y34" s="9">
        <f>'Model inputs'!Y154*'Model inputs'!AA116</f>
        <v>60</v>
      </c>
      <c r="Z34" s="9">
        <f>'Model inputs'!Z154*'Model inputs'!AA116</f>
        <v>60</v>
      </c>
    </row>
    <row r="35" outlineLevel="1">
      <c r="A35" t="inlineStr" s="16">
        <is>
          <t xml:space="preserve">Audits delivered &gt; Per audit — low</t>
        </is>
      </c>
      <c r="C35" s="9">
        <f>0</f>
        <v>0</v>
      </c>
      <c r="D35" s="9">
        <f>0</f>
        <v>0</v>
      </c>
      <c r="E35" s="9">
        <f>0</f>
        <v>0</v>
      </c>
      <c r="F35" s="9">
        <f>0</f>
        <v>0</v>
      </c>
      <c r="G35" s="9">
        <f>0</f>
        <v>0</v>
      </c>
      <c r="H35" s="9">
        <f>0</f>
        <v>0</v>
      </c>
      <c r="I35" s="9">
        <f>0</f>
        <v>0</v>
      </c>
      <c r="J35" s="9">
        <f>0</f>
        <v>0</v>
      </c>
      <c r="K35" s="9">
        <f>0</f>
        <v>0</v>
      </c>
      <c r="L35" s="9">
        <f>'Model inputs'!L154*'Model inputs'!AA117</f>
        <v>5</v>
      </c>
      <c r="M35" s="9">
        <f>'Model inputs'!M154*'Model inputs'!AA117</f>
        <v>10</v>
      </c>
      <c r="N35" s="9">
        <f>'Model inputs'!N154*'Model inputs'!AA117</f>
        <v>15</v>
      </c>
      <c r="O35" s="9">
        <f>'Model inputs'!O154*'Model inputs'!AA117</f>
        <v>20</v>
      </c>
      <c r="P35" s="9">
        <f>'Model inputs'!P154*'Model inputs'!AA117</f>
        <v>25</v>
      </c>
      <c r="Q35" s="9">
        <f>'Model inputs'!Q154*'Model inputs'!AA117</f>
        <v>30</v>
      </c>
      <c r="R35" s="9">
        <f>'Model inputs'!R154*'Model inputs'!AA117</f>
        <v>35</v>
      </c>
      <c r="S35" s="9">
        <f>'Model inputs'!S154*'Model inputs'!AA117</f>
        <v>40</v>
      </c>
      <c r="T35" s="9">
        <f>'Model inputs'!T154*'Model inputs'!AA117</f>
        <v>45</v>
      </c>
      <c r="U35" s="9">
        <f>'Model inputs'!U154*'Model inputs'!AA117</f>
        <v>50</v>
      </c>
      <c r="V35" s="9">
        <f>'Model inputs'!V154*'Model inputs'!AA117</f>
        <v>55</v>
      </c>
      <c r="W35" s="9">
        <f>'Model inputs'!W154*'Model inputs'!AA117</f>
        <v>60</v>
      </c>
      <c r="X35" s="9">
        <f>'Model inputs'!X154*'Model inputs'!AA117</f>
        <v>60</v>
      </c>
      <c r="Y35" s="9">
        <f>'Model inputs'!Y154*'Model inputs'!AA117</f>
        <v>60</v>
      </c>
      <c r="Z35" s="9">
        <f>'Model inputs'!Z154*'Model inputs'!AA117</f>
        <v>60</v>
      </c>
    </row>
    <row r="36">
      <c r="A36" t="inlineStr" s="14">
        <is>
          <t xml:space="preserve">Audits delivered</t>
        </is>
      </c>
      <c r="C36" s="11">
        <f>SUM('Model inputs'!C37,'Model inputs'!C38,'Model inputs'!C39,'Model inputs'!C40,'Model inputs'!C41)</f>
        <v>0</v>
      </c>
      <c r="D36" s="11">
        <f>SUM('Model inputs'!D37,'Model inputs'!D38,'Model inputs'!D39,'Model inputs'!D40,'Model inputs'!D41)</f>
        <v>0</v>
      </c>
      <c r="E36" s="11">
        <f>SUM('Model inputs'!E37,'Model inputs'!E38,'Model inputs'!E39,'Model inputs'!E40,'Model inputs'!E41)</f>
        <v>0</v>
      </c>
      <c r="F36" s="11">
        <f>SUM('Model inputs'!F37,'Model inputs'!F38,'Model inputs'!F39,'Model inputs'!F40,'Model inputs'!F41)</f>
        <v>0</v>
      </c>
      <c r="G36" s="11">
        <f>SUM('Model inputs'!G37,'Model inputs'!G38,'Model inputs'!G39,'Model inputs'!G40,'Model inputs'!G41)</f>
        <v>0</v>
      </c>
      <c r="H36" s="11">
        <f>SUM('Model inputs'!H37,'Model inputs'!H38,'Model inputs'!H39,'Model inputs'!H40,'Model inputs'!H41)</f>
        <v>0</v>
      </c>
      <c r="I36" s="11">
        <f>SUM('Model inputs'!I37,'Model inputs'!I38,'Model inputs'!I39,'Model inputs'!I40,'Model inputs'!I41)</f>
        <v>0</v>
      </c>
      <c r="J36" s="11">
        <f>SUM('Model inputs'!J37,'Model inputs'!J38,'Model inputs'!J39,'Model inputs'!J40,'Model inputs'!J41)</f>
        <v>0</v>
      </c>
      <c r="K36" s="11">
        <f>SUM('Model inputs'!K37,'Model inputs'!K38,'Model inputs'!K39,'Model inputs'!K40,'Model inputs'!K41)</f>
        <v>0</v>
      </c>
      <c r="L36" t="str" s="11">
        <f>""</f>
        <v/>
      </c>
      <c r="M36" t="str" s="11">
        <f>""</f>
        <v/>
      </c>
      <c r="N36" t="str" s="11">
        <f>""</f>
        <v/>
      </c>
      <c r="O36" t="str" s="11">
        <f>""</f>
        <v/>
      </c>
      <c r="P36" t="str" s="11">
        <f>""</f>
        <v/>
      </c>
      <c r="Q36" t="str" s="11">
        <f>""</f>
        <v/>
      </c>
      <c r="R36" t="str" s="11">
        <f>""</f>
        <v/>
      </c>
      <c r="S36" t="str" s="11">
        <f>""</f>
        <v/>
      </c>
      <c r="T36" t="str" s="11">
        <f>""</f>
        <v/>
      </c>
      <c r="U36" t="str" s="11">
        <f>""</f>
        <v/>
      </c>
      <c r="V36" t="str" s="11">
        <f>""</f>
        <v/>
      </c>
      <c r="W36" t="str" s="11">
        <f>""</f>
        <v/>
      </c>
      <c r="X36" t="str" s="11">
        <f>""</f>
        <v/>
      </c>
      <c r="Y36" t="str" s="11">
        <f>""</f>
        <v/>
      </c>
      <c r="Z36" t="str" s="11">
        <f>""</f>
        <v/>
      </c>
    </row>
    <row r="37" outlineLevel="1">
      <c r="A37" t="inlineStr" s="16">
        <is>
          <t xml:space="preserve">Audits delivered &gt; Annual deal-team</t>
        </is>
      </c>
      <c r="C37" s="9">
        <f>0</f>
        <v>0</v>
      </c>
      <c r="D37" s="9">
        <f>0</f>
        <v>0</v>
      </c>
      <c r="E37" s="9">
        <f>0</f>
        <v>0</v>
      </c>
      <c r="F37" s="9">
        <f>0</f>
        <v>0</v>
      </c>
      <c r="G37" s="9">
        <f>0</f>
        <v>0</v>
      </c>
      <c r="H37" s="9">
        <f>0</f>
        <v>0</v>
      </c>
      <c r="I37" s="9">
        <f>0</f>
        <v>0</v>
      </c>
      <c r="J37" s="9">
        <f>0</f>
        <v>0</v>
      </c>
      <c r="K37" s="9">
        <f>0</f>
        <v>0</v>
      </c>
      <c r="L37" s="9">
        <f>'Model inputs'!L155*'Model inputs'!AA119</f>
        <v>0</v>
      </c>
      <c r="M37" s="9">
        <f>'Model inputs'!M155*'Model inputs'!AA119</f>
        <v>0</v>
      </c>
      <c r="N37" s="9">
        <f>'Model inputs'!N155*'Model inputs'!AA119</f>
        <v>4</v>
      </c>
      <c r="O37" s="9">
        <f>'Model inputs'!O155*'Model inputs'!AA119</f>
        <v>4</v>
      </c>
      <c r="P37" s="9">
        <f>'Model inputs'!P155*'Model inputs'!AA119</f>
        <v>4</v>
      </c>
      <c r="Q37" s="9">
        <f>'Model inputs'!Q155*'Model inputs'!AA119</f>
        <v>4</v>
      </c>
      <c r="R37" s="9">
        <f>'Model inputs'!R155*'Model inputs'!AA119</f>
        <v>4</v>
      </c>
      <c r="S37" s="9">
        <f>'Model inputs'!S155*'Model inputs'!AA119</f>
        <v>4</v>
      </c>
      <c r="T37" s="9">
        <f>'Model inputs'!T155*'Model inputs'!AA119</f>
        <v>4</v>
      </c>
      <c r="U37" s="9">
        <f>'Model inputs'!U155*'Model inputs'!AA119</f>
        <v>4</v>
      </c>
      <c r="V37" s="9">
        <f>'Model inputs'!V155*'Model inputs'!AA119</f>
        <v>4</v>
      </c>
      <c r="W37" s="9">
        <f>'Model inputs'!W155*'Model inputs'!AA119</f>
        <v>4</v>
      </c>
      <c r="X37" s="9">
        <f>'Model inputs'!X155*'Model inputs'!AA119</f>
        <v>4</v>
      </c>
      <c r="Y37" s="9">
        <f>'Model inputs'!Y155*'Model inputs'!AA119</f>
        <v>4</v>
      </c>
      <c r="Z37" s="9">
        <f>'Model inputs'!Z155*'Model inputs'!AA119</f>
        <v>4</v>
      </c>
    </row>
    <row r="38" outlineLevel="1">
      <c r="A38" t="inlineStr" s="16">
        <is>
          <t xml:space="preserve">Audits delivered &gt; Hybrid</t>
        </is>
      </c>
      <c r="C38" s="9">
        <f>0</f>
        <v>0</v>
      </c>
      <c r="D38" s="9">
        <f>0</f>
        <v>0</v>
      </c>
      <c r="E38" s="9">
        <f>0</f>
        <v>0</v>
      </c>
      <c r="F38" s="9">
        <f>0</f>
        <v>0</v>
      </c>
      <c r="G38" s="9">
        <f>0</f>
        <v>0</v>
      </c>
      <c r="H38" s="9">
        <f>0</f>
        <v>0</v>
      </c>
      <c r="I38" s="9">
        <f>0</f>
        <v>0</v>
      </c>
      <c r="J38" s="9">
        <f>0</f>
        <v>0</v>
      </c>
      <c r="K38" s="9">
        <f>0</f>
        <v>0</v>
      </c>
      <c r="L38" s="9">
        <f>'Model inputs'!L155*'Model inputs'!AA120</f>
        <v>0</v>
      </c>
      <c r="M38" s="9">
        <f>'Model inputs'!M155*'Model inputs'!AA120</f>
        <v>0</v>
      </c>
      <c r="N38" s="9">
        <f>'Model inputs'!N155*'Model inputs'!AA120</f>
        <v>4</v>
      </c>
      <c r="O38" s="9">
        <f>'Model inputs'!O155*'Model inputs'!AA120</f>
        <v>4</v>
      </c>
      <c r="P38" s="9">
        <f>'Model inputs'!P155*'Model inputs'!AA120</f>
        <v>4</v>
      </c>
      <c r="Q38" s="9">
        <f>'Model inputs'!Q155*'Model inputs'!AA120</f>
        <v>4</v>
      </c>
      <c r="R38" s="9">
        <f>'Model inputs'!R155*'Model inputs'!AA120</f>
        <v>4</v>
      </c>
      <c r="S38" s="9">
        <f>'Model inputs'!S155*'Model inputs'!AA120</f>
        <v>4</v>
      </c>
      <c r="T38" s="9">
        <f>'Model inputs'!T155*'Model inputs'!AA120</f>
        <v>4</v>
      </c>
      <c r="U38" s="9">
        <f>'Model inputs'!U155*'Model inputs'!AA120</f>
        <v>4</v>
      </c>
      <c r="V38" s="9">
        <f>'Model inputs'!V155*'Model inputs'!AA120</f>
        <v>4</v>
      </c>
      <c r="W38" s="9">
        <f>'Model inputs'!W155*'Model inputs'!AA120</f>
        <v>4</v>
      </c>
      <c r="X38" s="9">
        <f>'Model inputs'!X155*'Model inputs'!AA120</f>
        <v>4</v>
      </c>
      <c r="Y38" s="9">
        <f>'Model inputs'!Y155*'Model inputs'!AA120</f>
        <v>4</v>
      </c>
      <c r="Z38" s="9">
        <f>'Model inputs'!Z155*'Model inputs'!AA120</f>
        <v>4</v>
      </c>
    </row>
    <row r="39" outlineLevel="1">
      <c r="A39" t="inlineStr" s="16">
        <is>
          <t xml:space="preserve">Audits delivered &gt; Per audit — base</t>
        </is>
      </c>
      <c r="C39" s="9">
        <f>0</f>
        <v>0</v>
      </c>
      <c r="D39" s="9">
        <f>0</f>
        <v>0</v>
      </c>
      <c r="E39" s="9">
        <f>0</f>
        <v>0</v>
      </c>
      <c r="F39" s="9">
        <f>0</f>
        <v>0</v>
      </c>
      <c r="G39" s="9">
        <f>0</f>
        <v>0</v>
      </c>
      <c r="H39" s="9">
        <f>0</f>
        <v>0</v>
      </c>
      <c r="I39" s="9">
        <f>0</f>
        <v>0</v>
      </c>
      <c r="J39" s="9">
        <f>0</f>
        <v>0</v>
      </c>
      <c r="K39" s="9">
        <f>0</f>
        <v>0</v>
      </c>
      <c r="L39" s="9">
        <f>'Model inputs'!L155*'Model inputs'!AA121</f>
        <v>0</v>
      </c>
      <c r="M39" s="9">
        <f>'Model inputs'!M155*'Model inputs'!AA121</f>
        <v>0</v>
      </c>
      <c r="N39" s="9">
        <f>'Model inputs'!N155*'Model inputs'!AA121</f>
        <v>4</v>
      </c>
      <c r="O39" s="9">
        <f>'Model inputs'!O155*'Model inputs'!AA121</f>
        <v>4</v>
      </c>
      <c r="P39" s="9">
        <f>'Model inputs'!P155*'Model inputs'!AA121</f>
        <v>4</v>
      </c>
      <c r="Q39" s="9">
        <f>'Model inputs'!Q155*'Model inputs'!AA121</f>
        <v>4</v>
      </c>
      <c r="R39" s="9">
        <f>'Model inputs'!R155*'Model inputs'!AA121</f>
        <v>4</v>
      </c>
      <c r="S39" s="9">
        <f>'Model inputs'!S155*'Model inputs'!AA121</f>
        <v>4</v>
      </c>
      <c r="T39" s="9">
        <f>'Model inputs'!T155*'Model inputs'!AA121</f>
        <v>4</v>
      </c>
      <c r="U39" s="9">
        <f>'Model inputs'!U155*'Model inputs'!AA121</f>
        <v>4</v>
      </c>
      <c r="V39" s="9">
        <f>'Model inputs'!V155*'Model inputs'!AA121</f>
        <v>4</v>
      </c>
      <c r="W39" s="9">
        <f>'Model inputs'!W155*'Model inputs'!AA121</f>
        <v>4</v>
      </c>
      <c r="X39" s="9">
        <f>'Model inputs'!X155*'Model inputs'!AA121</f>
        <v>4</v>
      </c>
      <c r="Y39" s="9">
        <f>'Model inputs'!Y155*'Model inputs'!AA121</f>
        <v>4</v>
      </c>
      <c r="Z39" s="9">
        <f>'Model inputs'!Z155*'Model inputs'!AA121</f>
        <v>4</v>
      </c>
    </row>
    <row r="40" outlineLevel="1">
      <c r="A40" t="inlineStr" s="16">
        <is>
          <t xml:space="preserve">Audits delivered &gt; Per audit — high</t>
        </is>
      </c>
      <c r="C40" s="9">
        <f>0</f>
        <v>0</v>
      </c>
      <c r="D40" s="9">
        <f>0</f>
        <v>0</v>
      </c>
      <c r="E40" s="9">
        <f>0</f>
        <v>0</v>
      </c>
      <c r="F40" s="9">
        <f>0</f>
        <v>0</v>
      </c>
      <c r="G40" s="9">
        <f>0</f>
        <v>0</v>
      </c>
      <c r="H40" s="9">
        <f>0</f>
        <v>0</v>
      </c>
      <c r="I40" s="9">
        <f>0</f>
        <v>0</v>
      </c>
      <c r="J40" s="9">
        <f>0</f>
        <v>0</v>
      </c>
      <c r="K40" s="9">
        <f>0</f>
        <v>0</v>
      </c>
      <c r="L40" s="9">
        <f>'Model inputs'!L155*'Model inputs'!AA122</f>
        <v>0</v>
      </c>
      <c r="M40" s="9">
        <f>'Model inputs'!M155*'Model inputs'!AA122</f>
        <v>0</v>
      </c>
      <c r="N40" s="9">
        <f>'Model inputs'!N155*'Model inputs'!AA122</f>
        <v>4</v>
      </c>
      <c r="O40" s="9">
        <f>'Model inputs'!O155*'Model inputs'!AA122</f>
        <v>4</v>
      </c>
      <c r="P40" s="9">
        <f>'Model inputs'!P155*'Model inputs'!AA122</f>
        <v>4</v>
      </c>
      <c r="Q40" s="9">
        <f>'Model inputs'!Q155*'Model inputs'!AA122</f>
        <v>4</v>
      </c>
      <c r="R40" s="9">
        <f>'Model inputs'!R155*'Model inputs'!AA122</f>
        <v>4</v>
      </c>
      <c r="S40" s="9">
        <f>'Model inputs'!S155*'Model inputs'!AA122</f>
        <v>4</v>
      </c>
      <c r="T40" s="9">
        <f>'Model inputs'!T155*'Model inputs'!AA122</f>
        <v>4</v>
      </c>
      <c r="U40" s="9">
        <f>'Model inputs'!U155*'Model inputs'!AA122</f>
        <v>4</v>
      </c>
      <c r="V40" s="9">
        <f>'Model inputs'!V155*'Model inputs'!AA122</f>
        <v>4</v>
      </c>
      <c r="W40" s="9">
        <f>'Model inputs'!W155*'Model inputs'!AA122</f>
        <v>4</v>
      </c>
      <c r="X40" s="9">
        <f>'Model inputs'!X155*'Model inputs'!AA122</f>
        <v>4</v>
      </c>
      <c r="Y40" s="9">
        <f>'Model inputs'!Y155*'Model inputs'!AA122</f>
        <v>4</v>
      </c>
      <c r="Z40" s="9">
        <f>'Model inputs'!Z155*'Model inputs'!AA122</f>
        <v>4</v>
      </c>
    </row>
    <row r="41" outlineLevel="1">
      <c r="A41" t="inlineStr" s="16">
        <is>
          <t xml:space="preserve">Audits delivered &gt; Per audit — low</t>
        </is>
      </c>
      <c r="C41" s="9">
        <f>0</f>
        <v>0</v>
      </c>
      <c r="D41" s="9">
        <f>0</f>
        <v>0</v>
      </c>
      <c r="E41" s="9">
        <f>0</f>
        <v>0</v>
      </c>
      <c r="F41" s="9">
        <f>0</f>
        <v>0</v>
      </c>
      <c r="G41" s="9">
        <f>0</f>
        <v>0</v>
      </c>
      <c r="H41" s="9">
        <f>0</f>
        <v>0</v>
      </c>
      <c r="I41" s="9">
        <f>0</f>
        <v>0</v>
      </c>
      <c r="J41" s="9">
        <f>0</f>
        <v>0</v>
      </c>
      <c r="K41" s="9">
        <f>0</f>
        <v>0</v>
      </c>
      <c r="L41" s="9">
        <f>'Model inputs'!L155*'Model inputs'!AA123</f>
        <v>0</v>
      </c>
      <c r="M41" s="9">
        <f>'Model inputs'!M155*'Model inputs'!AA123</f>
        <v>0</v>
      </c>
      <c r="N41" s="9">
        <f>'Model inputs'!N155*'Model inputs'!AA123</f>
        <v>4</v>
      </c>
      <c r="O41" s="9">
        <f>'Model inputs'!O155*'Model inputs'!AA123</f>
        <v>4</v>
      </c>
      <c r="P41" s="9">
        <f>'Model inputs'!P155*'Model inputs'!AA123</f>
        <v>4</v>
      </c>
      <c r="Q41" s="9">
        <f>'Model inputs'!Q155*'Model inputs'!AA123</f>
        <v>4</v>
      </c>
      <c r="R41" s="9">
        <f>'Model inputs'!R155*'Model inputs'!AA123</f>
        <v>4</v>
      </c>
      <c r="S41" s="9">
        <f>'Model inputs'!S155*'Model inputs'!AA123</f>
        <v>4</v>
      </c>
      <c r="T41" s="9">
        <f>'Model inputs'!T155*'Model inputs'!AA123</f>
        <v>4</v>
      </c>
      <c r="U41" s="9">
        <f>'Model inputs'!U155*'Model inputs'!AA123</f>
        <v>4</v>
      </c>
      <c r="V41" s="9">
        <f>'Model inputs'!V155*'Model inputs'!AA123</f>
        <v>4</v>
      </c>
      <c r="W41" s="9">
        <f>'Model inputs'!W155*'Model inputs'!AA123</f>
        <v>4</v>
      </c>
      <c r="X41" s="9">
        <f>'Model inputs'!X155*'Model inputs'!AA123</f>
        <v>4</v>
      </c>
      <c r="Y41" s="9">
        <f>'Model inputs'!Y155*'Model inputs'!AA123</f>
        <v>4</v>
      </c>
      <c r="Z41" s="9">
        <f>'Model inputs'!Z155*'Model inputs'!AA123</f>
        <v>4</v>
      </c>
    </row>
    <row r="42">
      <c r="A42" t="inlineStr" s="14">
        <is>
          <t xml:space="preserve">Cash collections</t>
        </is>
      </c>
      <c r="C42" s="6">
        <f>SUM('Model inputs'!C43,'Model inputs'!C44,'Model inputs'!C45,'Model inputs'!C46,'Model inputs'!C47)</f>
        <v>0</v>
      </c>
      <c r="D42" s="6">
        <f>SUM('Model inputs'!D43,'Model inputs'!D44,'Model inputs'!D45,'Model inputs'!D46,'Model inputs'!D47)</f>
        <v>0</v>
      </c>
      <c r="E42" s="6">
        <f>SUM('Model inputs'!E43,'Model inputs'!E44,'Model inputs'!E45,'Model inputs'!E46,'Model inputs'!E47)</f>
        <v>0</v>
      </c>
      <c r="F42" s="6">
        <f>SUM('Model inputs'!F43,'Model inputs'!F44,'Model inputs'!F45,'Model inputs'!F46,'Model inputs'!F47)</f>
        <v>0</v>
      </c>
      <c r="G42" s="6">
        <f>SUM('Model inputs'!G43,'Model inputs'!G44,'Model inputs'!G45,'Model inputs'!G46,'Model inputs'!G47)</f>
        <v>0</v>
      </c>
      <c r="H42" s="6">
        <f>SUM('Model inputs'!H43,'Model inputs'!H44,'Model inputs'!H45,'Model inputs'!H46,'Model inputs'!H47)</f>
        <v>0</v>
      </c>
      <c r="I42" s="6">
        <f>SUM('Model inputs'!I43,'Model inputs'!I44,'Model inputs'!I45,'Model inputs'!I46,'Model inputs'!I47)</f>
        <v>0</v>
      </c>
      <c r="J42" s="6">
        <f>SUM('Model inputs'!J43,'Model inputs'!J44,'Model inputs'!J45,'Model inputs'!J46,'Model inputs'!J47)</f>
        <v>0</v>
      </c>
      <c r="K42" s="6">
        <f>SUM('Model inputs'!K43,'Model inputs'!K44,'Model inputs'!K45,'Model inputs'!K46,'Model inputs'!K47)</f>
        <v>0</v>
      </c>
      <c r="L42" t="str" s="6">
        <f>""</f>
        <v/>
      </c>
      <c r="M42" t="str" s="6">
        <f>""</f>
        <v/>
      </c>
      <c r="N42" t="str" s="6">
        <f>""</f>
        <v/>
      </c>
      <c r="O42" t="str" s="6">
        <f>""</f>
        <v/>
      </c>
      <c r="P42" t="str" s="6">
        <f>""</f>
        <v/>
      </c>
      <c r="Q42" t="str" s="6">
        <f>""</f>
        <v/>
      </c>
      <c r="R42" t="str" s="6">
        <f>""</f>
        <v/>
      </c>
      <c r="S42" t="str" s="6">
        <f>""</f>
        <v/>
      </c>
      <c r="T42" t="str" s="6">
        <f>""</f>
        <v/>
      </c>
      <c r="U42" t="str" s="6">
        <f>""</f>
        <v/>
      </c>
      <c r="V42" t="str" s="6">
        <f>""</f>
        <v/>
      </c>
      <c r="W42" t="str" s="6">
        <f>""</f>
        <v/>
      </c>
      <c r="X42" t="str" s="6">
        <f>""</f>
        <v/>
      </c>
      <c r="Y42" t="str" s="6">
        <f>""</f>
        <v/>
      </c>
      <c r="Z42" t="str" s="6">
        <f>""</f>
        <v/>
      </c>
    </row>
    <row r="43" outlineLevel="1">
      <c r="A43" t="inlineStr" s="16">
        <is>
          <t xml:space="preserve">Cash collections &gt; Annual deal-team</t>
        </is>
      </c>
      <c r="C43" s="8">
        <f>0</f>
        <v>0</v>
      </c>
      <c r="D43" s="8">
        <f>0</f>
        <v>0</v>
      </c>
      <c r="E43" s="8">
        <f>0</f>
        <v>0</v>
      </c>
      <c r="F43" s="8">
        <f>0</f>
        <v>0</v>
      </c>
      <c r="G43" s="8">
        <f>0</f>
        <v>0</v>
      </c>
      <c r="H43" s="8">
        <f>0</f>
        <v>0</v>
      </c>
      <c r="I43" s="8">
        <f>0</f>
        <v>0</v>
      </c>
      <c r="J43" s="8">
        <f>0</f>
        <v>0</v>
      </c>
      <c r="K43" s="8">
        <f>0</f>
        <v>0</v>
      </c>
      <c r="L43" s="8">
        <f>'Model inputs'!L152*'Model inputs'!AA173*(1-'Model inputs'!AA170)+'Model inputs'!L57-'Model inputs'!L154*'Model inputs'!AA173/12*(1-'Model inputs'!AA170)</f>
        <v>32500</v>
      </c>
      <c r="M43" s="8">
        <f>'Model inputs'!M152*'Model inputs'!AA173*(1-'Model inputs'!AA170)+'Model inputs'!M57-'Model inputs'!M154*'Model inputs'!AA173/12*(1-'Model inputs'!AA170)</f>
        <v>35000</v>
      </c>
      <c r="N43" s="8">
        <f>'Model inputs'!N152*'Model inputs'!AA173*(1-'Model inputs'!AA170)+'Model inputs'!N57-'Model inputs'!N154*'Model inputs'!AA173/12*(1-'Model inputs'!AA170)</f>
        <v>37500</v>
      </c>
      <c r="O43" s="8">
        <f>'Model inputs'!O152*'Model inputs'!AA173*(1-'Model inputs'!AA170)+'Model inputs'!O57-'Model inputs'!O154*'Model inputs'!AA173/12*(1-'Model inputs'!AA170)</f>
        <v>40000</v>
      </c>
      <c r="P43" s="8">
        <f>'Model inputs'!P152*'Model inputs'!AA173*(1-'Model inputs'!AA170)+'Model inputs'!P57-'Model inputs'!P154*'Model inputs'!AA173/12*(1-'Model inputs'!AA170)</f>
        <v>42500</v>
      </c>
      <c r="Q43" s="8">
        <f>'Model inputs'!Q152*'Model inputs'!AA173*(1-'Model inputs'!AA170)+'Model inputs'!Q57-'Model inputs'!Q154*'Model inputs'!AA173/12*(1-'Model inputs'!AA170)</f>
        <v>45000</v>
      </c>
      <c r="R43" s="8">
        <f>'Model inputs'!R152*'Model inputs'!AA173*(1-'Model inputs'!AA170)+'Model inputs'!R57-'Model inputs'!R154*'Model inputs'!AA173/12*(1-'Model inputs'!AA170)</f>
        <v>47500</v>
      </c>
      <c r="S43" s="8">
        <f>'Model inputs'!S152*'Model inputs'!AA173*(1-'Model inputs'!AA170)+'Model inputs'!S57-'Model inputs'!S154*'Model inputs'!AA173/12*(1-'Model inputs'!AA170)</f>
        <v>50000</v>
      </c>
      <c r="T43" s="8">
        <f>'Model inputs'!T152*'Model inputs'!AA173*(1-'Model inputs'!AA170)+'Model inputs'!T57-'Model inputs'!T154*'Model inputs'!AA173/12*(1-'Model inputs'!AA170)</f>
        <v>52500</v>
      </c>
      <c r="U43" s="8">
        <f>'Model inputs'!U152*'Model inputs'!AA173*(1-'Model inputs'!AA170)+'Model inputs'!U57-'Model inputs'!U154*'Model inputs'!AA173/12*(1-'Model inputs'!AA170)</f>
        <v>55000</v>
      </c>
      <c r="V43" s="8">
        <f>'Model inputs'!V152*'Model inputs'!AA173*(1-'Model inputs'!AA170)+'Model inputs'!V57-'Model inputs'!V154*'Model inputs'!AA173/12*(1-'Model inputs'!AA170)</f>
        <v>57500</v>
      </c>
      <c r="W43" s="8">
        <f>'Model inputs'!W152*'Model inputs'!AA173*(1-'Model inputs'!AA170)+'Model inputs'!W57-'Model inputs'!W154*'Model inputs'!AA173/12*(1-'Model inputs'!AA170)</f>
        <v>60000</v>
      </c>
      <c r="X43" s="8">
        <f>'Model inputs'!X152*'Model inputs'!AA173*(1-'Model inputs'!AA170)+'Model inputs'!X57-'Model inputs'!X154*'Model inputs'!AA173/12*(1-'Model inputs'!AA170)</f>
        <v>30000</v>
      </c>
      <c r="Y43" s="8">
        <f>'Model inputs'!Y152*'Model inputs'!AA173*(1-'Model inputs'!AA170)+'Model inputs'!Y57-'Model inputs'!Y154*'Model inputs'!AA173/12*(1-'Model inputs'!AA170)</f>
        <v>30000</v>
      </c>
      <c r="Z43" s="8">
        <f>'Model inputs'!Z152*'Model inputs'!AA173*(1-'Model inputs'!AA170)+'Model inputs'!Z57-'Model inputs'!Z154*'Model inputs'!AA173/12*(1-'Model inputs'!AA170)</f>
        <v>30000</v>
      </c>
    </row>
    <row r="44" outlineLevel="1">
      <c r="A44" t="inlineStr" s="16">
        <is>
          <t xml:space="preserve">Cash collections &gt; Hybrid</t>
        </is>
      </c>
      <c r="C44" s="8">
        <f>0</f>
        <v>0</v>
      </c>
      <c r="D44" s="8">
        <f>0</f>
        <v>0</v>
      </c>
      <c r="E44" s="8">
        <f>0</f>
        <v>0</v>
      </c>
      <c r="F44" s="8">
        <f>0</f>
        <v>0</v>
      </c>
      <c r="G44" s="8">
        <f>0</f>
        <v>0</v>
      </c>
      <c r="H44" s="8">
        <f>0</f>
        <v>0</v>
      </c>
      <c r="I44" s="8">
        <f>0</f>
        <v>0</v>
      </c>
      <c r="J44" s="8">
        <f>0</f>
        <v>0</v>
      </c>
      <c r="K44" s="8">
        <f>0</f>
        <v>0</v>
      </c>
      <c r="L44" s="8">
        <f>'Model inputs'!L152*'Model inputs'!AA174*(1-'Model inputs'!AA170)+'Model inputs'!L58-'Model inputs'!L154*'Model inputs'!AA174/12*(1-'Model inputs'!AA170)</f>
        <v>12500</v>
      </c>
      <c r="M44" s="8">
        <f>'Model inputs'!M152*'Model inputs'!AA174*(1-'Model inputs'!AA170)+'Model inputs'!M58-'Model inputs'!M154*'Model inputs'!AA174/12*(1-'Model inputs'!AA170)</f>
        <v>17500</v>
      </c>
      <c r="N44" s="8">
        <f>'Model inputs'!N152*'Model inputs'!AA174*(1-'Model inputs'!AA170)+'Model inputs'!N58-'Model inputs'!N154*'Model inputs'!AA174/12*(1-'Model inputs'!AA170)</f>
        <v>22500</v>
      </c>
      <c r="O44" s="8">
        <f>'Model inputs'!O152*'Model inputs'!AA174*(1-'Model inputs'!AA170)+'Model inputs'!O58-'Model inputs'!O154*'Model inputs'!AA174/12*(1-'Model inputs'!AA170)</f>
        <v>27500</v>
      </c>
      <c r="P44" s="8">
        <f>'Model inputs'!P152*'Model inputs'!AA174*(1-'Model inputs'!AA170)+'Model inputs'!P58-'Model inputs'!P154*'Model inputs'!AA174/12*(1-'Model inputs'!AA170)</f>
        <v>32500</v>
      </c>
      <c r="Q44" s="8">
        <f>'Model inputs'!Q152*'Model inputs'!AA174*(1-'Model inputs'!AA170)+'Model inputs'!Q58-'Model inputs'!Q154*'Model inputs'!AA174/12*(1-'Model inputs'!AA170)</f>
        <v>37500</v>
      </c>
      <c r="R44" s="8">
        <f>'Model inputs'!R152*'Model inputs'!AA174*(1-'Model inputs'!AA170)+'Model inputs'!R58-'Model inputs'!R154*'Model inputs'!AA174/12*(1-'Model inputs'!AA170)</f>
        <v>42500</v>
      </c>
      <c r="S44" s="8">
        <f>'Model inputs'!S152*'Model inputs'!AA174*(1-'Model inputs'!AA170)+'Model inputs'!S58-'Model inputs'!S154*'Model inputs'!AA174/12*(1-'Model inputs'!AA170)</f>
        <v>47500</v>
      </c>
      <c r="T44" s="8">
        <f>'Model inputs'!T152*'Model inputs'!AA174*(1-'Model inputs'!AA170)+'Model inputs'!T58-'Model inputs'!T154*'Model inputs'!AA174/12*(1-'Model inputs'!AA170)</f>
        <v>52500</v>
      </c>
      <c r="U44" s="8">
        <f>'Model inputs'!U152*'Model inputs'!AA174*(1-'Model inputs'!AA170)+'Model inputs'!U58-'Model inputs'!U154*'Model inputs'!AA174/12*(1-'Model inputs'!AA170)</f>
        <v>57500</v>
      </c>
      <c r="V44" s="8">
        <f>'Model inputs'!V152*'Model inputs'!AA174*(1-'Model inputs'!AA170)+'Model inputs'!V58-'Model inputs'!V154*'Model inputs'!AA174/12*(1-'Model inputs'!AA170)</f>
        <v>62500</v>
      </c>
      <c r="W44" s="8">
        <f>'Model inputs'!W152*'Model inputs'!AA174*(1-'Model inputs'!AA170)+'Model inputs'!W58-'Model inputs'!W154*'Model inputs'!AA174/12*(1-'Model inputs'!AA170)</f>
        <v>67500</v>
      </c>
      <c r="X44" s="8">
        <f>'Model inputs'!X152*'Model inputs'!AA174*(1-'Model inputs'!AA170)+'Model inputs'!X58-'Model inputs'!X154*'Model inputs'!AA174/12*(1-'Model inputs'!AA170)</f>
        <v>60000</v>
      </c>
      <c r="Y44" s="8">
        <f>'Model inputs'!Y152*'Model inputs'!AA174*(1-'Model inputs'!AA170)+'Model inputs'!Y58-'Model inputs'!Y154*'Model inputs'!AA174/12*(1-'Model inputs'!AA170)</f>
        <v>60000</v>
      </c>
      <c r="Z44" s="8">
        <f>'Model inputs'!Z152*'Model inputs'!AA174*(1-'Model inputs'!AA170)+'Model inputs'!Z58-'Model inputs'!Z154*'Model inputs'!AA174/12*(1-'Model inputs'!AA170)</f>
        <v>60000</v>
      </c>
    </row>
    <row r="45" outlineLevel="1">
      <c r="A45" t="inlineStr" s="16">
        <is>
          <t xml:space="preserve">Cash collections &gt; Per audit — base</t>
        </is>
      </c>
      <c r="C45" s="8">
        <f>0</f>
        <v>0</v>
      </c>
      <c r="D45" s="8">
        <f>0</f>
        <v>0</v>
      </c>
      <c r="E45" s="8">
        <f>0</f>
        <v>0</v>
      </c>
      <c r="F45" s="8">
        <f>0</f>
        <v>0</v>
      </c>
      <c r="G45" s="8">
        <f>0</f>
        <v>0</v>
      </c>
      <c r="H45" s="8">
        <f>0</f>
        <v>0</v>
      </c>
      <c r="I45" s="8">
        <f>0</f>
        <v>0</v>
      </c>
      <c r="J45" s="8">
        <f>0</f>
        <v>0</v>
      </c>
      <c r="K45" s="8">
        <f>0</f>
        <v>0</v>
      </c>
      <c r="L45" s="8">
        <f>'Model inputs'!L152*'Model inputs'!AA175*(1-'Model inputs'!AA170)+'Model inputs'!L59-'Model inputs'!L154*'Model inputs'!AA175/12*(1-'Model inputs'!AA170)</f>
        <v>7500</v>
      </c>
      <c r="M45" s="8">
        <f>'Model inputs'!M152*'Model inputs'!AA175*(1-'Model inputs'!AA170)+'Model inputs'!M59-'Model inputs'!M154*'Model inputs'!AA175/12*(1-'Model inputs'!AA170)</f>
        <v>15000</v>
      </c>
      <c r="N45" s="8">
        <f>'Model inputs'!N152*'Model inputs'!AA175*(1-'Model inputs'!AA170)+'Model inputs'!N59-'Model inputs'!N154*'Model inputs'!AA175/12*(1-'Model inputs'!AA170)</f>
        <v>22500</v>
      </c>
      <c r="O45" s="8">
        <f>'Model inputs'!O152*'Model inputs'!AA175*(1-'Model inputs'!AA170)+'Model inputs'!O59-'Model inputs'!O154*'Model inputs'!AA175/12*(1-'Model inputs'!AA170)</f>
        <v>30000</v>
      </c>
      <c r="P45" s="8">
        <f>'Model inputs'!P152*'Model inputs'!AA175*(1-'Model inputs'!AA170)+'Model inputs'!P59-'Model inputs'!P154*'Model inputs'!AA175/12*(1-'Model inputs'!AA170)</f>
        <v>37500</v>
      </c>
      <c r="Q45" s="8">
        <f>'Model inputs'!Q152*'Model inputs'!AA175*(1-'Model inputs'!AA170)+'Model inputs'!Q59-'Model inputs'!Q154*'Model inputs'!AA175/12*(1-'Model inputs'!AA170)</f>
        <v>45000</v>
      </c>
      <c r="R45" s="8">
        <f>'Model inputs'!R152*'Model inputs'!AA175*(1-'Model inputs'!AA170)+'Model inputs'!R59-'Model inputs'!R154*'Model inputs'!AA175/12*(1-'Model inputs'!AA170)</f>
        <v>52500</v>
      </c>
      <c r="S45" s="8">
        <f>'Model inputs'!S152*'Model inputs'!AA175*(1-'Model inputs'!AA170)+'Model inputs'!S59-'Model inputs'!S154*'Model inputs'!AA175/12*(1-'Model inputs'!AA170)</f>
        <v>60000</v>
      </c>
      <c r="T45" s="8">
        <f>'Model inputs'!T152*'Model inputs'!AA175*(1-'Model inputs'!AA170)+'Model inputs'!T59-'Model inputs'!T154*'Model inputs'!AA175/12*(1-'Model inputs'!AA170)</f>
        <v>67500</v>
      </c>
      <c r="U45" s="8">
        <f>'Model inputs'!U152*'Model inputs'!AA175*(1-'Model inputs'!AA170)+'Model inputs'!U59-'Model inputs'!U154*'Model inputs'!AA175/12*(1-'Model inputs'!AA170)</f>
        <v>75000</v>
      </c>
      <c r="V45" s="8">
        <f>'Model inputs'!V152*'Model inputs'!AA175*(1-'Model inputs'!AA170)+'Model inputs'!V59-'Model inputs'!V154*'Model inputs'!AA175/12*(1-'Model inputs'!AA170)</f>
        <v>82500</v>
      </c>
      <c r="W45" s="8">
        <f>'Model inputs'!W152*'Model inputs'!AA175*(1-'Model inputs'!AA170)+'Model inputs'!W59-'Model inputs'!W154*'Model inputs'!AA175/12*(1-'Model inputs'!AA170)</f>
        <v>90000</v>
      </c>
      <c r="X45" s="8">
        <f>'Model inputs'!X152*'Model inputs'!AA175*(1-'Model inputs'!AA170)+'Model inputs'!X59-'Model inputs'!X154*'Model inputs'!AA175/12*(1-'Model inputs'!AA170)</f>
        <v>90000</v>
      </c>
      <c r="Y45" s="8">
        <f>'Model inputs'!Y152*'Model inputs'!AA175*(1-'Model inputs'!AA170)+'Model inputs'!Y59-'Model inputs'!Y154*'Model inputs'!AA175/12*(1-'Model inputs'!AA170)</f>
        <v>90000</v>
      </c>
      <c r="Z45" s="8">
        <f>'Model inputs'!Z152*'Model inputs'!AA175*(1-'Model inputs'!AA170)+'Model inputs'!Z59-'Model inputs'!Z154*'Model inputs'!AA175/12*(1-'Model inputs'!AA170)</f>
        <v>90000</v>
      </c>
    </row>
    <row r="46" outlineLevel="1">
      <c r="A46" t="inlineStr" s="16">
        <is>
          <t xml:space="preserve">Cash collections &gt; Per audit — high</t>
        </is>
      </c>
      <c r="C46" s="8">
        <f>0</f>
        <v>0</v>
      </c>
      <c r="D46" s="8">
        <f>0</f>
        <v>0</v>
      </c>
      <c r="E46" s="8">
        <f>0</f>
        <v>0</v>
      </c>
      <c r="F46" s="8">
        <f>0</f>
        <v>0</v>
      </c>
      <c r="G46" s="8">
        <f>0</f>
        <v>0</v>
      </c>
      <c r="H46" s="8">
        <f>0</f>
        <v>0</v>
      </c>
      <c r="I46" s="8">
        <f>0</f>
        <v>0</v>
      </c>
      <c r="J46" s="8">
        <f>0</f>
        <v>0</v>
      </c>
      <c r="K46" s="8">
        <f>0</f>
        <v>0</v>
      </c>
      <c r="L46" s="8">
        <f>'Model inputs'!L152*'Model inputs'!AA176*(1-'Model inputs'!AA170)+'Model inputs'!L60-'Model inputs'!L154*'Model inputs'!AA176/12*(1-'Model inputs'!AA170)</f>
        <v>15000</v>
      </c>
      <c r="M46" s="8">
        <f>'Model inputs'!M152*'Model inputs'!AA176*(1-'Model inputs'!AA170)+'Model inputs'!M60-'Model inputs'!M154*'Model inputs'!AA176/12*(1-'Model inputs'!AA170)</f>
        <v>30000</v>
      </c>
      <c r="N46" s="8">
        <f>'Model inputs'!N152*'Model inputs'!AA176*(1-'Model inputs'!AA170)+'Model inputs'!N60-'Model inputs'!N154*'Model inputs'!AA176/12*(1-'Model inputs'!AA170)</f>
        <v>45000</v>
      </c>
      <c r="O46" s="8">
        <f>'Model inputs'!O152*'Model inputs'!AA176*(1-'Model inputs'!AA170)+'Model inputs'!O60-'Model inputs'!O154*'Model inputs'!AA176/12*(1-'Model inputs'!AA170)</f>
        <v>60000</v>
      </c>
      <c r="P46" s="8">
        <f>'Model inputs'!P152*'Model inputs'!AA176*(1-'Model inputs'!AA170)+'Model inputs'!P60-'Model inputs'!P154*'Model inputs'!AA176/12*(1-'Model inputs'!AA170)</f>
        <v>75000</v>
      </c>
      <c r="Q46" s="8">
        <f>'Model inputs'!Q152*'Model inputs'!AA176*(1-'Model inputs'!AA170)+'Model inputs'!Q60-'Model inputs'!Q154*'Model inputs'!AA176/12*(1-'Model inputs'!AA170)</f>
        <v>90000</v>
      </c>
      <c r="R46" s="8">
        <f>'Model inputs'!R152*'Model inputs'!AA176*(1-'Model inputs'!AA170)+'Model inputs'!R60-'Model inputs'!R154*'Model inputs'!AA176/12*(1-'Model inputs'!AA170)</f>
        <v>105000</v>
      </c>
      <c r="S46" s="8">
        <f>'Model inputs'!S152*'Model inputs'!AA176*(1-'Model inputs'!AA170)+'Model inputs'!S60-'Model inputs'!S154*'Model inputs'!AA176/12*(1-'Model inputs'!AA170)</f>
        <v>120000</v>
      </c>
      <c r="T46" s="8">
        <f>'Model inputs'!T152*'Model inputs'!AA176*(1-'Model inputs'!AA170)+'Model inputs'!T60-'Model inputs'!T154*'Model inputs'!AA176/12*(1-'Model inputs'!AA170)</f>
        <v>135000</v>
      </c>
      <c r="U46" s="8">
        <f>'Model inputs'!U152*'Model inputs'!AA176*(1-'Model inputs'!AA170)+'Model inputs'!U60-'Model inputs'!U154*'Model inputs'!AA176/12*(1-'Model inputs'!AA170)</f>
        <v>150000</v>
      </c>
      <c r="V46" s="8">
        <f>'Model inputs'!V152*'Model inputs'!AA176*(1-'Model inputs'!AA170)+'Model inputs'!V60-'Model inputs'!V154*'Model inputs'!AA176/12*(1-'Model inputs'!AA170)</f>
        <v>165000</v>
      </c>
      <c r="W46" s="8">
        <f>'Model inputs'!W152*'Model inputs'!AA176*(1-'Model inputs'!AA170)+'Model inputs'!W60-'Model inputs'!W154*'Model inputs'!AA176/12*(1-'Model inputs'!AA170)</f>
        <v>180000</v>
      </c>
      <c r="X46" s="8">
        <f>'Model inputs'!X152*'Model inputs'!AA176*(1-'Model inputs'!AA170)+'Model inputs'!X60-'Model inputs'!X154*'Model inputs'!AA176/12*(1-'Model inputs'!AA170)</f>
        <v>180000</v>
      </c>
      <c r="Y46" s="8">
        <f>'Model inputs'!Y152*'Model inputs'!AA176*(1-'Model inputs'!AA170)+'Model inputs'!Y60-'Model inputs'!Y154*'Model inputs'!AA176/12*(1-'Model inputs'!AA170)</f>
        <v>180000</v>
      </c>
      <c r="Z46" s="8">
        <f>'Model inputs'!Z152*'Model inputs'!AA176*(1-'Model inputs'!AA170)+'Model inputs'!Z60-'Model inputs'!Z154*'Model inputs'!AA176/12*(1-'Model inputs'!AA170)</f>
        <v>180000</v>
      </c>
    </row>
    <row r="47" outlineLevel="1">
      <c r="A47" t="inlineStr" s="16">
        <is>
          <t xml:space="preserve">Cash collections &gt; Per audit — low</t>
        </is>
      </c>
      <c r="C47" s="8">
        <f>0</f>
        <v>0</v>
      </c>
      <c r="D47" s="8">
        <f>0</f>
        <v>0</v>
      </c>
      <c r="E47" s="8">
        <f>0</f>
        <v>0</v>
      </c>
      <c r="F47" s="8">
        <f>0</f>
        <v>0</v>
      </c>
      <c r="G47" s="8">
        <f>0</f>
        <v>0</v>
      </c>
      <c r="H47" s="8">
        <f>0</f>
        <v>0</v>
      </c>
      <c r="I47" s="8">
        <f>0</f>
        <v>0</v>
      </c>
      <c r="J47" s="8">
        <f>0</f>
        <v>0</v>
      </c>
      <c r="K47" s="8">
        <f>0</f>
        <v>0</v>
      </c>
      <c r="L47" s="8">
        <f>'Model inputs'!L152*'Model inputs'!AA177*(1-'Model inputs'!AA170)+'Model inputs'!L61-'Model inputs'!L154*'Model inputs'!AA177/12*(1-'Model inputs'!AA170)</f>
        <v>3750</v>
      </c>
      <c r="M47" s="8">
        <f>'Model inputs'!M152*'Model inputs'!AA177*(1-'Model inputs'!AA170)+'Model inputs'!M61-'Model inputs'!M154*'Model inputs'!AA177/12*(1-'Model inputs'!AA170)</f>
        <v>7500</v>
      </c>
      <c r="N47" s="8">
        <f>'Model inputs'!N152*'Model inputs'!AA177*(1-'Model inputs'!AA170)+'Model inputs'!N61-'Model inputs'!N154*'Model inputs'!AA177/12*(1-'Model inputs'!AA170)</f>
        <v>11250</v>
      </c>
      <c r="O47" s="8">
        <f>'Model inputs'!O152*'Model inputs'!AA177*(1-'Model inputs'!AA170)+'Model inputs'!O61-'Model inputs'!O154*'Model inputs'!AA177/12*(1-'Model inputs'!AA170)</f>
        <v>15000</v>
      </c>
      <c r="P47" s="8">
        <f>'Model inputs'!P152*'Model inputs'!AA177*(1-'Model inputs'!AA170)+'Model inputs'!P61-'Model inputs'!P154*'Model inputs'!AA177/12*(1-'Model inputs'!AA170)</f>
        <v>18750</v>
      </c>
      <c r="Q47" s="8">
        <f>'Model inputs'!Q152*'Model inputs'!AA177*(1-'Model inputs'!AA170)+'Model inputs'!Q61-'Model inputs'!Q154*'Model inputs'!AA177/12*(1-'Model inputs'!AA170)</f>
        <v>22500</v>
      </c>
      <c r="R47" s="8">
        <f>'Model inputs'!R152*'Model inputs'!AA177*(1-'Model inputs'!AA170)+'Model inputs'!R61-'Model inputs'!R154*'Model inputs'!AA177/12*(1-'Model inputs'!AA170)</f>
        <v>26250</v>
      </c>
      <c r="S47" s="8">
        <f>'Model inputs'!S152*'Model inputs'!AA177*(1-'Model inputs'!AA170)+'Model inputs'!S61-'Model inputs'!S154*'Model inputs'!AA177/12*(1-'Model inputs'!AA170)</f>
        <v>30000</v>
      </c>
      <c r="T47" s="8">
        <f>'Model inputs'!T152*'Model inputs'!AA177*(1-'Model inputs'!AA170)+'Model inputs'!T61-'Model inputs'!T154*'Model inputs'!AA177/12*(1-'Model inputs'!AA170)</f>
        <v>33750</v>
      </c>
      <c r="U47" s="8">
        <f>'Model inputs'!U152*'Model inputs'!AA177*(1-'Model inputs'!AA170)+'Model inputs'!U61-'Model inputs'!U154*'Model inputs'!AA177/12*(1-'Model inputs'!AA170)</f>
        <v>37500</v>
      </c>
      <c r="V47" s="8">
        <f>'Model inputs'!V152*'Model inputs'!AA177*(1-'Model inputs'!AA170)+'Model inputs'!V61-'Model inputs'!V154*'Model inputs'!AA177/12*(1-'Model inputs'!AA170)</f>
        <v>41250</v>
      </c>
      <c r="W47" s="8">
        <f>'Model inputs'!W152*'Model inputs'!AA177*(1-'Model inputs'!AA170)+'Model inputs'!W61-'Model inputs'!W154*'Model inputs'!AA177/12*(1-'Model inputs'!AA170)</f>
        <v>45000</v>
      </c>
      <c r="X47" s="8">
        <f>'Model inputs'!X152*'Model inputs'!AA177*(1-'Model inputs'!AA170)+'Model inputs'!X61-'Model inputs'!X154*'Model inputs'!AA177/12*(1-'Model inputs'!AA170)</f>
        <v>45000</v>
      </c>
      <c r="Y47" s="8">
        <f>'Model inputs'!Y152*'Model inputs'!AA177*(1-'Model inputs'!AA170)+'Model inputs'!Y61-'Model inputs'!Y154*'Model inputs'!AA177/12*(1-'Model inputs'!AA170)</f>
        <v>45000</v>
      </c>
      <c r="Z47" s="8">
        <f>'Model inputs'!Z152*'Model inputs'!AA177*(1-'Model inputs'!AA170)+'Model inputs'!Z61-'Model inputs'!Z154*'Model inputs'!AA177/12*(1-'Model inputs'!AA170)</f>
        <v>45000</v>
      </c>
    </row>
    <row r="48">
      <c r="A48" t="inlineStr" s="14">
        <is>
          <t xml:space="preserve">Cash collections</t>
        </is>
      </c>
      <c r="C48" s="6">
        <f>SUM('Model inputs'!C49,'Model inputs'!C50,'Model inputs'!C51,'Model inputs'!C52,'Model inputs'!C53)</f>
        <v>0</v>
      </c>
      <c r="D48" s="6">
        <f>SUM('Model inputs'!D49,'Model inputs'!D50,'Model inputs'!D51,'Model inputs'!D52,'Model inputs'!D53)</f>
        <v>0</v>
      </c>
      <c r="E48" s="6">
        <f>SUM('Model inputs'!E49,'Model inputs'!E50,'Model inputs'!E51,'Model inputs'!E52,'Model inputs'!E53)</f>
        <v>0</v>
      </c>
      <c r="F48" s="6">
        <f>SUM('Model inputs'!F49,'Model inputs'!F50,'Model inputs'!F51,'Model inputs'!F52,'Model inputs'!F53)</f>
        <v>0</v>
      </c>
      <c r="G48" s="6">
        <f>SUM('Model inputs'!G49,'Model inputs'!G50,'Model inputs'!G51,'Model inputs'!G52,'Model inputs'!G53)</f>
        <v>0</v>
      </c>
      <c r="H48" s="6">
        <f>SUM('Model inputs'!H49,'Model inputs'!H50,'Model inputs'!H51,'Model inputs'!H52,'Model inputs'!H53)</f>
        <v>0</v>
      </c>
      <c r="I48" s="6">
        <f>SUM('Model inputs'!I49,'Model inputs'!I50,'Model inputs'!I51,'Model inputs'!I52,'Model inputs'!I53)</f>
        <v>0</v>
      </c>
      <c r="J48" s="6">
        <f>SUM('Model inputs'!J49,'Model inputs'!J50,'Model inputs'!J51,'Model inputs'!J52,'Model inputs'!J53)</f>
        <v>0</v>
      </c>
      <c r="K48" s="6">
        <f>SUM('Model inputs'!K49,'Model inputs'!K50,'Model inputs'!K51,'Model inputs'!K52,'Model inputs'!K53)</f>
        <v>0</v>
      </c>
      <c r="L48" t="str" s="6">
        <f>""</f>
        <v/>
      </c>
      <c r="M48" t="str" s="6">
        <f>""</f>
        <v/>
      </c>
      <c r="N48" t="str" s="6">
        <f>""</f>
        <v/>
      </c>
      <c r="O48" t="str" s="6">
        <f>""</f>
        <v/>
      </c>
      <c r="P48" t="str" s="6">
        <f>""</f>
        <v/>
      </c>
      <c r="Q48" t="str" s="6">
        <f>""</f>
        <v/>
      </c>
      <c r="R48" t="str" s="6">
        <f>""</f>
        <v/>
      </c>
      <c r="S48" t="str" s="6">
        <f>""</f>
        <v/>
      </c>
      <c r="T48" t="str" s="6">
        <f>""</f>
        <v/>
      </c>
      <c r="U48" t="str" s="6">
        <f>""</f>
        <v/>
      </c>
      <c r="V48" t="str" s="6">
        <f>""</f>
        <v/>
      </c>
      <c r="W48" t="str" s="6">
        <f>""</f>
        <v/>
      </c>
      <c r="X48" t="str" s="6">
        <f>""</f>
        <v/>
      </c>
      <c r="Y48" t="str" s="6">
        <f>""</f>
        <v/>
      </c>
      <c r="Z48" t="str" s="6">
        <f>""</f>
        <v/>
      </c>
    </row>
    <row r="49" outlineLevel="1">
      <c r="A49" t="inlineStr" s="16">
        <is>
          <t xml:space="preserve">Cash collections &gt; Annual deal-team</t>
        </is>
      </c>
      <c r="C49" s="8">
        <f>0</f>
        <v>0</v>
      </c>
      <c r="D49" s="8">
        <f>0</f>
        <v>0</v>
      </c>
      <c r="E49" s="8">
        <f>0</f>
        <v>0</v>
      </c>
      <c r="F49" s="8">
        <f>0</f>
        <v>0</v>
      </c>
      <c r="G49" s="8">
        <f>0</f>
        <v>0</v>
      </c>
      <c r="H49" s="8">
        <f>0</f>
        <v>0</v>
      </c>
      <c r="I49" s="8">
        <f>0</f>
        <v>0</v>
      </c>
      <c r="J49" s="8">
        <f>0</f>
        <v>0</v>
      </c>
      <c r="K49" s="8">
        <f>0</f>
        <v>0</v>
      </c>
      <c r="L49" s="8">
        <f>'Model inputs'!L153*'Model inputs'!AA179*(1-'Model inputs'!AA171)+'Model inputs'!L63-'Model inputs'!L155*'Model inputs'!AA179/12*(1-'Model inputs'!AA171)</f>
        <v>0</v>
      </c>
      <c r="M49" s="8">
        <f>'Model inputs'!M153*'Model inputs'!AA179*(1-'Model inputs'!AA171)+'Model inputs'!M63-'Model inputs'!M155*'Model inputs'!AA179/12*(1-'Model inputs'!AA171)</f>
        <v>0</v>
      </c>
      <c r="N49" s="8">
        <f>'Model inputs'!N153*'Model inputs'!AA179*(1-'Model inputs'!AA171)+'Model inputs'!N63-'Model inputs'!N155*'Model inputs'!AA179/12*(1-'Model inputs'!AA171)</f>
        <v>48000</v>
      </c>
      <c r="O49" s="8">
        <f>'Model inputs'!O153*'Model inputs'!AA179*(1-'Model inputs'!AA171)+'Model inputs'!O63-'Model inputs'!O155*'Model inputs'!AA179/12*(1-'Model inputs'!AA171)</f>
        <v>0</v>
      </c>
      <c r="P49" s="8">
        <f>'Model inputs'!P153*'Model inputs'!AA179*(1-'Model inputs'!AA171)+'Model inputs'!P63-'Model inputs'!P155*'Model inputs'!AA179/12*(1-'Model inputs'!AA171)</f>
        <v>0</v>
      </c>
      <c r="Q49" s="8">
        <f>'Model inputs'!Q153*'Model inputs'!AA179*(1-'Model inputs'!AA171)+'Model inputs'!Q63-'Model inputs'!Q155*'Model inputs'!AA179/12*(1-'Model inputs'!AA171)</f>
        <v>0</v>
      </c>
      <c r="R49" s="8">
        <f>'Model inputs'!R153*'Model inputs'!AA179*(1-'Model inputs'!AA171)+'Model inputs'!R63-'Model inputs'!R155*'Model inputs'!AA179/12*(1-'Model inputs'!AA171)</f>
        <v>0</v>
      </c>
      <c r="S49" s="8">
        <f>'Model inputs'!S153*'Model inputs'!AA179*(1-'Model inputs'!AA171)+'Model inputs'!S63-'Model inputs'!S155*'Model inputs'!AA179/12*(1-'Model inputs'!AA171)</f>
        <v>0</v>
      </c>
      <c r="T49" s="8">
        <f>'Model inputs'!T153*'Model inputs'!AA179*(1-'Model inputs'!AA171)+'Model inputs'!T63-'Model inputs'!T155*'Model inputs'!AA179/12*(1-'Model inputs'!AA171)</f>
        <v>0</v>
      </c>
      <c r="U49" s="8">
        <f>'Model inputs'!U153*'Model inputs'!AA179*(1-'Model inputs'!AA171)+'Model inputs'!U63-'Model inputs'!U155*'Model inputs'!AA179/12*(1-'Model inputs'!AA171)</f>
        <v>0</v>
      </c>
      <c r="V49" s="8">
        <f>'Model inputs'!V153*'Model inputs'!AA179*(1-'Model inputs'!AA171)+'Model inputs'!V63-'Model inputs'!V155*'Model inputs'!AA179/12*(1-'Model inputs'!AA171)</f>
        <v>0</v>
      </c>
      <c r="W49" s="8">
        <f>'Model inputs'!W153*'Model inputs'!AA179*(1-'Model inputs'!AA171)+'Model inputs'!W63-'Model inputs'!W155*'Model inputs'!AA179/12*(1-'Model inputs'!AA171)</f>
        <v>0</v>
      </c>
      <c r="X49" s="8">
        <f>'Model inputs'!X153*'Model inputs'!AA179*(1-'Model inputs'!AA171)+'Model inputs'!X63-'Model inputs'!X155*'Model inputs'!AA179/12*(1-'Model inputs'!AA171)</f>
        <v>0</v>
      </c>
      <c r="Y49" s="8">
        <f>'Model inputs'!Y153*'Model inputs'!AA179*(1-'Model inputs'!AA171)+'Model inputs'!Y63-'Model inputs'!Y155*'Model inputs'!AA179/12*(1-'Model inputs'!AA171)</f>
        <v>0</v>
      </c>
      <c r="Z49" s="8">
        <f>'Model inputs'!Z153*'Model inputs'!AA179*(1-'Model inputs'!AA171)+'Model inputs'!Z63-'Model inputs'!Z155*'Model inputs'!AA179/12*(1-'Model inputs'!AA171)</f>
        <v>0</v>
      </c>
    </row>
    <row r="50" outlineLevel="1">
      <c r="A50" t="inlineStr" s="16">
        <is>
          <t xml:space="preserve">Cash collections &gt; Hybrid</t>
        </is>
      </c>
      <c r="C50" s="8">
        <f>0</f>
        <v>0</v>
      </c>
      <c r="D50" s="8">
        <f>0</f>
        <v>0</v>
      </c>
      <c r="E50" s="8">
        <f>0</f>
        <v>0</v>
      </c>
      <c r="F50" s="8">
        <f>0</f>
        <v>0</v>
      </c>
      <c r="G50" s="8">
        <f>0</f>
        <v>0</v>
      </c>
      <c r="H50" s="8">
        <f>0</f>
        <v>0</v>
      </c>
      <c r="I50" s="8">
        <f>0</f>
        <v>0</v>
      </c>
      <c r="J50" s="8">
        <f>0</f>
        <v>0</v>
      </c>
      <c r="K50" s="8">
        <f>0</f>
        <v>0</v>
      </c>
      <c r="L50" s="8">
        <f>'Model inputs'!L153*'Model inputs'!AA180*(1-'Model inputs'!AA171)+'Model inputs'!L64-'Model inputs'!L155*'Model inputs'!AA180/12*(1-'Model inputs'!AA171)</f>
        <v>0</v>
      </c>
      <c r="M50" s="8">
        <f>'Model inputs'!M153*'Model inputs'!AA180*(1-'Model inputs'!AA171)+'Model inputs'!M64-'Model inputs'!M155*'Model inputs'!AA180/12*(1-'Model inputs'!AA171)</f>
        <v>0</v>
      </c>
      <c r="N50" s="8">
        <f>'Model inputs'!N153*'Model inputs'!AA180*(1-'Model inputs'!AA171)+'Model inputs'!N64-'Model inputs'!N155*'Model inputs'!AA180/12*(1-'Model inputs'!AA171)</f>
        <v>16000</v>
      </c>
      <c r="O50" s="8">
        <f>'Model inputs'!O153*'Model inputs'!AA180*(1-'Model inputs'!AA171)+'Model inputs'!O64-'Model inputs'!O155*'Model inputs'!AA180/12*(1-'Model inputs'!AA171)</f>
        <v>4000</v>
      </c>
      <c r="P50" s="8">
        <f>'Model inputs'!P153*'Model inputs'!AA180*(1-'Model inputs'!AA171)+'Model inputs'!P64-'Model inputs'!P155*'Model inputs'!AA180/12*(1-'Model inputs'!AA171)</f>
        <v>4000</v>
      </c>
      <c r="Q50" s="8">
        <f>'Model inputs'!Q153*'Model inputs'!AA180*(1-'Model inputs'!AA171)+'Model inputs'!Q64-'Model inputs'!Q155*'Model inputs'!AA180/12*(1-'Model inputs'!AA171)</f>
        <v>4000</v>
      </c>
      <c r="R50" s="8">
        <f>'Model inputs'!R153*'Model inputs'!AA180*(1-'Model inputs'!AA171)+'Model inputs'!R64-'Model inputs'!R155*'Model inputs'!AA180/12*(1-'Model inputs'!AA171)</f>
        <v>4000</v>
      </c>
      <c r="S50" s="8">
        <f>'Model inputs'!S153*'Model inputs'!AA180*(1-'Model inputs'!AA171)+'Model inputs'!S64-'Model inputs'!S155*'Model inputs'!AA180/12*(1-'Model inputs'!AA171)</f>
        <v>4000</v>
      </c>
      <c r="T50" s="8">
        <f>'Model inputs'!T153*'Model inputs'!AA180*(1-'Model inputs'!AA171)+'Model inputs'!T64-'Model inputs'!T155*'Model inputs'!AA180/12*(1-'Model inputs'!AA171)</f>
        <v>4000</v>
      </c>
      <c r="U50" s="8">
        <f>'Model inputs'!U153*'Model inputs'!AA180*(1-'Model inputs'!AA171)+'Model inputs'!U64-'Model inputs'!U155*'Model inputs'!AA180/12*(1-'Model inputs'!AA171)</f>
        <v>4000</v>
      </c>
      <c r="V50" s="8">
        <f>'Model inputs'!V153*'Model inputs'!AA180*(1-'Model inputs'!AA171)+'Model inputs'!V64-'Model inputs'!V155*'Model inputs'!AA180/12*(1-'Model inputs'!AA171)</f>
        <v>4000</v>
      </c>
      <c r="W50" s="8">
        <f>'Model inputs'!W153*'Model inputs'!AA180*(1-'Model inputs'!AA171)+'Model inputs'!W64-'Model inputs'!W155*'Model inputs'!AA180/12*(1-'Model inputs'!AA171)</f>
        <v>4000</v>
      </c>
      <c r="X50" s="8">
        <f>'Model inputs'!X153*'Model inputs'!AA180*(1-'Model inputs'!AA171)+'Model inputs'!X64-'Model inputs'!X155*'Model inputs'!AA180/12*(1-'Model inputs'!AA171)</f>
        <v>4000</v>
      </c>
      <c r="Y50" s="8">
        <f>'Model inputs'!Y153*'Model inputs'!AA180*(1-'Model inputs'!AA171)+'Model inputs'!Y64-'Model inputs'!Y155*'Model inputs'!AA180/12*(1-'Model inputs'!AA171)</f>
        <v>4000</v>
      </c>
      <c r="Z50" s="8">
        <f>'Model inputs'!Z153*'Model inputs'!AA180*(1-'Model inputs'!AA171)+'Model inputs'!Z64-'Model inputs'!Z155*'Model inputs'!AA180/12*(1-'Model inputs'!AA171)</f>
        <v>4000</v>
      </c>
    </row>
    <row r="51" outlineLevel="1">
      <c r="A51" t="inlineStr" s="16">
        <is>
          <t xml:space="preserve">Cash collections &gt; Per audit — base</t>
        </is>
      </c>
      <c r="C51" s="8">
        <f>0</f>
        <v>0</v>
      </c>
      <c r="D51" s="8">
        <f>0</f>
        <v>0</v>
      </c>
      <c r="E51" s="8">
        <f>0</f>
        <v>0</v>
      </c>
      <c r="F51" s="8">
        <f>0</f>
        <v>0</v>
      </c>
      <c r="G51" s="8">
        <f>0</f>
        <v>0</v>
      </c>
      <c r="H51" s="8">
        <f>0</f>
        <v>0</v>
      </c>
      <c r="I51" s="8">
        <f>0</f>
        <v>0</v>
      </c>
      <c r="J51" s="8">
        <f>0</f>
        <v>0</v>
      </c>
      <c r="K51" s="8">
        <f>0</f>
        <v>0</v>
      </c>
      <c r="L51" s="8">
        <f>'Model inputs'!L153*'Model inputs'!AA181*(1-'Model inputs'!AA171)+'Model inputs'!L65-'Model inputs'!L155*'Model inputs'!AA181/12*(1-'Model inputs'!AA171)</f>
        <v>0</v>
      </c>
      <c r="M51" s="8">
        <f>'Model inputs'!M153*'Model inputs'!AA181*(1-'Model inputs'!AA171)+'Model inputs'!M65-'Model inputs'!M155*'Model inputs'!AA181/12*(1-'Model inputs'!AA171)</f>
        <v>0</v>
      </c>
      <c r="N51" s="8">
        <f>'Model inputs'!N153*'Model inputs'!AA181*(1-'Model inputs'!AA171)+'Model inputs'!N65-'Model inputs'!N155*'Model inputs'!AA181/12*(1-'Model inputs'!AA171)</f>
        <v>6000</v>
      </c>
      <c r="O51" s="8">
        <f>'Model inputs'!O153*'Model inputs'!AA181*(1-'Model inputs'!AA171)+'Model inputs'!O65-'Model inputs'!O155*'Model inputs'!AA181/12*(1-'Model inputs'!AA171)</f>
        <v>6000</v>
      </c>
      <c r="P51" s="8">
        <f>'Model inputs'!P153*'Model inputs'!AA181*(1-'Model inputs'!AA171)+'Model inputs'!P65-'Model inputs'!P155*'Model inputs'!AA181/12*(1-'Model inputs'!AA171)</f>
        <v>6000</v>
      </c>
      <c r="Q51" s="8">
        <f>'Model inputs'!Q153*'Model inputs'!AA181*(1-'Model inputs'!AA171)+'Model inputs'!Q65-'Model inputs'!Q155*'Model inputs'!AA181/12*(1-'Model inputs'!AA171)</f>
        <v>6000</v>
      </c>
      <c r="R51" s="8">
        <f>'Model inputs'!R153*'Model inputs'!AA181*(1-'Model inputs'!AA171)+'Model inputs'!R65-'Model inputs'!R155*'Model inputs'!AA181/12*(1-'Model inputs'!AA171)</f>
        <v>6000</v>
      </c>
      <c r="S51" s="8">
        <f>'Model inputs'!S153*'Model inputs'!AA181*(1-'Model inputs'!AA171)+'Model inputs'!S65-'Model inputs'!S155*'Model inputs'!AA181/12*(1-'Model inputs'!AA171)</f>
        <v>6000</v>
      </c>
      <c r="T51" s="8">
        <f>'Model inputs'!T153*'Model inputs'!AA181*(1-'Model inputs'!AA171)+'Model inputs'!T65-'Model inputs'!T155*'Model inputs'!AA181/12*(1-'Model inputs'!AA171)</f>
        <v>6000</v>
      </c>
      <c r="U51" s="8">
        <f>'Model inputs'!U153*'Model inputs'!AA181*(1-'Model inputs'!AA171)+'Model inputs'!U65-'Model inputs'!U155*'Model inputs'!AA181/12*(1-'Model inputs'!AA171)</f>
        <v>6000</v>
      </c>
      <c r="V51" s="8">
        <f>'Model inputs'!V153*'Model inputs'!AA181*(1-'Model inputs'!AA171)+'Model inputs'!V65-'Model inputs'!V155*'Model inputs'!AA181/12*(1-'Model inputs'!AA171)</f>
        <v>6000</v>
      </c>
      <c r="W51" s="8">
        <f>'Model inputs'!W153*'Model inputs'!AA181*(1-'Model inputs'!AA171)+'Model inputs'!W65-'Model inputs'!W155*'Model inputs'!AA181/12*(1-'Model inputs'!AA171)</f>
        <v>6000</v>
      </c>
      <c r="X51" s="8">
        <f>'Model inputs'!X153*'Model inputs'!AA181*(1-'Model inputs'!AA171)+'Model inputs'!X65-'Model inputs'!X155*'Model inputs'!AA181/12*(1-'Model inputs'!AA171)</f>
        <v>6000</v>
      </c>
      <c r="Y51" s="8">
        <f>'Model inputs'!Y153*'Model inputs'!AA181*(1-'Model inputs'!AA171)+'Model inputs'!Y65-'Model inputs'!Y155*'Model inputs'!AA181/12*(1-'Model inputs'!AA171)</f>
        <v>6000</v>
      </c>
      <c r="Z51" s="8">
        <f>'Model inputs'!Z153*'Model inputs'!AA181*(1-'Model inputs'!AA171)+'Model inputs'!Z65-'Model inputs'!Z155*'Model inputs'!AA181/12*(1-'Model inputs'!AA171)</f>
        <v>6000</v>
      </c>
    </row>
    <row r="52" outlineLevel="1">
      <c r="A52" t="inlineStr" s="16">
        <is>
          <t xml:space="preserve">Cash collections &gt; Per audit — high</t>
        </is>
      </c>
      <c r="C52" s="8">
        <f>0</f>
        <v>0</v>
      </c>
      <c r="D52" s="8">
        <f>0</f>
        <v>0</v>
      </c>
      <c r="E52" s="8">
        <f>0</f>
        <v>0</v>
      </c>
      <c r="F52" s="8">
        <f>0</f>
        <v>0</v>
      </c>
      <c r="G52" s="8">
        <f>0</f>
        <v>0</v>
      </c>
      <c r="H52" s="8">
        <f>0</f>
        <v>0</v>
      </c>
      <c r="I52" s="8">
        <f>0</f>
        <v>0</v>
      </c>
      <c r="J52" s="8">
        <f>0</f>
        <v>0</v>
      </c>
      <c r="K52" s="8">
        <f>0</f>
        <v>0</v>
      </c>
      <c r="L52" s="8">
        <f>'Model inputs'!L153*'Model inputs'!AA182*(1-'Model inputs'!AA171)+'Model inputs'!L66-'Model inputs'!L155*'Model inputs'!AA182/12*(1-'Model inputs'!AA171)</f>
        <v>0</v>
      </c>
      <c r="M52" s="8">
        <f>'Model inputs'!M153*'Model inputs'!AA182*(1-'Model inputs'!AA171)+'Model inputs'!M66-'Model inputs'!M155*'Model inputs'!AA182/12*(1-'Model inputs'!AA171)</f>
        <v>0</v>
      </c>
      <c r="N52" s="8">
        <f>'Model inputs'!N153*'Model inputs'!AA182*(1-'Model inputs'!AA171)+'Model inputs'!N66-'Model inputs'!N155*'Model inputs'!AA182/12*(1-'Model inputs'!AA171)</f>
        <v>12000</v>
      </c>
      <c r="O52" s="8">
        <f>'Model inputs'!O153*'Model inputs'!AA182*(1-'Model inputs'!AA171)+'Model inputs'!O66-'Model inputs'!O155*'Model inputs'!AA182/12*(1-'Model inputs'!AA171)</f>
        <v>12000</v>
      </c>
      <c r="P52" s="8">
        <f>'Model inputs'!P153*'Model inputs'!AA182*(1-'Model inputs'!AA171)+'Model inputs'!P66-'Model inputs'!P155*'Model inputs'!AA182/12*(1-'Model inputs'!AA171)</f>
        <v>12000</v>
      </c>
      <c r="Q52" s="8">
        <f>'Model inputs'!Q153*'Model inputs'!AA182*(1-'Model inputs'!AA171)+'Model inputs'!Q66-'Model inputs'!Q155*'Model inputs'!AA182/12*(1-'Model inputs'!AA171)</f>
        <v>12000</v>
      </c>
      <c r="R52" s="8">
        <f>'Model inputs'!R153*'Model inputs'!AA182*(1-'Model inputs'!AA171)+'Model inputs'!R66-'Model inputs'!R155*'Model inputs'!AA182/12*(1-'Model inputs'!AA171)</f>
        <v>12000</v>
      </c>
      <c r="S52" s="8">
        <f>'Model inputs'!S153*'Model inputs'!AA182*(1-'Model inputs'!AA171)+'Model inputs'!S66-'Model inputs'!S155*'Model inputs'!AA182/12*(1-'Model inputs'!AA171)</f>
        <v>12000</v>
      </c>
      <c r="T52" s="8">
        <f>'Model inputs'!T153*'Model inputs'!AA182*(1-'Model inputs'!AA171)+'Model inputs'!T66-'Model inputs'!T155*'Model inputs'!AA182/12*(1-'Model inputs'!AA171)</f>
        <v>12000</v>
      </c>
      <c r="U52" s="8">
        <f>'Model inputs'!U153*'Model inputs'!AA182*(1-'Model inputs'!AA171)+'Model inputs'!U66-'Model inputs'!U155*'Model inputs'!AA182/12*(1-'Model inputs'!AA171)</f>
        <v>12000</v>
      </c>
      <c r="V52" s="8">
        <f>'Model inputs'!V153*'Model inputs'!AA182*(1-'Model inputs'!AA171)+'Model inputs'!V66-'Model inputs'!V155*'Model inputs'!AA182/12*(1-'Model inputs'!AA171)</f>
        <v>12000</v>
      </c>
      <c r="W52" s="8">
        <f>'Model inputs'!W153*'Model inputs'!AA182*(1-'Model inputs'!AA171)+'Model inputs'!W66-'Model inputs'!W155*'Model inputs'!AA182/12*(1-'Model inputs'!AA171)</f>
        <v>12000</v>
      </c>
      <c r="X52" s="8">
        <f>'Model inputs'!X153*'Model inputs'!AA182*(1-'Model inputs'!AA171)+'Model inputs'!X66-'Model inputs'!X155*'Model inputs'!AA182/12*(1-'Model inputs'!AA171)</f>
        <v>12000</v>
      </c>
      <c r="Y52" s="8">
        <f>'Model inputs'!Y153*'Model inputs'!AA182*(1-'Model inputs'!AA171)+'Model inputs'!Y66-'Model inputs'!Y155*'Model inputs'!AA182/12*(1-'Model inputs'!AA171)</f>
        <v>12000</v>
      </c>
      <c r="Z52" s="8">
        <f>'Model inputs'!Z153*'Model inputs'!AA182*(1-'Model inputs'!AA171)+'Model inputs'!Z66-'Model inputs'!Z155*'Model inputs'!AA182/12*(1-'Model inputs'!AA171)</f>
        <v>12000</v>
      </c>
    </row>
    <row r="53" outlineLevel="1">
      <c r="A53" t="inlineStr" s="16">
        <is>
          <t xml:space="preserve">Cash collections &gt; Per audit — low</t>
        </is>
      </c>
      <c r="C53" s="8">
        <f>0</f>
        <v>0</v>
      </c>
      <c r="D53" s="8">
        <f>0</f>
        <v>0</v>
      </c>
      <c r="E53" s="8">
        <f>0</f>
        <v>0</v>
      </c>
      <c r="F53" s="8">
        <f>0</f>
        <v>0</v>
      </c>
      <c r="G53" s="8">
        <f>0</f>
        <v>0</v>
      </c>
      <c r="H53" s="8">
        <f>0</f>
        <v>0</v>
      </c>
      <c r="I53" s="8">
        <f>0</f>
        <v>0</v>
      </c>
      <c r="J53" s="8">
        <f>0</f>
        <v>0</v>
      </c>
      <c r="K53" s="8">
        <f>0</f>
        <v>0</v>
      </c>
      <c r="L53" s="8">
        <f>'Model inputs'!L153*'Model inputs'!AA183*(1-'Model inputs'!AA171)+'Model inputs'!L67-'Model inputs'!L155*'Model inputs'!AA183/12*(1-'Model inputs'!AA171)</f>
        <v>0</v>
      </c>
      <c r="M53" s="8">
        <f>'Model inputs'!M153*'Model inputs'!AA183*(1-'Model inputs'!AA171)+'Model inputs'!M67-'Model inputs'!M155*'Model inputs'!AA183/12*(1-'Model inputs'!AA171)</f>
        <v>0</v>
      </c>
      <c r="N53" s="8">
        <f>'Model inputs'!N153*'Model inputs'!AA183*(1-'Model inputs'!AA171)+'Model inputs'!N67-'Model inputs'!N155*'Model inputs'!AA183/12*(1-'Model inputs'!AA171)</f>
        <v>3000</v>
      </c>
      <c r="O53" s="8">
        <f>'Model inputs'!O153*'Model inputs'!AA183*(1-'Model inputs'!AA171)+'Model inputs'!O67-'Model inputs'!O155*'Model inputs'!AA183/12*(1-'Model inputs'!AA171)</f>
        <v>3000</v>
      </c>
      <c r="P53" s="8">
        <f>'Model inputs'!P153*'Model inputs'!AA183*(1-'Model inputs'!AA171)+'Model inputs'!P67-'Model inputs'!P155*'Model inputs'!AA183/12*(1-'Model inputs'!AA171)</f>
        <v>3000</v>
      </c>
      <c r="Q53" s="8">
        <f>'Model inputs'!Q153*'Model inputs'!AA183*(1-'Model inputs'!AA171)+'Model inputs'!Q67-'Model inputs'!Q155*'Model inputs'!AA183/12*(1-'Model inputs'!AA171)</f>
        <v>3000</v>
      </c>
      <c r="R53" s="8">
        <f>'Model inputs'!R153*'Model inputs'!AA183*(1-'Model inputs'!AA171)+'Model inputs'!R67-'Model inputs'!R155*'Model inputs'!AA183/12*(1-'Model inputs'!AA171)</f>
        <v>3000</v>
      </c>
      <c r="S53" s="8">
        <f>'Model inputs'!S153*'Model inputs'!AA183*(1-'Model inputs'!AA171)+'Model inputs'!S67-'Model inputs'!S155*'Model inputs'!AA183/12*(1-'Model inputs'!AA171)</f>
        <v>3000</v>
      </c>
      <c r="T53" s="8">
        <f>'Model inputs'!T153*'Model inputs'!AA183*(1-'Model inputs'!AA171)+'Model inputs'!T67-'Model inputs'!T155*'Model inputs'!AA183/12*(1-'Model inputs'!AA171)</f>
        <v>3000</v>
      </c>
      <c r="U53" s="8">
        <f>'Model inputs'!U153*'Model inputs'!AA183*(1-'Model inputs'!AA171)+'Model inputs'!U67-'Model inputs'!U155*'Model inputs'!AA183/12*(1-'Model inputs'!AA171)</f>
        <v>3000</v>
      </c>
      <c r="V53" s="8">
        <f>'Model inputs'!V153*'Model inputs'!AA183*(1-'Model inputs'!AA171)+'Model inputs'!V67-'Model inputs'!V155*'Model inputs'!AA183/12*(1-'Model inputs'!AA171)</f>
        <v>3000</v>
      </c>
      <c r="W53" s="8">
        <f>'Model inputs'!W153*'Model inputs'!AA183*(1-'Model inputs'!AA171)+'Model inputs'!W67-'Model inputs'!W155*'Model inputs'!AA183/12*(1-'Model inputs'!AA171)</f>
        <v>3000</v>
      </c>
      <c r="X53" s="8">
        <f>'Model inputs'!X153*'Model inputs'!AA183*(1-'Model inputs'!AA171)+'Model inputs'!X67-'Model inputs'!X155*'Model inputs'!AA183/12*(1-'Model inputs'!AA171)</f>
        <v>3000</v>
      </c>
      <c r="Y53" s="8">
        <f>'Model inputs'!Y153*'Model inputs'!AA183*(1-'Model inputs'!AA171)+'Model inputs'!Y67-'Model inputs'!Y155*'Model inputs'!AA183/12*(1-'Model inputs'!AA171)</f>
        <v>3000</v>
      </c>
      <c r="Z53" s="8">
        <f>'Model inputs'!Z153*'Model inputs'!AA183*(1-'Model inputs'!AA171)+'Model inputs'!Z67-'Model inputs'!Z155*'Model inputs'!AA183/12*(1-'Model inputs'!AA171)</f>
        <v>3000</v>
      </c>
    </row>
    <row r="54">
      <c r="A54" t="inlineStr" s="14">
        <is>
          <t xml:space="preserve">Cumulative net cash burn · Cumulative funding gap · Growth · Growth</t>
        </is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f>IF(IF(IF(IF(ISERROR('Model inputs'!L84=1),'Model inputs'!L84=1,IF('Model inputs'!L84="","",'Model inputs'!L84=1))="",FALSE,IF(ISERROR('Model inputs'!L84=1),'Model inputs'!L84=1,IF('Model inputs'!L84="","",'Model inputs'!L84=1))),0,IF('Model inputs'!K54="","",'Model inputs'!K54))="",0,IF(IF(IF(ISERROR('Model inputs'!L84=1),'Model inputs'!L84=1,IF('Model inputs'!L84="","",'Model inputs'!L84=1))="",FALSE,IF(ISERROR('Model inputs'!L84=1),'Model inputs'!L84=1,IF('Model inputs'!L84="","",'Model inputs'!L84=1))),0,IF('Model inputs'!K54="","",'Model inputs'!K54)))+'Model inputs'!L28</f>
        <v>-30264.25</v>
      </c>
      <c r="M54" s="8">
        <f>IF(IF(IF(IF(ISERROR('Model inputs'!M84=1),'Model inputs'!M84=1,IF('Model inputs'!M84="","",'Model inputs'!M84=1))="",FALSE,IF(ISERROR('Model inputs'!M84=1),'Model inputs'!M84=1,IF('Model inputs'!M84="","",'Model inputs'!M84=1))),0,IF('Model inputs'!L54="","",'Model inputs'!L54))="",0,IF(IF(IF(ISERROR('Model inputs'!M84=1),'Model inputs'!M84=1,IF('Model inputs'!M84="","",'Model inputs'!M84=1))="",FALSE,IF(ISERROR('Model inputs'!M84=1),'Model inputs'!M84=1,IF('Model inputs'!M84="","",'Model inputs'!M84=1))),0,IF('Model inputs'!L54="","",'Model inputs'!L54)))+'Model inputs'!M28</f>
        <v>-62442.75</v>
      </c>
      <c r="N54" s="8">
        <f>IF(IF(IF(IF(ISERROR('Model inputs'!N84=1),'Model inputs'!N84=1,IF('Model inputs'!N84="","",'Model inputs'!N84=1))="",FALSE,IF(ISERROR('Model inputs'!N84=1),'Model inputs'!N84=1,IF('Model inputs'!N84="","",'Model inputs'!N84=1))),0,IF('Model inputs'!M54="","",'Model inputs'!M54))="",0,IF(IF(IF(ISERROR('Model inputs'!N84=1),'Model inputs'!N84=1,IF('Model inputs'!N84="","",'Model inputs'!N84=1))="",FALSE,IF(ISERROR('Model inputs'!N84=1),'Model inputs'!N84=1,IF('Model inputs'!N84="","",'Model inputs'!N84=1))),0,IF('Model inputs'!M54="","",'Model inputs'!M54)))+'Model inputs'!N28</f>
        <v>-96535.5</v>
      </c>
      <c r="O54" s="8">
        <f>IF(IF(IF(IF(ISERROR('Model inputs'!O84=1),'Model inputs'!O84=1,IF('Model inputs'!O84="","",'Model inputs'!O84=1))="",FALSE,IF(ISERROR('Model inputs'!O84=1),'Model inputs'!O84=1,IF('Model inputs'!O84="","",'Model inputs'!O84=1))),0,IF('Model inputs'!N54="","",'Model inputs'!N54))="",0,IF(IF(IF(ISERROR('Model inputs'!O84=1),'Model inputs'!O84=1,IF('Model inputs'!O84="","",'Model inputs'!O84=1))="",FALSE,IF(ISERROR('Model inputs'!O84=1),'Model inputs'!O84=1,IF('Model inputs'!O84="","",'Model inputs'!O84=1))),0,IF('Model inputs'!N54="","",'Model inputs'!N54)))+'Model inputs'!O28</f>
        <v>-132542.5</v>
      </c>
      <c r="P54" s="8">
        <f>IF(IF(IF(IF(ISERROR('Model inputs'!P84=1),'Model inputs'!P84=1,IF('Model inputs'!P84="","",'Model inputs'!P84=1))="",FALSE,IF(ISERROR('Model inputs'!P84=1),'Model inputs'!P84=1,IF('Model inputs'!P84="","",'Model inputs'!P84=1))),0,IF('Model inputs'!O54="","",'Model inputs'!O54))="",0,IF(IF(IF(ISERROR('Model inputs'!P84=1),'Model inputs'!P84=1,IF('Model inputs'!P84="","",'Model inputs'!P84=1))="",FALSE,IF(ISERROR('Model inputs'!P84=1),'Model inputs'!P84=1,IF('Model inputs'!P84="","",'Model inputs'!P84=1))),0,IF('Model inputs'!O54="","",'Model inputs'!O54)))+'Model inputs'!P28</f>
        <v>-170463.75</v>
      </c>
      <c r="Q54" s="8">
        <f>IF(IF(IF(IF(ISERROR('Model inputs'!Q84=1),'Model inputs'!Q84=1,IF('Model inputs'!Q84="","",'Model inputs'!Q84=1))="",FALSE,IF(ISERROR('Model inputs'!Q84=1),'Model inputs'!Q84=1,IF('Model inputs'!Q84="","",'Model inputs'!Q84=1))),0,IF('Model inputs'!P54="","",'Model inputs'!P54))="",0,IF(IF(IF(ISERROR('Model inputs'!Q84=1),'Model inputs'!Q84=1,IF('Model inputs'!Q84="","",'Model inputs'!Q84=1))="",FALSE,IF(ISERROR('Model inputs'!Q84=1),'Model inputs'!Q84=1,IF('Model inputs'!Q84="","",'Model inputs'!Q84=1))),0,IF('Model inputs'!P54="","",'Model inputs'!P54)))+'Model inputs'!Q28</f>
        <v>-209799.25</v>
      </c>
      <c r="R54" s="8">
        <f>IF(IF(IF(IF(ISERROR('Model inputs'!R84=1),'Model inputs'!R84=1,IF('Model inputs'!R84="","",'Model inputs'!R84=1))="",FALSE,IF(ISERROR('Model inputs'!R84=1),'Model inputs'!R84=1,IF('Model inputs'!R84="","",'Model inputs'!R84=1))),0,IF('Model inputs'!Q54="","",'Model inputs'!Q54))="",0,IF(IF(IF(ISERROR('Model inputs'!R84=1),'Model inputs'!R84=1,IF('Model inputs'!R84="","",'Model inputs'!R84=1))="",FALSE,IF(ISERROR('Model inputs'!R84=1),'Model inputs'!R84=1,IF('Model inputs'!R84="","",'Model inputs'!R84=1))),0,IF('Model inputs'!Q54="","",'Model inputs'!Q54)))+'Model inputs'!R28</f>
        <v>-251049</v>
      </c>
      <c r="S54" s="8">
        <f>IF(IF(IF(IF(ISERROR('Model inputs'!S84=1),'Model inputs'!S84=1,IF('Model inputs'!S84="","",'Model inputs'!S84=1))="",FALSE,IF(ISERROR('Model inputs'!S84=1),'Model inputs'!S84=1,IF('Model inputs'!S84="","",'Model inputs'!S84=1))),0,IF('Model inputs'!R54="","",'Model inputs'!R54))="",0,IF(IF(IF(ISERROR('Model inputs'!S84=1),'Model inputs'!S84=1,IF('Model inputs'!S84="","",'Model inputs'!S84=1))="",FALSE,IF(ISERROR('Model inputs'!S84=1),'Model inputs'!S84=1,IF('Model inputs'!S84="","",'Model inputs'!S84=1))),0,IF('Model inputs'!R54="","",'Model inputs'!R54)))+'Model inputs'!S28</f>
        <v>-294213</v>
      </c>
      <c r="T54" s="8">
        <f>IF(IF(IF(IF(ISERROR('Model inputs'!T84=1),'Model inputs'!T84=1,IF('Model inputs'!T84="","",'Model inputs'!T84=1))="",FALSE,IF(ISERROR('Model inputs'!T84=1),'Model inputs'!T84=1,IF('Model inputs'!T84="","",'Model inputs'!T84=1))),0,IF('Model inputs'!S54="","",'Model inputs'!S54))="",0,IF(IF(IF(ISERROR('Model inputs'!T84=1),'Model inputs'!T84=1,IF('Model inputs'!T84="","",'Model inputs'!T84=1))="",FALSE,IF(ISERROR('Model inputs'!T84=1),'Model inputs'!T84=1,IF('Model inputs'!T84="","",'Model inputs'!T84=1))),0,IF('Model inputs'!S54="","",'Model inputs'!S54)))+'Model inputs'!T28</f>
        <v>-339291.25</v>
      </c>
      <c r="U54" s="8">
        <f>IF(IF(IF(IF(ISERROR('Model inputs'!U84=1),'Model inputs'!U84=1,IF('Model inputs'!U84="","",'Model inputs'!U84=1))="",FALSE,IF(ISERROR('Model inputs'!U84=1),'Model inputs'!U84=1,IF('Model inputs'!U84="","",'Model inputs'!U84=1))),0,IF('Model inputs'!T54="","",'Model inputs'!T54))="",0,IF(IF(IF(ISERROR('Model inputs'!U84=1),'Model inputs'!U84=1,IF('Model inputs'!U84="","",'Model inputs'!U84=1))="",FALSE,IF(ISERROR('Model inputs'!U84=1),'Model inputs'!U84=1,IF('Model inputs'!U84="","",'Model inputs'!U84=1))),0,IF('Model inputs'!T54="","",'Model inputs'!T54)))+'Model inputs'!U28</f>
        <v>-386283.75</v>
      </c>
      <c r="V54" s="8">
        <f>IF(IF(IF(IF(ISERROR('Model inputs'!V84=1),'Model inputs'!V84=1,IF('Model inputs'!V84="","",'Model inputs'!V84=1))="",FALSE,IF(ISERROR('Model inputs'!V84=1),'Model inputs'!V84=1,IF('Model inputs'!V84="","",'Model inputs'!V84=1))),0,IF('Model inputs'!U54="","",'Model inputs'!U54))="",0,IF(IF(IF(ISERROR('Model inputs'!V84=1),'Model inputs'!V84=1,IF('Model inputs'!V84="","",'Model inputs'!V84=1))="",FALSE,IF(ISERROR('Model inputs'!V84=1),'Model inputs'!V84=1,IF('Model inputs'!V84="","",'Model inputs'!V84=1))),0,IF('Model inputs'!U54="","",'Model inputs'!U54)))+'Model inputs'!V28</f>
        <v>-435190.5</v>
      </c>
      <c r="W54" s="8">
        <f>IF(IF(IF(IF(ISERROR('Model inputs'!W84=1),'Model inputs'!W84=1,IF('Model inputs'!W84="","",'Model inputs'!W84=1))="",FALSE,IF(ISERROR('Model inputs'!W84=1),'Model inputs'!W84=1,IF('Model inputs'!W84="","",'Model inputs'!W84=1))),0,IF('Model inputs'!V54="","",'Model inputs'!V54))="",0,IF(IF(IF(ISERROR('Model inputs'!W84=1),'Model inputs'!W84=1,IF('Model inputs'!W84="","",'Model inputs'!W84=1))="",FALSE,IF(ISERROR('Model inputs'!W84=1),'Model inputs'!W84=1,IF('Model inputs'!W84="","",'Model inputs'!W84=1))),0,IF('Model inputs'!V54="","",'Model inputs'!V54)))+'Model inputs'!W28</f>
        <v>-486011.5</v>
      </c>
      <c r="X54" s="8">
        <f>IF(IF(IF(IF(ISERROR('Model inputs'!X84=1),'Model inputs'!X84=1,IF('Model inputs'!X84="","",'Model inputs'!X84=1))="",FALSE,IF(ISERROR('Model inputs'!X84=1),'Model inputs'!X84=1,IF('Model inputs'!X84="","",'Model inputs'!X84=1))),0,IF('Model inputs'!W54="","",'Model inputs'!W54))="",0,IF(IF(IF(ISERROR('Model inputs'!X84=1),'Model inputs'!X84=1,IF('Model inputs'!X84="","",'Model inputs'!X84=1))="",FALSE,IF(ISERROR('Model inputs'!X84=1),'Model inputs'!X84=1,IF('Model inputs'!X84="","",'Model inputs'!X84=1))),0,IF('Model inputs'!W54="","",'Model inputs'!W54)))+'Model inputs'!X28</f>
        <v>-507732.5</v>
      </c>
      <c r="Y54" s="8">
        <f>IF(IF(IF(IF(ISERROR('Model inputs'!Y84=1),'Model inputs'!Y84=1,IF('Model inputs'!Y84="","",'Model inputs'!Y84=1))="",FALSE,IF(ISERROR('Model inputs'!Y84=1),'Model inputs'!Y84=1,IF('Model inputs'!Y84="","",'Model inputs'!Y84=1))),0,IF('Model inputs'!X54="","",'Model inputs'!X54))="",0,IF(IF(IF(ISERROR('Model inputs'!Y84=1),'Model inputs'!Y84=1,IF('Model inputs'!Y84="","",'Model inputs'!Y84=1))="",FALSE,IF(ISERROR('Model inputs'!Y84=1),'Model inputs'!Y84=1,IF('Model inputs'!Y84="","",'Model inputs'!Y84=1))),0,IF('Model inputs'!X54="","",'Model inputs'!X54)))+'Model inputs'!Y28</f>
        <v>-529453.5</v>
      </c>
      <c r="Z54" s="8">
        <f>IF(IF(IF(IF(ISERROR('Model inputs'!Z84=1),'Model inputs'!Z84=1,IF('Model inputs'!Z84="","",'Model inputs'!Z84=1))="",FALSE,IF(ISERROR('Model inputs'!Z84=1),'Model inputs'!Z84=1,IF('Model inputs'!Z84="","",'Model inputs'!Z84=1))),0,IF('Model inputs'!Y54="","",'Model inputs'!Y54))="",0,IF(IF(IF(ISERROR('Model inputs'!Z84=1),'Model inputs'!Z84=1,IF('Model inputs'!Z84="","",'Model inputs'!Z84=1))="",FALSE,IF(ISERROR('Model inputs'!Z84=1),'Model inputs'!Z84=1,IF('Model inputs'!Z84="","",'Model inputs'!Z84=1))),0,IF('Model inputs'!Y54="","",'Model inputs'!Y54)))+'Model inputs'!Z28</f>
        <v>-551174.5</v>
      </c>
    </row>
    <row r="55">
      <c r="A55" t="inlineStr" s="14">
        <is>
          <t xml:space="preserve">Cumulative net cash burn · Cumulative funding gap · Conservative · Conservative</t>
        </is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f>IF(IF(IF(IF(ISERROR('Model inputs'!L85=1),'Model inputs'!L85=1,IF('Model inputs'!L85="","",'Model inputs'!L85=1))="",FALSE,IF(ISERROR('Model inputs'!L85=1),'Model inputs'!L85=1,IF('Model inputs'!L85="","",'Model inputs'!L85=1))),0,IF('Model inputs'!K55="","",'Model inputs'!K55))="",0,IF(IF(IF(ISERROR('Model inputs'!L85=1),'Model inputs'!L85=1,IF('Model inputs'!L85="","",'Model inputs'!L85=1))="",FALSE,IF(ISERROR('Model inputs'!L85=1),'Model inputs'!L85=1,IF('Model inputs'!L85="","",'Model inputs'!L85=1))),0,IF('Model inputs'!K55="","",'Model inputs'!K55)))+'Model inputs'!L29</f>
        <v>750</v>
      </c>
      <c r="M55" s="8">
        <f>IF(IF(IF(IF(ISERROR('Model inputs'!M85=1),'Model inputs'!M85=1,IF('Model inputs'!M85="","",'Model inputs'!M85=1))="",FALSE,IF(ISERROR('Model inputs'!M85=1),'Model inputs'!M85=1,IF('Model inputs'!M85="","",'Model inputs'!M85=1))),0,IF('Model inputs'!L55="","",'Model inputs'!L55))="",0,IF(IF(IF(ISERROR('Model inputs'!M85=1),'Model inputs'!M85=1,IF('Model inputs'!M85="","",'Model inputs'!M85=1))="",FALSE,IF(ISERROR('Model inputs'!M85=1),'Model inputs'!M85=1,IF('Model inputs'!M85="","",'Model inputs'!M85=1))),0,IF('Model inputs'!L55="","",'Model inputs'!L55)))+'Model inputs'!M29</f>
        <v>1500</v>
      </c>
      <c r="N55" s="8">
        <f>IF(IF(IF(IF(ISERROR('Model inputs'!N85=1),'Model inputs'!N85=1,IF('Model inputs'!N85="","",'Model inputs'!N85=1))="",FALSE,IF(ISERROR('Model inputs'!N85=1),'Model inputs'!N85=1,IF('Model inputs'!N85="","",'Model inputs'!N85=1))),0,IF('Model inputs'!M55="","",'Model inputs'!M55))="",0,IF(IF(IF(ISERROR('Model inputs'!N85=1),'Model inputs'!N85=1,IF('Model inputs'!N85="","",'Model inputs'!N85=1))="",FALSE,IF(ISERROR('Model inputs'!N85=1),'Model inputs'!N85=1,IF('Model inputs'!N85="","",'Model inputs'!N85=1))),0,IF('Model inputs'!M55="","",'Model inputs'!M55)))+'Model inputs'!N29</f>
        <v>-216.0999999999999</v>
      </c>
      <c r="O55" s="8">
        <f>IF(IF(IF(IF(ISERROR('Model inputs'!O85=1),'Model inputs'!O85=1,IF('Model inputs'!O85="","",'Model inputs'!O85=1))="",FALSE,IF(ISERROR('Model inputs'!O85=1),'Model inputs'!O85=1,IF('Model inputs'!O85="","",'Model inputs'!O85=1))),0,IF('Model inputs'!N55="","",'Model inputs'!N55))="",0,IF(IF(IF(ISERROR('Model inputs'!O85=1),'Model inputs'!O85=1,IF('Model inputs'!O85="","",'Model inputs'!O85=1))="",FALSE,IF(ISERROR('Model inputs'!O85=1),'Model inputs'!O85=1,IF('Model inputs'!O85="","",'Model inputs'!O85=1))),0,IF('Model inputs'!N55="","",'Model inputs'!N55)))+'Model inputs'!O29</f>
        <v>-1932.1999999999998</v>
      </c>
      <c r="P55" s="8">
        <f>IF(IF(IF(IF(ISERROR('Model inputs'!P85=1),'Model inputs'!P85=1,IF('Model inputs'!P85="","",'Model inputs'!P85=1))="",FALSE,IF(ISERROR('Model inputs'!P85=1),'Model inputs'!P85=1,IF('Model inputs'!P85="","",'Model inputs'!P85=1))),0,IF('Model inputs'!O55="","",'Model inputs'!O55))="",0,IF(IF(IF(ISERROR('Model inputs'!P85=1),'Model inputs'!P85=1,IF('Model inputs'!P85="","",'Model inputs'!P85=1))="",FALSE,IF(ISERROR('Model inputs'!P85=1),'Model inputs'!P85=1,IF('Model inputs'!P85="","",'Model inputs'!P85=1))),0,IF('Model inputs'!O55="","",'Model inputs'!O55)))+'Model inputs'!P29</f>
        <v>-3648.2999999999997</v>
      </c>
      <c r="Q55" s="8">
        <f>IF(IF(IF(IF(ISERROR('Model inputs'!Q85=1),'Model inputs'!Q85=1,IF('Model inputs'!Q85="","",'Model inputs'!Q85=1))="",FALSE,IF(ISERROR('Model inputs'!Q85=1),'Model inputs'!Q85=1,IF('Model inputs'!Q85="","",'Model inputs'!Q85=1))),0,IF('Model inputs'!P55="","",'Model inputs'!P55))="",0,IF(IF(IF(ISERROR('Model inputs'!Q85=1),'Model inputs'!Q85=1,IF('Model inputs'!Q85="","",'Model inputs'!Q85=1))="",FALSE,IF(ISERROR('Model inputs'!Q85=1),'Model inputs'!Q85=1,IF('Model inputs'!Q85="","",'Model inputs'!Q85=1))),0,IF('Model inputs'!P55="","",'Model inputs'!P55)))+'Model inputs'!Q29</f>
        <v>-4864.4</v>
      </c>
      <c r="R55" s="8">
        <f>IF(IF(IF(IF(ISERROR('Model inputs'!R85=1),'Model inputs'!R85=1,IF('Model inputs'!R85="","",'Model inputs'!R85=1))="",FALSE,IF(ISERROR('Model inputs'!R85=1),'Model inputs'!R85=1,IF('Model inputs'!R85="","",'Model inputs'!R85=1))),0,IF('Model inputs'!Q55="","",'Model inputs'!Q55))="",0,IF(IF(IF(ISERROR('Model inputs'!R85=1),'Model inputs'!R85=1,IF('Model inputs'!R85="","",'Model inputs'!R85=1))="",FALSE,IF(ISERROR('Model inputs'!R85=1),'Model inputs'!R85=1,IF('Model inputs'!R85="","",'Model inputs'!R85=1))),0,IF('Model inputs'!Q55="","",'Model inputs'!Q55)))+'Model inputs'!R29</f>
        <v>-6080.5</v>
      </c>
      <c r="S55" s="8">
        <f>IF(IF(IF(IF(ISERROR('Model inputs'!S85=1),'Model inputs'!S85=1,IF('Model inputs'!S85="","",'Model inputs'!S85=1))="",FALSE,IF(ISERROR('Model inputs'!S85=1),'Model inputs'!S85=1,IF('Model inputs'!S85="","",'Model inputs'!S85=1))),0,IF('Model inputs'!R55="","",'Model inputs'!R55))="",0,IF(IF(IF(ISERROR('Model inputs'!S85=1),'Model inputs'!S85=1,IF('Model inputs'!S85="","",'Model inputs'!S85=1))="",FALSE,IF(ISERROR('Model inputs'!S85=1),'Model inputs'!S85=1,IF('Model inputs'!S85="","",'Model inputs'!S85=1))),0,IF('Model inputs'!R55="","",'Model inputs'!R55)))+'Model inputs'!S29</f>
        <v>-7296.6</v>
      </c>
      <c r="T55" s="8">
        <f>IF(IF(IF(IF(ISERROR('Model inputs'!T85=1),'Model inputs'!T85=1,IF('Model inputs'!T85="","",'Model inputs'!T85=1))="",FALSE,IF(ISERROR('Model inputs'!T85=1),'Model inputs'!T85=1,IF('Model inputs'!T85="","",'Model inputs'!T85=1))),0,IF('Model inputs'!S55="","",'Model inputs'!S55))="",0,IF(IF(IF(ISERROR('Model inputs'!T85=1),'Model inputs'!T85=1,IF('Model inputs'!T85="","",'Model inputs'!T85=1))="",FALSE,IF(ISERROR('Model inputs'!T85=1),'Model inputs'!T85=1,IF('Model inputs'!T85="","",'Model inputs'!T85=1))),0,IF('Model inputs'!S55="","",'Model inputs'!S55)))+'Model inputs'!T29</f>
        <v>-8512.7</v>
      </c>
      <c r="U55" s="8">
        <f>IF(IF(IF(IF(ISERROR('Model inputs'!U85=1),'Model inputs'!U85=1,IF('Model inputs'!U85="","",'Model inputs'!U85=1))="",FALSE,IF(ISERROR('Model inputs'!U85=1),'Model inputs'!U85=1,IF('Model inputs'!U85="","",'Model inputs'!U85=1))),0,IF('Model inputs'!T55="","",'Model inputs'!T55))="",0,IF(IF(IF(ISERROR('Model inputs'!U85=1),'Model inputs'!U85=1,IF('Model inputs'!U85="","",'Model inputs'!U85=1))="",FALSE,IF(ISERROR('Model inputs'!U85=1),'Model inputs'!U85=1,IF('Model inputs'!U85="","",'Model inputs'!U85=1))),0,IF('Model inputs'!T55="","",'Model inputs'!T55)))+'Model inputs'!U29</f>
        <v>-9728.800000000001</v>
      </c>
      <c r="V55" s="8">
        <f>IF(IF(IF(IF(ISERROR('Model inputs'!V85=1),'Model inputs'!V85=1,IF('Model inputs'!V85="","",'Model inputs'!V85=1))="",FALSE,IF(ISERROR('Model inputs'!V85=1),'Model inputs'!V85=1,IF('Model inputs'!V85="","",'Model inputs'!V85=1))),0,IF('Model inputs'!U55="","",'Model inputs'!U55))="",0,IF(IF(IF(ISERROR('Model inputs'!V85=1),'Model inputs'!V85=1,IF('Model inputs'!V85="","",'Model inputs'!V85=1))="",FALSE,IF(ISERROR('Model inputs'!V85=1),'Model inputs'!V85=1,IF('Model inputs'!V85="","",'Model inputs'!V85=1))),0,IF('Model inputs'!U55="","",'Model inputs'!U55)))+'Model inputs'!V29</f>
        <v>-10944.900000000001</v>
      </c>
      <c r="W55" s="8">
        <f>IF(IF(IF(IF(ISERROR('Model inputs'!W85=1),'Model inputs'!W85=1,IF('Model inputs'!W85="","",'Model inputs'!W85=1))="",FALSE,IF(ISERROR('Model inputs'!W85=1),'Model inputs'!W85=1,IF('Model inputs'!W85="","",'Model inputs'!W85=1))),0,IF('Model inputs'!V55="","",'Model inputs'!V55))="",0,IF(IF(IF(ISERROR('Model inputs'!W85=1),'Model inputs'!W85=1,IF('Model inputs'!W85="","",'Model inputs'!W85=1))="",FALSE,IF(ISERROR('Model inputs'!W85=1),'Model inputs'!W85=1,IF('Model inputs'!W85="","",'Model inputs'!W85=1))),0,IF('Model inputs'!V55="","",'Model inputs'!V55)))+'Model inputs'!W29</f>
        <v>-12161.000000000002</v>
      </c>
      <c r="X55" s="8">
        <f>IF(IF(IF(IF(ISERROR('Model inputs'!X85=1),'Model inputs'!X85=1,IF('Model inputs'!X85="","",'Model inputs'!X85=1))="",FALSE,IF(ISERROR('Model inputs'!X85=1),'Model inputs'!X85=1,IF('Model inputs'!X85="","",'Model inputs'!X85=1))),0,IF('Model inputs'!W55="","",'Model inputs'!W55))="",0,IF(IF(IF(ISERROR('Model inputs'!X85=1),'Model inputs'!X85=1,IF('Model inputs'!X85="","",'Model inputs'!X85=1))="",FALSE,IF(ISERROR('Model inputs'!X85=1),'Model inputs'!X85=1,IF('Model inputs'!X85="","",'Model inputs'!X85=1))),0,IF('Model inputs'!W55="","",'Model inputs'!W55)))+'Model inputs'!X29</f>
        <v>-13377.100000000002</v>
      </c>
      <c r="Y55" s="8">
        <f>IF(IF(IF(IF(ISERROR('Model inputs'!Y85=1),'Model inputs'!Y85=1,IF('Model inputs'!Y85="","",'Model inputs'!Y85=1))="",FALSE,IF(ISERROR('Model inputs'!Y85=1),'Model inputs'!Y85=1,IF('Model inputs'!Y85="","",'Model inputs'!Y85=1))),0,IF('Model inputs'!X55="","",'Model inputs'!X55))="",0,IF(IF(IF(ISERROR('Model inputs'!Y85=1),'Model inputs'!Y85=1,IF('Model inputs'!Y85="","",'Model inputs'!Y85=1))="",FALSE,IF(ISERROR('Model inputs'!Y85=1),'Model inputs'!Y85=1,IF('Model inputs'!Y85="","",'Model inputs'!Y85=1))),0,IF('Model inputs'!X55="","",'Model inputs'!X55)))+'Model inputs'!Y29</f>
        <v>-14593.200000000003</v>
      </c>
      <c r="Z55" s="8">
        <f>IF(IF(IF(IF(ISERROR('Model inputs'!Z85=1),'Model inputs'!Z85=1,IF('Model inputs'!Z85="","",'Model inputs'!Z85=1))="",FALSE,IF(ISERROR('Model inputs'!Z85=1),'Model inputs'!Z85=1,IF('Model inputs'!Z85="","",'Model inputs'!Z85=1))),0,IF('Model inputs'!Y55="","",'Model inputs'!Y55))="",0,IF(IF(IF(ISERROR('Model inputs'!Z85=1),'Model inputs'!Z85=1,IF('Model inputs'!Z85="","",'Model inputs'!Z85=1))="",FALSE,IF(ISERROR('Model inputs'!Z85=1),'Model inputs'!Z85=1,IF('Model inputs'!Z85="","",'Model inputs'!Z85=1))),0,IF('Model inputs'!Y55="","",'Model inputs'!Y55)))+'Model inputs'!Z29</f>
        <v>-15809.300000000003</v>
      </c>
    </row>
    <row r="56">
      <c r="A56" t="inlineStr" s="14">
        <is>
          <t xml:space="preserve">Earned revenue</t>
        </is>
      </c>
      <c r="C56" s="6">
        <f>SUM('Model inputs'!C57,'Model inputs'!C58,'Model inputs'!C59,'Model inputs'!C60,'Model inputs'!C61)</f>
        <v>0</v>
      </c>
      <c r="D56" s="6">
        <f>SUM('Model inputs'!D57,'Model inputs'!D58,'Model inputs'!D59,'Model inputs'!D60,'Model inputs'!D61)</f>
        <v>0</v>
      </c>
      <c r="E56" s="6">
        <f>SUM('Model inputs'!E57,'Model inputs'!E58,'Model inputs'!E59,'Model inputs'!E60,'Model inputs'!E61)</f>
        <v>0</v>
      </c>
      <c r="F56" s="6">
        <f>SUM('Model inputs'!F57,'Model inputs'!F58,'Model inputs'!F59,'Model inputs'!F60,'Model inputs'!F61)</f>
        <v>0</v>
      </c>
      <c r="G56" s="6">
        <f>SUM('Model inputs'!G57,'Model inputs'!G58,'Model inputs'!G59,'Model inputs'!G60,'Model inputs'!G61)</f>
        <v>0</v>
      </c>
      <c r="H56" s="6">
        <f>SUM('Model inputs'!H57,'Model inputs'!H58,'Model inputs'!H59,'Model inputs'!H60,'Model inputs'!H61)</f>
        <v>0</v>
      </c>
      <c r="I56" s="6">
        <f>SUM('Model inputs'!I57,'Model inputs'!I58,'Model inputs'!I59,'Model inputs'!I60,'Model inputs'!I61)</f>
        <v>0</v>
      </c>
      <c r="J56" s="6">
        <f>SUM('Model inputs'!J57,'Model inputs'!J58,'Model inputs'!J59,'Model inputs'!J60,'Model inputs'!J61)</f>
        <v>0</v>
      </c>
      <c r="K56" s="6">
        <f>SUM('Model inputs'!K57,'Model inputs'!K58,'Model inputs'!K59,'Model inputs'!K60,'Model inputs'!K61)</f>
        <v>0</v>
      </c>
      <c r="L56" t="str" s="6">
        <f>""</f>
        <v/>
      </c>
      <c r="M56" t="str" s="6">
        <f>""</f>
        <v/>
      </c>
      <c r="N56" t="str" s="6">
        <f>""</f>
        <v/>
      </c>
      <c r="O56" t="str" s="6">
        <f>""</f>
        <v/>
      </c>
      <c r="P56" t="str" s="6">
        <f>""</f>
        <v/>
      </c>
      <c r="Q56" t="str" s="6">
        <f>""</f>
        <v/>
      </c>
      <c r="R56" t="str" s="6">
        <f>""</f>
        <v/>
      </c>
      <c r="S56" t="str" s="6">
        <f>""</f>
        <v/>
      </c>
      <c r="T56" t="str" s="6">
        <f>""</f>
        <v/>
      </c>
      <c r="U56" t="str" s="6">
        <f>""</f>
        <v/>
      </c>
      <c r="V56" t="str" s="6">
        <f>""</f>
        <v/>
      </c>
      <c r="W56" t="str" s="6">
        <f>""</f>
        <v/>
      </c>
      <c r="X56" t="str" s="6">
        <f>""</f>
        <v/>
      </c>
      <c r="Y56" t="str" s="6">
        <f>""</f>
        <v/>
      </c>
      <c r="Z56" t="str" s="6">
        <f>""</f>
        <v/>
      </c>
    </row>
    <row r="57" outlineLevel="1">
      <c r="A57" t="inlineStr" s="16">
        <is>
          <t xml:space="preserve">Earned revenue &gt; Annual deal-team</t>
        </is>
      </c>
      <c r="C57" s="8">
        <f>0</f>
        <v>0</v>
      </c>
      <c r="D57" s="8">
        <f>0</f>
        <v>0</v>
      </c>
      <c r="E57" s="8">
        <f>0</f>
        <v>0</v>
      </c>
      <c r="F57" s="8">
        <f>0</f>
        <v>0</v>
      </c>
      <c r="G57" s="8">
        <f>0</f>
        <v>0</v>
      </c>
      <c r="H57" s="8">
        <f>0</f>
        <v>0</v>
      </c>
      <c r="I57" s="8">
        <f>0</f>
        <v>0</v>
      </c>
      <c r="J57" s="8">
        <f>0</f>
        <v>0</v>
      </c>
      <c r="K57" s="8">
        <f>0</f>
        <v>0</v>
      </c>
      <c r="L57" s="8">
        <f>'Model inputs'!L154*'Model inputs'!AA125</f>
        <v>5000</v>
      </c>
      <c r="M57" s="8">
        <f>'Model inputs'!M154*'Model inputs'!AA125</f>
        <v>10000</v>
      </c>
      <c r="N57" s="8">
        <f>'Model inputs'!N154*'Model inputs'!AA125</f>
        <v>15000</v>
      </c>
      <c r="O57" s="8">
        <f>'Model inputs'!O154*'Model inputs'!AA125</f>
        <v>20000</v>
      </c>
      <c r="P57" s="8">
        <f>'Model inputs'!P154*'Model inputs'!AA125</f>
        <v>25000</v>
      </c>
      <c r="Q57" s="8">
        <f>'Model inputs'!Q154*'Model inputs'!AA125</f>
        <v>30000</v>
      </c>
      <c r="R57" s="8">
        <f>'Model inputs'!R154*'Model inputs'!AA125</f>
        <v>35000</v>
      </c>
      <c r="S57" s="8">
        <f>'Model inputs'!S154*'Model inputs'!AA125</f>
        <v>40000</v>
      </c>
      <c r="T57" s="8">
        <f>'Model inputs'!T154*'Model inputs'!AA125</f>
        <v>45000</v>
      </c>
      <c r="U57" s="8">
        <f>'Model inputs'!U154*'Model inputs'!AA125</f>
        <v>50000</v>
      </c>
      <c r="V57" s="8">
        <f>'Model inputs'!V154*'Model inputs'!AA125</f>
        <v>55000</v>
      </c>
      <c r="W57" s="8">
        <f>'Model inputs'!W154*'Model inputs'!AA125</f>
        <v>60000</v>
      </c>
      <c r="X57" s="8">
        <f>'Model inputs'!X154*'Model inputs'!AA125</f>
        <v>60000</v>
      </c>
      <c r="Y57" s="8">
        <f>'Model inputs'!Y154*'Model inputs'!AA125</f>
        <v>60000</v>
      </c>
      <c r="Z57" s="8">
        <f>'Model inputs'!Z154*'Model inputs'!AA125</f>
        <v>60000</v>
      </c>
    </row>
    <row r="58" outlineLevel="1">
      <c r="A58" t="inlineStr" s="16">
        <is>
          <t xml:space="preserve">Earned revenue &gt; Hybrid</t>
        </is>
      </c>
      <c r="C58" s="8">
        <f>0</f>
        <v>0</v>
      </c>
      <c r="D58" s="8">
        <f>0</f>
        <v>0</v>
      </c>
      <c r="E58" s="8">
        <f>0</f>
        <v>0</v>
      </c>
      <c r="F58" s="8">
        <f>0</f>
        <v>0</v>
      </c>
      <c r="G58" s="8">
        <f>0</f>
        <v>0</v>
      </c>
      <c r="H58" s="8">
        <f>0</f>
        <v>0</v>
      </c>
      <c r="I58" s="8">
        <f>0</f>
        <v>0</v>
      </c>
      <c r="J58" s="8">
        <f>0</f>
        <v>0</v>
      </c>
      <c r="K58" s="8">
        <f>0</f>
        <v>0</v>
      </c>
      <c r="L58" s="8">
        <f>'Model inputs'!L154*'Model inputs'!AA126</f>
        <v>5625</v>
      </c>
      <c r="M58" s="8">
        <f>'Model inputs'!M154*'Model inputs'!AA126</f>
        <v>11250</v>
      </c>
      <c r="N58" s="8">
        <f>'Model inputs'!N154*'Model inputs'!AA126</f>
        <v>16875</v>
      </c>
      <c r="O58" s="8">
        <f>'Model inputs'!O154*'Model inputs'!AA126</f>
        <v>22500</v>
      </c>
      <c r="P58" s="8">
        <f>'Model inputs'!P154*'Model inputs'!AA126</f>
        <v>28125</v>
      </c>
      <c r="Q58" s="8">
        <f>'Model inputs'!Q154*'Model inputs'!AA126</f>
        <v>33750</v>
      </c>
      <c r="R58" s="8">
        <f>'Model inputs'!R154*'Model inputs'!AA126</f>
        <v>39375</v>
      </c>
      <c r="S58" s="8">
        <f>'Model inputs'!S154*'Model inputs'!AA126</f>
        <v>45000</v>
      </c>
      <c r="T58" s="8">
        <f>'Model inputs'!T154*'Model inputs'!AA126</f>
        <v>50625</v>
      </c>
      <c r="U58" s="8">
        <f>'Model inputs'!U154*'Model inputs'!AA126</f>
        <v>56250</v>
      </c>
      <c r="V58" s="8">
        <f>'Model inputs'!V154*'Model inputs'!AA126</f>
        <v>61875</v>
      </c>
      <c r="W58" s="8">
        <f>'Model inputs'!W154*'Model inputs'!AA126</f>
        <v>67500</v>
      </c>
      <c r="X58" s="8">
        <f>'Model inputs'!X154*'Model inputs'!AA126</f>
        <v>67500</v>
      </c>
      <c r="Y58" s="8">
        <f>'Model inputs'!Y154*'Model inputs'!AA126</f>
        <v>67500</v>
      </c>
      <c r="Z58" s="8">
        <f>'Model inputs'!Z154*'Model inputs'!AA126</f>
        <v>67500</v>
      </c>
    </row>
    <row r="59" outlineLevel="1">
      <c r="A59" t="inlineStr" s="16">
        <is>
          <t xml:space="preserve">Earned revenue &gt; Per audit — base</t>
        </is>
      </c>
      <c r="C59" s="8">
        <f>0</f>
        <v>0</v>
      </c>
      <c r="D59" s="8">
        <f>0</f>
        <v>0</v>
      </c>
      <c r="E59" s="8">
        <f>0</f>
        <v>0</v>
      </c>
      <c r="F59" s="8">
        <f>0</f>
        <v>0</v>
      </c>
      <c r="G59" s="8">
        <f>0</f>
        <v>0</v>
      </c>
      <c r="H59" s="8">
        <f>0</f>
        <v>0</v>
      </c>
      <c r="I59" s="8">
        <f>0</f>
        <v>0</v>
      </c>
      <c r="J59" s="8">
        <f>0</f>
        <v>0</v>
      </c>
      <c r="K59" s="8">
        <f>0</f>
        <v>0</v>
      </c>
      <c r="L59" s="8">
        <f>'Model inputs'!L154*'Model inputs'!AA127</f>
        <v>7500</v>
      </c>
      <c r="M59" s="8">
        <f>'Model inputs'!M154*'Model inputs'!AA127</f>
        <v>15000</v>
      </c>
      <c r="N59" s="8">
        <f>'Model inputs'!N154*'Model inputs'!AA127</f>
        <v>22500</v>
      </c>
      <c r="O59" s="8">
        <f>'Model inputs'!O154*'Model inputs'!AA127</f>
        <v>30000</v>
      </c>
      <c r="P59" s="8">
        <f>'Model inputs'!P154*'Model inputs'!AA127</f>
        <v>37500</v>
      </c>
      <c r="Q59" s="8">
        <f>'Model inputs'!Q154*'Model inputs'!AA127</f>
        <v>45000</v>
      </c>
      <c r="R59" s="8">
        <f>'Model inputs'!R154*'Model inputs'!AA127</f>
        <v>52500</v>
      </c>
      <c r="S59" s="8">
        <f>'Model inputs'!S154*'Model inputs'!AA127</f>
        <v>60000</v>
      </c>
      <c r="T59" s="8">
        <f>'Model inputs'!T154*'Model inputs'!AA127</f>
        <v>67500</v>
      </c>
      <c r="U59" s="8">
        <f>'Model inputs'!U154*'Model inputs'!AA127</f>
        <v>75000</v>
      </c>
      <c r="V59" s="8">
        <f>'Model inputs'!V154*'Model inputs'!AA127</f>
        <v>82500</v>
      </c>
      <c r="W59" s="8">
        <f>'Model inputs'!W154*'Model inputs'!AA127</f>
        <v>90000</v>
      </c>
      <c r="X59" s="8">
        <f>'Model inputs'!X154*'Model inputs'!AA127</f>
        <v>90000</v>
      </c>
      <c r="Y59" s="8">
        <f>'Model inputs'!Y154*'Model inputs'!AA127</f>
        <v>90000</v>
      </c>
      <c r="Z59" s="8">
        <f>'Model inputs'!Z154*'Model inputs'!AA127</f>
        <v>90000</v>
      </c>
    </row>
    <row r="60" outlineLevel="1">
      <c r="A60" t="inlineStr" s="16">
        <is>
          <t xml:space="preserve">Earned revenue &gt; Per audit — high</t>
        </is>
      </c>
      <c r="C60" s="8">
        <f>0</f>
        <v>0</v>
      </c>
      <c r="D60" s="8">
        <f>0</f>
        <v>0</v>
      </c>
      <c r="E60" s="8">
        <f>0</f>
        <v>0</v>
      </c>
      <c r="F60" s="8">
        <f>0</f>
        <v>0</v>
      </c>
      <c r="G60" s="8">
        <f>0</f>
        <v>0</v>
      </c>
      <c r="H60" s="8">
        <f>0</f>
        <v>0</v>
      </c>
      <c r="I60" s="8">
        <f>0</f>
        <v>0</v>
      </c>
      <c r="J60" s="8">
        <f>0</f>
        <v>0</v>
      </c>
      <c r="K60" s="8">
        <f>0</f>
        <v>0</v>
      </c>
      <c r="L60" s="8">
        <f>'Model inputs'!L154*'Model inputs'!AA128</f>
        <v>15000</v>
      </c>
      <c r="M60" s="8">
        <f>'Model inputs'!M154*'Model inputs'!AA128</f>
        <v>30000</v>
      </c>
      <c r="N60" s="8">
        <f>'Model inputs'!N154*'Model inputs'!AA128</f>
        <v>45000</v>
      </c>
      <c r="O60" s="8">
        <f>'Model inputs'!O154*'Model inputs'!AA128</f>
        <v>60000</v>
      </c>
      <c r="P60" s="8">
        <f>'Model inputs'!P154*'Model inputs'!AA128</f>
        <v>75000</v>
      </c>
      <c r="Q60" s="8">
        <f>'Model inputs'!Q154*'Model inputs'!AA128</f>
        <v>90000</v>
      </c>
      <c r="R60" s="8">
        <f>'Model inputs'!R154*'Model inputs'!AA128</f>
        <v>105000</v>
      </c>
      <c r="S60" s="8">
        <f>'Model inputs'!S154*'Model inputs'!AA128</f>
        <v>120000</v>
      </c>
      <c r="T60" s="8">
        <f>'Model inputs'!T154*'Model inputs'!AA128</f>
        <v>135000</v>
      </c>
      <c r="U60" s="8">
        <f>'Model inputs'!U154*'Model inputs'!AA128</f>
        <v>150000</v>
      </c>
      <c r="V60" s="8">
        <f>'Model inputs'!V154*'Model inputs'!AA128</f>
        <v>165000</v>
      </c>
      <c r="W60" s="8">
        <f>'Model inputs'!W154*'Model inputs'!AA128</f>
        <v>180000</v>
      </c>
      <c r="X60" s="8">
        <f>'Model inputs'!X154*'Model inputs'!AA128</f>
        <v>180000</v>
      </c>
      <c r="Y60" s="8">
        <f>'Model inputs'!Y154*'Model inputs'!AA128</f>
        <v>180000</v>
      </c>
      <c r="Z60" s="8">
        <f>'Model inputs'!Z154*'Model inputs'!AA128</f>
        <v>180000</v>
      </c>
    </row>
    <row r="61" outlineLevel="1">
      <c r="A61" t="inlineStr" s="16">
        <is>
          <t xml:space="preserve">Earned revenue &gt; Per audit — low</t>
        </is>
      </c>
      <c r="C61" s="8">
        <f>0</f>
        <v>0</v>
      </c>
      <c r="D61" s="8">
        <f>0</f>
        <v>0</v>
      </c>
      <c r="E61" s="8">
        <f>0</f>
        <v>0</v>
      </c>
      <c r="F61" s="8">
        <f>0</f>
        <v>0</v>
      </c>
      <c r="G61" s="8">
        <f>0</f>
        <v>0</v>
      </c>
      <c r="H61" s="8">
        <f>0</f>
        <v>0</v>
      </c>
      <c r="I61" s="8">
        <f>0</f>
        <v>0</v>
      </c>
      <c r="J61" s="8">
        <f>0</f>
        <v>0</v>
      </c>
      <c r="K61" s="8">
        <f>0</f>
        <v>0</v>
      </c>
      <c r="L61" s="8">
        <f>'Model inputs'!L154*'Model inputs'!AA129</f>
        <v>3750</v>
      </c>
      <c r="M61" s="8">
        <f>'Model inputs'!M154*'Model inputs'!AA129</f>
        <v>7500</v>
      </c>
      <c r="N61" s="8">
        <f>'Model inputs'!N154*'Model inputs'!AA129</f>
        <v>11250</v>
      </c>
      <c r="O61" s="8">
        <f>'Model inputs'!O154*'Model inputs'!AA129</f>
        <v>15000</v>
      </c>
      <c r="P61" s="8">
        <f>'Model inputs'!P154*'Model inputs'!AA129</f>
        <v>18750</v>
      </c>
      <c r="Q61" s="8">
        <f>'Model inputs'!Q154*'Model inputs'!AA129</f>
        <v>22500</v>
      </c>
      <c r="R61" s="8">
        <f>'Model inputs'!R154*'Model inputs'!AA129</f>
        <v>26250</v>
      </c>
      <c r="S61" s="8">
        <f>'Model inputs'!S154*'Model inputs'!AA129</f>
        <v>30000</v>
      </c>
      <c r="T61" s="8">
        <f>'Model inputs'!T154*'Model inputs'!AA129</f>
        <v>33750</v>
      </c>
      <c r="U61" s="8">
        <f>'Model inputs'!U154*'Model inputs'!AA129</f>
        <v>37500</v>
      </c>
      <c r="V61" s="8">
        <f>'Model inputs'!V154*'Model inputs'!AA129</f>
        <v>41250</v>
      </c>
      <c r="W61" s="8">
        <f>'Model inputs'!W154*'Model inputs'!AA129</f>
        <v>45000</v>
      </c>
      <c r="X61" s="8">
        <f>'Model inputs'!X154*'Model inputs'!AA129</f>
        <v>45000</v>
      </c>
      <c r="Y61" s="8">
        <f>'Model inputs'!Y154*'Model inputs'!AA129</f>
        <v>45000</v>
      </c>
      <c r="Z61" s="8">
        <f>'Model inputs'!Z154*'Model inputs'!AA129</f>
        <v>45000</v>
      </c>
    </row>
    <row r="62">
      <c r="A62" t="inlineStr" s="14">
        <is>
          <t xml:space="preserve">Earned revenue</t>
        </is>
      </c>
      <c r="C62" s="6">
        <f>SUM('Model inputs'!C63,'Model inputs'!C64,'Model inputs'!C65,'Model inputs'!C66,'Model inputs'!C67)</f>
        <v>0</v>
      </c>
      <c r="D62" s="6">
        <f>SUM('Model inputs'!D63,'Model inputs'!D64,'Model inputs'!D65,'Model inputs'!D66,'Model inputs'!D67)</f>
        <v>0</v>
      </c>
      <c r="E62" s="6">
        <f>SUM('Model inputs'!E63,'Model inputs'!E64,'Model inputs'!E65,'Model inputs'!E66,'Model inputs'!E67)</f>
        <v>0</v>
      </c>
      <c r="F62" s="6">
        <f>SUM('Model inputs'!F63,'Model inputs'!F64,'Model inputs'!F65,'Model inputs'!F66,'Model inputs'!F67)</f>
        <v>0</v>
      </c>
      <c r="G62" s="6">
        <f>SUM('Model inputs'!G63,'Model inputs'!G64,'Model inputs'!G65,'Model inputs'!G66,'Model inputs'!G67)</f>
        <v>0</v>
      </c>
      <c r="H62" s="6">
        <f>SUM('Model inputs'!H63,'Model inputs'!H64,'Model inputs'!H65,'Model inputs'!H66,'Model inputs'!H67)</f>
        <v>0</v>
      </c>
      <c r="I62" s="6">
        <f>SUM('Model inputs'!I63,'Model inputs'!I64,'Model inputs'!I65,'Model inputs'!I66,'Model inputs'!I67)</f>
        <v>0</v>
      </c>
      <c r="J62" s="6">
        <f>SUM('Model inputs'!J63,'Model inputs'!J64,'Model inputs'!J65,'Model inputs'!J66,'Model inputs'!J67)</f>
        <v>0</v>
      </c>
      <c r="K62" s="6">
        <f>SUM('Model inputs'!K63,'Model inputs'!K64,'Model inputs'!K65,'Model inputs'!K66,'Model inputs'!K67)</f>
        <v>0</v>
      </c>
      <c r="L62" t="str" s="6">
        <f>""</f>
        <v/>
      </c>
      <c r="M62" t="str" s="6">
        <f>""</f>
        <v/>
      </c>
      <c r="N62" t="str" s="6">
        <f>""</f>
        <v/>
      </c>
      <c r="O62" t="str" s="6">
        <f>""</f>
        <v/>
      </c>
      <c r="P62" t="str" s="6">
        <f>""</f>
        <v/>
      </c>
      <c r="Q62" t="str" s="6">
        <f>""</f>
        <v/>
      </c>
      <c r="R62" t="str" s="6">
        <f>""</f>
        <v/>
      </c>
      <c r="S62" t="str" s="6">
        <f>""</f>
        <v/>
      </c>
      <c r="T62" t="str" s="6">
        <f>""</f>
        <v/>
      </c>
      <c r="U62" t="str" s="6">
        <f>""</f>
        <v/>
      </c>
      <c r="V62" t="str" s="6">
        <f>""</f>
        <v/>
      </c>
      <c r="W62" t="str" s="6">
        <f>""</f>
        <v/>
      </c>
      <c r="X62" t="str" s="6">
        <f>""</f>
        <v/>
      </c>
      <c r="Y62" t="str" s="6">
        <f>""</f>
        <v/>
      </c>
      <c r="Z62" t="str" s="6">
        <f>""</f>
        <v/>
      </c>
    </row>
    <row r="63" outlineLevel="1">
      <c r="A63" t="inlineStr" s="16">
        <is>
          <t xml:space="preserve">Earned revenue &gt; Annual deal-team</t>
        </is>
      </c>
      <c r="C63" s="8">
        <f>0</f>
        <v>0</v>
      </c>
      <c r="D63" s="8">
        <f>0</f>
        <v>0</v>
      </c>
      <c r="E63" s="8">
        <f>0</f>
        <v>0</v>
      </c>
      <c r="F63" s="8">
        <f>0</f>
        <v>0</v>
      </c>
      <c r="G63" s="8">
        <f>0</f>
        <v>0</v>
      </c>
      <c r="H63" s="8">
        <f>0</f>
        <v>0</v>
      </c>
      <c r="I63" s="8">
        <f>0</f>
        <v>0</v>
      </c>
      <c r="J63" s="8">
        <f>0</f>
        <v>0</v>
      </c>
      <c r="K63" s="8">
        <f>0</f>
        <v>0</v>
      </c>
      <c r="L63" s="8">
        <f>'Model inputs'!L155*'Model inputs'!AA131</f>
        <v>0</v>
      </c>
      <c r="M63" s="8">
        <f>'Model inputs'!M155*'Model inputs'!AA131</f>
        <v>0</v>
      </c>
      <c r="N63" s="8">
        <f>'Model inputs'!N155*'Model inputs'!AA131</f>
        <v>4000</v>
      </c>
      <c r="O63" s="8">
        <f>'Model inputs'!O155*'Model inputs'!AA131</f>
        <v>4000</v>
      </c>
      <c r="P63" s="8">
        <f>'Model inputs'!P155*'Model inputs'!AA131</f>
        <v>4000</v>
      </c>
      <c r="Q63" s="8">
        <f>'Model inputs'!Q155*'Model inputs'!AA131</f>
        <v>4000</v>
      </c>
      <c r="R63" s="8">
        <f>'Model inputs'!R155*'Model inputs'!AA131</f>
        <v>4000</v>
      </c>
      <c r="S63" s="8">
        <f>'Model inputs'!S155*'Model inputs'!AA131</f>
        <v>4000</v>
      </c>
      <c r="T63" s="8">
        <f>'Model inputs'!T155*'Model inputs'!AA131</f>
        <v>4000</v>
      </c>
      <c r="U63" s="8">
        <f>'Model inputs'!U155*'Model inputs'!AA131</f>
        <v>4000</v>
      </c>
      <c r="V63" s="8">
        <f>'Model inputs'!V155*'Model inputs'!AA131</f>
        <v>4000</v>
      </c>
      <c r="W63" s="8">
        <f>'Model inputs'!W155*'Model inputs'!AA131</f>
        <v>4000</v>
      </c>
      <c r="X63" s="8">
        <f>'Model inputs'!X155*'Model inputs'!AA131</f>
        <v>4000</v>
      </c>
      <c r="Y63" s="8">
        <f>'Model inputs'!Y155*'Model inputs'!AA131</f>
        <v>4000</v>
      </c>
      <c r="Z63" s="8">
        <f>'Model inputs'!Z155*'Model inputs'!AA131</f>
        <v>4000</v>
      </c>
    </row>
    <row r="64" outlineLevel="1">
      <c r="A64" t="inlineStr" s="16">
        <is>
          <t xml:space="preserve">Earned revenue &gt; Hybrid</t>
        </is>
      </c>
      <c r="C64" s="8">
        <f>0</f>
        <v>0</v>
      </c>
      <c r="D64" s="8">
        <f>0</f>
        <v>0</v>
      </c>
      <c r="E64" s="8">
        <f>0</f>
        <v>0</v>
      </c>
      <c r="F64" s="8">
        <f>0</f>
        <v>0</v>
      </c>
      <c r="G64" s="8">
        <f>0</f>
        <v>0</v>
      </c>
      <c r="H64" s="8">
        <f>0</f>
        <v>0</v>
      </c>
      <c r="I64" s="8">
        <f>0</f>
        <v>0</v>
      </c>
      <c r="J64" s="8">
        <f>0</f>
        <v>0</v>
      </c>
      <c r="K64" s="8">
        <f>0</f>
        <v>0</v>
      </c>
      <c r="L64" s="8">
        <f>'Model inputs'!L155*'Model inputs'!AA132</f>
        <v>0</v>
      </c>
      <c r="M64" s="8">
        <f>'Model inputs'!M155*'Model inputs'!AA132</f>
        <v>0</v>
      </c>
      <c r="N64" s="8">
        <f>'Model inputs'!N155*'Model inputs'!AA132</f>
        <v>5000</v>
      </c>
      <c r="O64" s="8">
        <f>'Model inputs'!O155*'Model inputs'!AA132</f>
        <v>5000</v>
      </c>
      <c r="P64" s="8">
        <f>'Model inputs'!P155*'Model inputs'!AA132</f>
        <v>5000</v>
      </c>
      <c r="Q64" s="8">
        <f>'Model inputs'!Q155*'Model inputs'!AA132</f>
        <v>5000</v>
      </c>
      <c r="R64" s="8">
        <f>'Model inputs'!R155*'Model inputs'!AA132</f>
        <v>5000</v>
      </c>
      <c r="S64" s="8">
        <f>'Model inputs'!S155*'Model inputs'!AA132</f>
        <v>5000</v>
      </c>
      <c r="T64" s="8">
        <f>'Model inputs'!T155*'Model inputs'!AA132</f>
        <v>5000</v>
      </c>
      <c r="U64" s="8">
        <f>'Model inputs'!U155*'Model inputs'!AA132</f>
        <v>5000</v>
      </c>
      <c r="V64" s="8">
        <f>'Model inputs'!V155*'Model inputs'!AA132</f>
        <v>5000</v>
      </c>
      <c r="W64" s="8">
        <f>'Model inputs'!W155*'Model inputs'!AA132</f>
        <v>5000</v>
      </c>
      <c r="X64" s="8">
        <f>'Model inputs'!X155*'Model inputs'!AA132</f>
        <v>5000</v>
      </c>
      <c r="Y64" s="8">
        <f>'Model inputs'!Y155*'Model inputs'!AA132</f>
        <v>5000</v>
      </c>
      <c r="Z64" s="8">
        <f>'Model inputs'!Z155*'Model inputs'!AA132</f>
        <v>5000</v>
      </c>
    </row>
    <row r="65" outlineLevel="1">
      <c r="A65" t="inlineStr" s="16">
        <is>
          <t xml:space="preserve">Earned revenue &gt; Per audit — base</t>
        </is>
      </c>
      <c r="C65" s="8">
        <f>0</f>
        <v>0</v>
      </c>
      <c r="D65" s="8">
        <f>0</f>
        <v>0</v>
      </c>
      <c r="E65" s="8">
        <f>0</f>
        <v>0</v>
      </c>
      <c r="F65" s="8">
        <f>0</f>
        <v>0</v>
      </c>
      <c r="G65" s="8">
        <f>0</f>
        <v>0</v>
      </c>
      <c r="H65" s="8">
        <f>0</f>
        <v>0</v>
      </c>
      <c r="I65" s="8">
        <f>0</f>
        <v>0</v>
      </c>
      <c r="J65" s="8">
        <f>0</f>
        <v>0</v>
      </c>
      <c r="K65" s="8">
        <f>0</f>
        <v>0</v>
      </c>
      <c r="L65" s="8">
        <f>'Model inputs'!L155*'Model inputs'!AA133</f>
        <v>0</v>
      </c>
      <c r="M65" s="8">
        <f>'Model inputs'!M155*'Model inputs'!AA133</f>
        <v>0</v>
      </c>
      <c r="N65" s="8">
        <f>'Model inputs'!N155*'Model inputs'!AA133</f>
        <v>6000</v>
      </c>
      <c r="O65" s="8">
        <f>'Model inputs'!O155*'Model inputs'!AA133</f>
        <v>6000</v>
      </c>
      <c r="P65" s="8">
        <f>'Model inputs'!P155*'Model inputs'!AA133</f>
        <v>6000</v>
      </c>
      <c r="Q65" s="8">
        <f>'Model inputs'!Q155*'Model inputs'!AA133</f>
        <v>6000</v>
      </c>
      <c r="R65" s="8">
        <f>'Model inputs'!R155*'Model inputs'!AA133</f>
        <v>6000</v>
      </c>
      <c r="S65" s="8">
        <f>'Model inputs'!S155*'Model inputs'!AA133</f>
        <v>6000</v>
      </c>
      <c r="T65" s="8">
        <f>'Model inputs'!T155*'Model inputs'!AA133</f>
        <v>6000</v>
      </c>
      <c r="U65" s="8">
        <f>'Model inputs'!U155*'Model inputs'!AA133</f>
        <v>6000</v>
      </c>
      <c r="V65" s="8">
        <f>'Model inputs'!V155*'Model inputs'!AA133</f>
        <v>6000</v>
      </c>
      <c r="W65" s="8">
        <f>'Model inputs'!W155*'Model inputs'!AA133</f>
        <v>6000</v>
      </c>
      <c r="X65" s="8">
        <f>'Model inputs'!X155*'Model inputs'!AA133</f>
        <v>6000</v>
      </c>
      <c r="Y65" s="8">
        <f>'Model inputs'!Y155*'Model inputs'!AA133</f>
        <v>6000</v>
      </c>
      <c r="Z65" s="8">
        <f>'Model inputs'!Z155*'Model inputs'!AA133</f>
        <v>6000</v>
      </c>
    </row>
    <row r="66" outlineLevel="1">
      <c r="A66" t="inlineStr" s="16">
        <is>
          <t xml:space="preserve">Earned revenue &gt; Per audit — high</t>
        </is>
      </c>
      <c r="C66" s="8">
        <f>0</f>
        <v>0</v>
      </c>
      <c r="D66" s="8">
        <f>0</f>
        <v>0</v>
      </c>
      <c r="E66" s="8">
        <f>0</f>
        <v>0</v>
      </c>
      <c r="F66" s="8">
        <f>0</f>
        <v>0</v>
      </c>
      <c r="G66" s="8">
        <f>0</f>
        <v>0</v>
      </c>
      <c r="H66" s="8">
        <f>0</f>
        <v>0</v>
      </c>
      <c r="I66" s="8">
        <f>0</f>
        <v>0</v>
      </c>
      <c r="J66" s="8">
        <f>0</f>
        <v>0</v>
      </c>
      <c r="K66" s="8">
        <f>0</f>
        <v>0</v>
      </c>
      <c r="L66" s="8">
        <f>'Model inputs'!L155*'Model inputs'!AA134</f>
        <v>0</v>
      </c>
      <c r="M66" s="8">
        <f>'Model inputs'!M155*'Model inputs'!AA134</f>
        <v>0</v>
      </c>
      <c r="N66" s="8">
        <f>'Model inputs'!N155*'Model inputs'!AA134</f>
        <v>12000</v>
      </c>
      <c r="O66" s="8">
        <f>'Model inputs'!O155*'Model inputs'!AA134</f>
        <v>12000</v>
      </c>
      <c r="P66" s="8">
        <f>'Model inputs'!P155*'Model inputs'!AA134</f>
        <v>12000</v>
      </c>
      <c r="Q66" s="8">
        <f>'Model inputs'!Q155*'Model inputs'!AA134</f>
        <v>12000</v>
      </c>
      <c r="R66" s="8">
        <f>'Model inputs'!R155*'Model inputs'!AA134</f>
        <v>12000</v>
      </c>
      <c r="S66" s="8">
        <f>'Model inputs'!S155*'Model inputs'!AA134</f>
        <v>12000</v>
      </c>
      <c r="T66" s="8">
        <f>'Model inputs'!T155*'Model inputs'!AA134</f>
        <v>12000</v>
      </c>
      <c r="U66" s="8">
        <f>'Model inputs'!U155*'Model inputs'!AA134</f>
        <v>12000</v>
      </c>
      <c r="V66" s="8">
        <f>'Model inputs'!V155*'Model inputs'!AA134</f>
        <v>12000</v>
      </c>
      <c r="W66" s="8">
        <f>'Model inputs'!W155*'Model inputs'!AA134</f>
        <v>12000</v>
      </c>
      <c r="X66" s="8">
        <f>'Model inputs'!X155*'Model inputs'!AA134</f>
        <v>12000</v>
      </c>
      <c r="Y66" s="8">
        <f>'Model inputs'!Y155*'Model inputs'!AA134</f>
        <v>12000</v>
      </c>
      <c r="Z66" s="8">
        <f>'Model inputs'!Z155*'Model inputs'!AA134</f>
        <v>12000</v>
      </c>
    </row>
    <row r="67" outlineLevel="1">
      <c r="A67" t="inlineStr" s="16">
        <is>
          <t xml:space="preserve">Earned revenue &gt; Per audit — low</t>
        </is>
      </c>
      <c r="C67" s="8">
        <f>0</f>
        <v>0</v>
      </c>
      <c r="D67" s="8">
        <f>0</f>
        <v>0</v>
      </c>
      <c r="E67" s="8">
        <f>0</f>
        <v>0</v>
      </c>
      <c r="F67" s="8">
        <f>0</f>
        <v>0</v>
      </c>
      <c r="G67" s="8">
        <f>0</f>
        <v>0</v>
      </c>
      <c r="H67" s="8">
        <f>0</f>
        <v>0</v>
      </c>
      <c r="I67" s="8">
        <f>0</f>
        <v>0</v>
      </c>
      <c r="J67" s="8">
        <f>0</f>
        <v>0</v>
      </c>
      <c r="K67" s="8">
        <f>0</f>
        <v>0</v>
      </c>
      <c r="L67" s="8">
        <f>'Model inputs'!L155*'Model inputs'!AA135</f>
        <v>0</v>
      </c>
      <c r="M67" s="8">
        <f>'Model inputs'!M155*'Model inputs'!AA135</f>
        <v>0</v>
      </c>
      <c r="N67" s="8">
        <f>'Model inputs'!N155*'Model inputs'!AA135</f>
        <v>3000</v>
      </c>
      <c r="O67" s="8">
        <f>'Model inputs'!O155*'Model inputs'!AA135</f>
        <v>3000</v>
      </c>
      <c r="P67" s="8">
        <f>'Model inputs'!P155*'Model inputs'!AA135</f>
        <v>3000</v>
      </c>
      <c r="Q67" s="8">
        <f>'Model inputs'!Q155*'Model inputs'!AA135</f>
        <v>3000</v>
      </c>
      <c r="R67" s="8">
        <f>'Model inputs'!R155*'Model inputs'!AA135</f>
        <v>3000</v>
      </c>
      <c r="S67" s="8">
        <f>'Model inputs'!S155*'Model inputs'!AA135</f>
        <v>3000</v>
      </c>
      <c r="T67" s="8">
        <f>'Model inputs'!T155*'Model inputs'!AA135</f>
        <v>3000</v>
      </c>
      <c r="U67" s="8">
        <f>'Model inputs'!U155*'Model inputs'!AA135</f>
        <v>3000</v>
      </c>
      <c r="V67" s="8">
        <f>'Model inputs'!V155*'Model inputs'!AA135</f>
        <v>3000</v>
      </c>
      <c r="W67" s="8">
        <f>'Model inputs'!W155*'Model inputs'!AA135</f>
        <v>3000</v>
      </c>
      <c r="X67" s="8">
        <f>'Model inputs'!X155*'Model inputs'!AA135</f>
        <v>3000</v>
      </c>
      <c r="Y67" s="8">
        <f>'Model inputs'!Y155*'Model inputs'!AA135</f>
        <v>3000</v>
      </c>
      <c r="Z67" s="8">
        <f>'Model inputs'!Z155*'Model inputs'!AA135</f>
        <v>3000</v>
      </c>
    </row>
    <row r="68">
      <c r="A68" t="inlineStr" s="14">
        <is>
          <t xml:space="preserve">Forecast delivery cost · Growth</t>
        </is>
      </c>
      <c r="B68" s="8">
        <f>SUM('Model inputs'!B925,'Model inputs'!B926)</f>
        <v>36913.5</v>
      </c>
    </row>
    <row r="69">
      <c r="A69" t="inlineStr" s="14">
        <is>
          <t xml:space="preserve">Forecast delivery cost · Conservative</t>
        </is>
      </c>
      <c r="B69" s="8">
        <f>SUM('Model inputs'!B927,'Model inputs'!B928)</f>
        <v>3839</v>
      </c>
    </row>
    <row r="70">
      <c r="A70" t="inlineStr" s="14">
        <is>
          <t xml:space="preserve">Net cash burn</t>
        </is>
      </c>
      <c r="C70" s="6">
        <f>SUM('Model inputs'!C71,'Model inputs'!C72,'Model inputs'!C73,'Model inputs'!C74,'Model inputs'!C75)</f>
        <v>0</v>
      </c>
      <c r="D70" s="6">
        <f>SUM('Model inputs'!D71,'Model inputs'!D72,'Model inputs'!D73,'Model inputs'!D74,'Model inputs'!D75)</f>
        <v>0</v>
      </c>
      <c r="E70" s="6">
        <f>SUM('Model inputs'!E71,'Model inputs'!E72,'Model inputs'!E73,'Model inputs'!E74,'Model inputs'!E75)</f>
        <v>0</v>
      </c>
      <c r="F70" s="6">
        <f>SUM('Model inputs'!F71,'Model inputs'!F72,'Model inputs'!F73,'Model inputs'!F74,'Model inputs'!F75)</f>
        <v>0</v>
      </c>
      <c r="G70" s="6">
        <f>SUM('Model inputs'!G71,'Model inputs'!G72,'Model inputs'!G73,'Model inputs'!G74,'Model inputs'!G75)</f>
        <v>0</v>
      </c>
      <c r="H70" s="6">
        <f>SUM('Model inputs'!H71,'Model inputs'!H72,'Model inputs'!H73,'Model inputs'!H74,'Model inputs'!H75)</f>
        <v>0</v>
      </c>
      <c r="I70" s="6">
        <f>SUM('Model inputs'!I71,'Model inputs'!I72,'Model inputs'!I73,'Model inputs'!I74,'Model inputs'!I75)</f>
        <v>0</v>
      </c>
      <c r="J70" s="6">
        <f>SUM('Model inputs'!J71,'Model inputs'!J72,'Model inputs'!J73,'Model inputs'!J74,'Model inputs'!J75)</f>
        <v>0</v>
      </c>
      <c r="K70" s="6">
        <f>SUM('Model inputs'!K71,'Model inputs'!K72,'Model inputs'!K73,'Model inputs'!K74,'Model inputs'!K75)</f>
        <v>0</v>
      </c>
      <c r="L70" t="str" s="6">
        <f>""</f>
        <v/>
      </c>
      <c r="M70" t="str" s="6">
        <f>""</f>
        <v/>
      </c>
      <c r="N70" t="str" s="6">
        <f>""</f>
        <v/>
      </c>
      <c r="O70" t="str" s="6">
        <f>""</f>
        <v/>
      </c>
      <c r="P70" t="str" s="6">
        <f>""</f>
        <v/>
      </c>
      <c r="Q70" t="str" s="6">
        <f>""</f>
        <v/>
      </c>
      <c r="R70" t="str" s="6">
        <f>""</f>
        <v/>
      </c>
      <c r="S70" t="str" s="6">
        <f>""</f>
        <v/>
      </c>
      <c r="T70" t="str" s="6">
        <f>""</f>
        <v/>
      </c>
      <c r="U70" t="str" s="6">
        <f>""</f>
        <v/>
      </c>
      <c r="V70" t="str" s="6">
        <f>""</f>
        <v/>
      </c>
      <c r="W70" t="str" s="6">
        <f>""</f>
        <v/>
      </c>
      <c r="X70" t="str" s="6">
        <f>""</f>
        <v/>
      </c>
      <c r="Y70" t="str" s="6">
        <f>""</f>
        <v/>
      </c>
      <c r="Z70" t="str" s="6">
        <f>""</f>
        <v/>
      </c>
    </row>
    <row r="71" outlineLevel="1">
      <c r="A71" t="inlineStr" s="16">
        <is>
          <t xml:space="preserve">Net cash burn &gt; Annual deal-team</t>
        </is>
      </c>
      <c r="C71" s="8">
        <f>0</f>
        <v>0</v>
      </c>
      <c r="D71" s="8">
        <f>0</f>
        <v>0</v>
      </c>
      <c r="E71" s="8">
        <f>0</f>
        <v>0</v>
      </c>
      <c r="F71" s="8">
        <f>0</f>
        <v>0</v>
      </c>
      <c r="G71" s="8">
        <f>0</f>
        <v>0</v>
      </c>
      <c r="H71" s="8">
        <f>0</f>
        <v>0</v>
      </c>
      <c r="I71" s="8">
        <f>0</f>
        <v>0</v>
      </c>
      <c r="J71" s="8">
        <f>0</f>
        <v>0</v>
      </c>
      <c r="K71" s="8">
        <f>0</f>
        <v>0</v>
      </c>
      <c r="L71" s="8">
        <f>'Model inputs'!L137+'Model inputs'!L157+'Model inputs'!L89+'Model inputs'!L148-'Model inputs'!L43</f>
        <v>-30264.25</v>
      </c>
      <c r="M71" s="8">
        <f>'Model inputs'!M137+'Model inputs'!M157+'Model inputs'!M89+'Model inputs'!M148-'Model inputs'!M43</f>
        <v>-32178.5</v>
      </c>
      <c r="N71" s="8">
        <f>'Model inputs'!N137+'Model inputs'!N157+'Model inputs'!N89+'Model inputs'!N148-'Model inputs'!N43</f>
        <v>-34092.75</v>
      </c>
      <c r="O71" s="8">
        <f>'Model inputs'!O137+'Model inputs'!O157+'Model inputs'!O89+'Model inputs'!O148-'Model inputs'!O43</f>
        <v>-36007</v>
      </c>
      <c r="P71" s="8">
        <f>'Model inputs'!P137+'Model inputs'!P157+'Model inputs'!P89+'Model inputs'!P148-'Model inputs'!P43</f>
        <v>-37921.25</v>
      </c>
      <c r="Q71" s="8">
        <f>'Model inputs'!Q137+'Model inputs'!Q157+'Model inputs'!Q89+'Model inputs'!Q148-'Model inputs'!Q43</f>
        <v>-39335.5</v>
      </c>
      <c r="R71" s="8">
        <f>'Model inputs'!R137+'Model inputs'!R157+'Model inputs'!R89+'Model inputs'!R148-'Model inputs'!R43</f>
        <v>-41249.75</v>
      </c>
      <c r="S71" s="8">
        <f>'Model inputs'!S137+'Model inputs'!S157+'Model inputs'!S89+'Model inputs'!S148-'Model inputs'!S43</f>
        <v>-43164</v>
      </c>
      <c r="T71" s="8">
        <f>'Model inputs'!T137+'Model inputs'!T157+'Model inputs'!T89+'Model inputs'!T148-'Model inputs'!T43</f>
        <v>-45078.25</v>
      </c>
      <c r="U71" s="8">
        <f>'Model inputs'!U137+'Model inputs'!U157+'Model inputs'!U89+'Model inputs'!U148-'Model inputs'!U43</f>
        <v>-46992.5</v>
      </c>
      <c r="V71" s="8">
        <f>'Model inputs'!V137+'Model inputs'!V157+'Model inputs'!V89+'Model inputs'!V148-'Model inputs'!V43</f>
        <v>-48906.75</v>
      </c>
      <c r="W71" s="8">
        <f>'Model inputs'!W137+'Model inputs'!W157+'Model inputs'!W89+'Model inputs'!W148-'Model inputs'!W43</f>
        <v>-50821</v>
      </c>
      <c r="X71" s="8">
        <f>'Model inputs'!X137+'Model inputs'!X157+'Model inputs'!X89+'Model inputs'!X148-'Model inputs'!X43</f>
        <v>-21721</v>
      </c>
      <c r="Y71" s="8">
        <f>'Model inputs'!Y137+'Model inputs'!Y157+'Model inputs'!Y89+'Model inputs'!Y148-'Model inputs'!Y43</f>
        <v>-21721</v>
      </c>
      <c r="Z71" s="8">
        <f>'Model inputs'!Z137+'Model inputs'!Z157+'Model inputs'!Z89+'Model inputs'!Z148-'Model inputs'!Z43</f>
        <v>-21721</v>
      </c>
    </row>
    <row r="72" outlineLevel="1">
      <c r="A72" t="inlineStr" s="16">
        <is>
          <t xml:space="preserve">Net cash burn &gt; Hybrid</t>
        </is>
      </c>
      <c r="C72" s="8">
        <f>0</f>
        <v>0</v>
      </c>
      <c r="D72" s="8">
        <f>0</f>
        <v>0</v>
      </c>
      <c r="E72" s="8">
        <f>0</f>
        <v>0</v>
      </c>
      <c r="F72" s="8">
        <f>0</f>
        <v>0</v>
      </c>
      <c r="G72" s="8">
        <f>0</f>
        <v>0</v>
      </c>
      <c r="H72" s="8">
        <f>0</f>
        <v>0</v>
      </c>
      <c r="I72" s="8">
        <f>0</f>
        <v>0</v>
      </c>
      <c r="J72" s="8">
        <f>0</f>
        <v>0</v>
      </c>
      <c r="K72" s="8">
        <f>0</f>
        <v>0</v>
      </c>
      <c r="L72" s="8">
        <f>'Model inputs'!L138+'Model inputs'!L158+'Model inputs'!L90+'Model inputs'!L148-'Model inputs'!L44</f>
        <v>-10864.25</v>
      </c>
      <c r="M72" s="8">
        <f>'Model inputs'!M138+'Model inputs'!M158+'Model inputs'!M90+'Model inputs'!M148-'Model inputs'!M44</f>
        <v>-15203.5</v>
      </c>
      <c r="N72" s="8">
        <f>'Model inputs'!N138+'Model inputs'!N158+'Model inputs'!N90+'Model inputs'!N148-'Model inputs'!N44</f>
        <v>-19542.75</v>
      </c>
      <c r="O72" s="8">
        <f>'Model inputs'!O138+'Model inputs'!O158+'Model inputs'!O90+'Model inputs'!O148-'Model inputs'!O44</f>
        <v>-23882</v>
      </c>
      <c r="P72" s="8">
        <f>'Model inputs'!P138+'Model inputs'!P158+'Model inputs'!P90+'Model inputs'!P148-'Model inputs'!P44</f>
        <v>-28221.25</v>
      </c>
      <c r="Q72" s="8">
        <f>'Model inputs'!Q138+'Model inputs'!Q158+'Model inputs'!Q90+'Model inputs'!Q148-'Model inputs'!Q44</f>
        <v>-32060.5</v>
      </c>
      <c r="R72" s="8">
        <f>'Model inputs'!R138+'Model inputs'!R158+'Model inputs'!R90+'Model inputs'!R148-'Model inputs'!R44</f>
        <v>-36399.75</v>
      </c>
      <c r="S72" s="8">
        <f>'Model inputs'!S138+'Model inputs'!S158+'Model inputs'!S90+'Model inputs'!S148-'Model inputs'!S44</f>
        <v>-40739</v>
      </c>
      <c r="T72" s="8">
        <f>'Model inputs'!T138+'Model inputs'!T158+'Model inputs'!T90+'Model inputs'!T148-'Model inputs'!T44</f>
        <v>-45078.25</v>
      </c>
      <c r="U72" s="8">
        <f>'Model inputs'!U138+'Model inputs'!U158+'Model inputs'!U90+'Model inputs'!U148-'Model inputs'!U44</f>
        <v>-49417.5</v>
      </c>
      <c r="V72" s="8">
        <f>'Model inputs'!V138+'Model inputs'!V158+'Model inputs'!V90+'Model inputs'!V148-'Model inputs'!V44</f>
        <v>-53756.75</v>
      </c>
      <c r="W72" s="8">
        <f>'Model inputs'!W138+'Model inputs'!W158+'Model inputs'!W90+'Model inputs'!W148-'Model inputs'!W44</f>
        <v>-58096</v>
      </c>
      <c r="X72" s="8">
        <f>'Model inputs'!X138+'Model inputs'!X158+'Model inputs'!X90+'Model inputs'!X148-'Model inputs'!X44</f>
        <v>-50821</v>
      </c>
      <c r="Y72" s="8">
        <f>'Model inputs'!Y138+'Model inputs'!Y158+'Model inputs'!Y90+'Model inputs'!Y148-'Model inputs'!Y44</f>
        <v>-50821</v>
      </c>
      <c r="Z72" s="8">
        <f>'Model inputs'!Z138+'Model inputs'!Z158+'Model inputs'!Z90+'Model inputs'!Z148-'Model inputs'!Z44</f>
        <v>-50821</v>
      </c>
    </row>
    <row r="73" outlineLevel="1">
      <c r="A73" t="inlineStr" s="16">
        <is>
          <t xml:space="preserve">Net cash burn &gt; Per audit — base</t>
        </is>
      </c>
      <c r="C73" s="8">
        <f>0</f>
        <v>0</v>
      </c>
      <c r="D73" s="8">
        <f>0</f>
        <v>0</v>
      </c>
      <c r="E73" s="8">
        <f>0</f>
        <v>0</v>
      </c>
      <c r="F73" s="8">
        <f>0</f>
        <v>0</v>
      </c>
      <c r="G73" s="8">
        <f>0</f>
        <v>0</v>
      </c>
      <c r="H73" s="8">
        <f>0</f>
        <v>0</v>
      </c>
      <c r="I73" s="8">
        <f>0</f>
        <v>0</v>
      </c>
      <c r="J73" s="8">
        <f>0</f>
        <v>0</v>
      </c>
      <c r="K73" s="8">
        <f>0</f>
        <v>0</v>
      </c>
      <c r="L73" s="8">
        <f>'Model inputs'!L139+'Model inputs'!L159+'Model inputs'!L91+'Model inputs'!L148-'Model inputs'!L45</f>
        <v>-6014.25</v>
      </c>
      <c r="M73" s="8">
        <f>'Model inputs'!M139+'Model inputs'!M159+'Model inputs'!M91+'Model inputs'!M148-'Model inputs'!M45</f>
        <v>-12778.5</v>
      </c>
      <c r="N73" s="8">
        <f>'Model inputs'!N139+'Model inputs'!N159+'Model inputs'!N91+'Model inputs'!N148-'Model inputs'!N45</f>
        <v>-19542.75</v>
      </c>
      <c r="O73" s="8">
        <f>'Model inputs'!O139+'Model inputs'!O159+'Model inputs'!O91+'Model inputs'!O148-'Model inputs'!O45</f>
        <v>-26307</v>
      </c>
      <c r="P73" s="8">
        <f>'Model inputs'!P139+'Model inputs'!P159+'Model inputs'!P91+'Model inputs'!P148-'Model inputs'!P45</f>
        <v>-33071.25</v>
      </c>
      <c r="Q73" s="8">
        <f>'Model inputs'!Q139+'Model inputs'!Q159+'Model inputs'!Q91+'Model inputs'!Q148-'Model inputs'!Q45</f>
        <v>-39335.5</v>
      </c>
      <c r="R73" s="8">
        <f>'Model inputs'!R139+'Model inputs'!R159+'Model inputs'!R91+'Model inputs'!R148-'Model inputs'!R45</f>
        <v>-46099.75</v>
      </c>
      <c r="S73" s="8">
        <f>'Model inputs'!S139+'Model inputs'!S159+'Model inputs'!S91+'Model inputs'!S148-'Model inputs'!S45</f>
        <v>-52864</v>
      </c>
      <c r="T73" s="8">
        <f>'Model inputs'!T139+'Model inputs'!T159+'Model inputs'!T91+'Model inputs'!T148-'Model inputs'!T45</f>
        <v>-59628.25</v>
      </c>
      <c r="U73" s="8">
        <f>'Model inputs'!U139+'Model inputs'!U159+'Model inputs'!U91+'Model inputs'!U148-'Model inputs'!U45</f>
        <v>-66392.5</v>
      </c>
      <c r="V73" s="8">
        <f>'Model inputs'!V139+'Model inputs'!V159+'Model inputs'!V91+'Model inputs'!V148-'Model inputs'!V45</f>
        <v>-73156.75</v>
      </c>
      <c r="W73" s="8">
        <f>'Model inputs'!W139+'Model inputs'!W159+'Model inputs'!W91+'Model inputs'!W148-'Model inputs'!W45</f>
        <v>-79921</v>
      </c>
      <c r="X73" s="8">
        <f>'Model inputs'!X139+'Model inputs'!X159+'Model inputs'!X91+'Model inputs'!X148-'Model inputs'!X45</f>
        <v>-79921</v>
      </c>
      <c r="Y73" s="8">
        <f>'Model inputs'!Y139+'Model inputs'!Y159+'Model inputs'!Y91+'Model inputs'!Y148-'Model inputs'!Y45</f>
        <v>-79921</v>
      </c>
      <c r="Z73" s="8">
        <f>'Model inputs'!Z139+'Model inputs'!Z159+'Model inputs'!Z91+'Model inputs'!Z148-'Model inputs'!Z45</f>
        <v>-79921</v>
      </c>
    </row>
    <row r="74" outlineLevel="1">
      <c r="A74" t="inlineStr" s="16">
        <is>
          <t xml:space="preserve">Net cash burn &gt; Per audit — high</t>
        </is>
      </c>
      <c r="C74" s="8">
        <f>0</f>
        <v>0</v>
      </c>
      <c r="D74" s="8">
        <f>0</f>
        <v>0</v>
      </c>
      <c r="E74" s="8">
        <f>0</f>
        <v>0</v>
      </c>
      <c r="F74" s="8">
        <f>0</f>
        <v>0</v>
      </c>
      <c r="G74" s="8">
        <f>0</f>
        <v>0</v>
      </c>
      <c r="H74" s="8">
        <f>0</f>
        <v>0</v>
      </c>
      <c r="I74" s="8">
        <f>0</f>
        <v>0</v>
      </c>
      <c r="J74" s="8">
        <f>0</f>
        <v>0</v>
      </c>
      <c r="K74" s="8">
        <f>0</f>
        <v>0</v>
      </c>
      <c r="L74" s="8">
        <f>'Model inputs'!L140+'Model inputs'!L160+'Model inputs'!L92+'Model inputs'!L148-'Model inputs'!L46</f>
        <v>-13289.25</v>
      </c>
      <c r="M74" s="8">
        <f>'Model inputs'!M140+'Model inputs'!M160+'Model inputs'!M92+'Model inputs'!M148-'Model inputs'!M46</f>
        <v>-27328.5</v>
      </c>
      <c r="N74" s="8">
        <f>'Model inputs'!N140+'Model inputs'!N160+'Model inputs'!N92+'Model inputs'!N148-'Model inputs'!N46</f>
        <v>-41367.75</v>
      </c>
      <c r="O74" s="8">
        <f>'Model inputs'!O140+'Model inputs'!O160+'Model inputs'!O92+'Model inputs'!O148-'Model inputs'!O46</f>
        <v>-55407</v>
      </c>
      <c r="P74" s="8">
        <f>'Model inputs'!P140+'Model inputs'!P160+'Model inputs'!P92+'Model inputs'!P148-'Model inputs'!P46</f>
        <v>-69446.25</v>
      </c>
      <c r="Q74" s="8">
        <f>'Model inputs'!Q140+'Model inputs'!Q160+'Model inputs'!Q92+'Model inputs'!Q148-'Model inputs'!Q46</f>
        <v>-82985.5</v>
      </c>
      <c r="R74" s="8">
        <f>'Model inputs'!R140+'Model inputs'!R160+'Model inputs'!R92+'Model inputs'!R148-'Model inputs'!R46</f>
        <v>-97024.75</v>
      </c>
      <c r="S74" s="8">
        <f>'Model inputs'!S140+'Model inputs'!S160+'Model inputs'!S92+'Model inputs'!S148-'Model inputs'!S46</f>
        <v>-111064</v>
      </c>
      <c r="T74" s="8">
        <f>'Model inputs'!T140+'Model inputs'!T160+'Model inputs'!T92+'Model inputs'!T148-'Model inputs'!T46</f>
        <v>-125103.25</v>
      </c>
      <c r="U74" s="8">
        <f>'Model inputs'!U140+'Model inputs'!U160+'Model inputs'!U92+'Model inputs'!U148-'Model inputs'!U46</f>
        <v>-139142.5</v>
      </c>
      <c r="V74" s="8">
        <f>'Model inputs'!V140+'Model inputs'!V160+'Model inputs'!V92+'Model inputs'!V148-'Model inputs'!V46</f>
        <v>-153181.75</v>
      </c>
      <c r="W74" s="8">
        <f>'Model inputs'!W140+'Model inputs'!W160+'Model inputs'!W92+'Model inputs'!W148-'Model inputs'!W46</f>
        <v>-167221</v>
      </c>
      <c r="X74" s="8">
        <f>'Model inputs'!X140+'Model inputs'!X160+'Model inputs'!X92+'Model inputs'!X148-'Model inputs'!X46</f>
        <v>-167221</v>
      </c>
      <c r="Y74" s="8">
        <f>'Model inputs'!Y140+'Model inputs'!Y160+'Model inputs'!Y92+'Model inputs'!Y148-'Model inputs'!Y46</f>
        <v>-167221</v>
      </c>
      <c r="Z74" s="8">
        <f>'Model inputs'!Z140+'Model inputs'!Z160+'Model inputs'!Z92+'Model inputs'!Z148-'Model inputs'!Z46</f>
        <v>-167221</v>
      </c>
    </row>
    <row r="75" outlineLevel="1">
      <c r="A75" t="inlineStr" s="16">
        <is>
          <t xml:space="preserve">Net cash burn &gt; Per audit — low</t>
        </is>
      </c>
      <c r="C75" s="8">
        <f>0</f>
        <v>0</v>
      </c>
      <c r="D75" s="8">
        <f>0</f>
        <v>0</v>
      </c>
      <c r="E75" s="8">
        <f>0</f>
        <v>0</v>
      </c>
      <c r="F75" s="8">
        <f>0</f>
        <v>0</v>
      </c>
      <c r="G75" s="8">
        <f>0</f>
        <v>0</v>
      </c>
      <c r="H75" s="8">
        <f>0</f>
        <v>0</v>
      </c>
      <c r="I75" s="8">
        <f>0</f>
        <v>0</v>
      </c>
      <c r="J75" s="8">
        <f>0</f>
        <v>0</v>
      </c>
      <c r="K75" s="8">
        <f>0</f>
        <v>0</v>
      </c>
      <c r="L75" s="8">
        <f>'Model inputs'!L141+'Model inputs'!L161+'Model inputs'!L93+'Model inputs'!L148-'Model inputs'!L47</f>
        <v>-2376.75</v>
      </c>
      <c r="M75" s="8">
        <f>'Model inputs'!M141+'Model inputs'!M161+'Model inputs'!M93+'Model inputs'!M148-'Model inputs'!M47</f>
        <v>-5503.5</v>
      </c>
      <c r="N75" s="8">
        <f>'Model inputs'!N141+'Model inputs'!N161+'Model inputs'!N93+'Model inputs'!N148-'Model inputs'!N47</f>
        <v>-8630.25</v>
      </c>
      <c r="O75" s="8">
        <f>'Model inputs'!O141+'Model inputs'!O161+'Model inputs'!O93+'Model inputs'!O148-'Model inputs'!O47</f>
        <v>-11757</v>
      </c>
      <c r="P75" s="8">
        <f>'Model inputs'!P141+'Model inputs'!P161+'Model inputs'!P93+'Model inputs'!P148-'Model inputs'!P47</f>
        <v>-14883.75</v>
      </c>
      <c r="Q75" s="8">
        <f>'Model inputs'!Q141+'Model inputs'!Q161+'Model inputs'!Q93+'Model inputs'!Q148-'Model inputs'!Q47</f>
        <v>-17510.5</v>
      </c>
      <c r="R75" s="8">
        <f>'Model inputs'!R141+'Model inputs'!R161+'Model inputs'!R93+'Model inputs'!R148-'Model inputs'!R47</f>
        <v>-20637.25</v>
      </c>
      <c r="S75" s="8">
        <f>'Model inputs'!S141+'Model inputs'!S161+'Model inputs'!S93+'Model inputs'!S148-'Model inputs'!S47</f>
        <v>-23764</v>
      </c>
      <c r="T75" s="8">
        <f>'Model inputs'!T141+'Model inputs'!T161+'Model inputs'!T93+'Model inputs'!T148-'Model inputs'!T47</f>
        <v>-26890.75</v>
      </c>
      <c r="U75" s="8">
        <f>'Model inputs'!U141+'Model inputs'!U161+'Model inputs'!U93+'Model inputs'!U148-'Model inputs'!U47</f>
        <v>-30017.5</v>
      </c>
      <c r="V75" s="8">
        <f>'Model inputs'!V141+'Model inputs'!V161+'Model inputs'!V93+'Model inputs'!V148-'Model inputs'!V47</f>
        <v>-33144.25</v>
      </c>
      <c r="W75" s="8">
        <f>'Model inputs'!W141+'Model inputs'!W161+'Model inputs'!W93+'Model inputs'!W148-'Model inputs'!W47</f>
        <v>-36271</v>
      </c>
      <c r="X75" s="8">
        <f>'Model inputs'!X141+'Model inputs'!X161+'Model inputs'!X93+'Model inputs'!X148-'Model inputs'!X47</f>
        <v>-36271</v>
      </c>
      <c r="Y75" s="8">
        <f>'Model inputs'!Y141+'Model inputs'!Y161+'Model inputs'!Y93+'Model inputs'!Y148-'Model inputs'!Y47</f>
        <v>-36271</v>
      </c>
      <c r="Z75" s="8">
        <f>'Model inputs'!Z141+'Model inputs'!Z161+'Model inputs'!Z93+'Model inputs'!Z148-'Model inputs'!Z47</f>
        <v>-36271</v>
      </c>
    </row>
    <row r="76">
      <c r="A76" t="inlineStr" s="14">
        <is>
          <t xml:space="preserve">Net cash burn</t>
        </is>
      </c>
      <c r="C76" s="6">
        <f>SUM('Model inputs'!C77,'Model inputs'!C78,'Model inputs'!C79,'Model inputs'!C80,'Model inputs'!C81)</f>
        <v>0</v>
      </c>
      <c r="D76" s="6">
        <f>SUM('Model inputs'!D77,'Model inputs'!D78,'Model inputs'!D79,'Model inputs'!D80,'Model inputs'!D81)</f>
        <v>0</v>
      </c>
      <c r="E76" s="6">
        <f>SUM('Model inputs'!E77,'Model inputs'!E78,'Model inputs'!E79,'Model inputs'!E80,'Model inputs'!E81)</f>
        <v>0</v>
      </c>
      <c r="F76" s="6">
        <f>SUM('Model inputs'!F77,'Model inputs'!F78,'Model inputs'!F79,'Model inputs'!F80,'Model inputs'!F81)</f>
        <v>0</v>
      </c>
      <c r="G76" s="6">
        <f>SUM('Model inputs'!G77,'Model inputs'!G78,'Model inputs'!G79,'Model inputs'!G80,'Model inputs'!G81)</f>
        <v>0</v>
      </c>
      <c r="H76" s="6">
        <f>SUM('Model inputs'!H77,'Model inputs'!H78,'Model inputs'!H79,'Model inputs'!H80,'Model inputs'!H81)</f>
        <v>0</v>
      </c>
      <c r="I76" s="6">
        <f>SUM('Model inputs'!I77,'Model inputs'!I78,'Model inputs'!I79,'Model inputs'!I80,'Model inputs'!I81)</f>
        <v>0</v>
      </c>
      <c r="J76" s="6">
        <f>SUM('Model inputs'!J77,'Model inputs'!J78,'Model inputs'!J79,'Model inputs'!J80,'Model inputs'!J81)</f>
        <v>0</v>
      </c>
      <c r="K76" s="6">
        <f>SUM('Model inputs'!K77,'Model inputs'!K78,'Model inputs'!K79,'Model inputs'!K80,'Model inputs'!K81)</f>
        <v>0</v>
      </c>
      <c r="L76" t="str" s="6">
        <f>""</f>
        <v/>
      </c>
      <c r="M76" t="str" s="6">
        <f>""</f>
        <v/>
      </c>
      <c r="N76" t="str" s="6">
        <f>""</f>
        <v/>
      </c>
      <c r="O76" t="str" s="6">
        <f>""</f>
        <v/>
      </c>
      <c r="P76" t="str" s="6">
        <f>""</f>
        <v/>
      </c>
      <c r="Q76" t="str" s="6">
        <f>""</f>
        <v/>
      </c>
      <c r="R76" t="str" s="6">
        <f>""</f>
        <v/>
      </c>
      <c r="S76" t="str" s="6">
        <f>""</f>
        <v/>
      </c>
      <c r="T76" t="str" s="6">
        <f>""</f>
        <v/>
      </c>
      <c r="U76" t="str" s="6">
        <f>""</f>
        <v/>
      </c>
      <c r="V76" t="str" s="6">
        <f>""</f>
        <v/>
      </c>
      <c r="W76" t="str" s="6">
        <f>""</f>
        <v/>
      </c>
      <c r="X76" t="str" s="6">
        <f>""</f>
        <v/>
      </c>
      <c r="Y76" t="str" s="6">
        <f>""</f>
        <v/>
      </c>
      <c r="Z76" t="str" s="6">
        <f>""</f>
        <v/>
      </c>
    </row>
    <row r="77" outlineLevel="1">
      <c r="A77" t="inlineStr" s="16">
        <is>
          <t xml:space="preserve">Net cash burn &gt; Annual deal-team</t>
        </is>
      </c>
      <c r="C77" s="8">
        <f>0</f>
        <v>0</v>
      </c>
      <c r="D77" s="8">
        <f>0</f>
        <v>0</v>
      </c>
      <c r="E77" s="8">
        <f>0</f>
        <v>0</v>
      </c>
      <c r="F77" s="8">
        <f>0</f>
        <v>0</v>
      </c>
      <c r="G77" s="8">
        <f>0</f>
        <v>0</v>
      </c>
      <c r="H77" s="8">
        <f>0</f>
        <v>0</v>
      </c>
      <c r="I77" s="8">
        <f>0</f>
        <v>0</v>
      </c>
      <c r="J77" s="8">
        <f>0</f>
        <v>0</v>
      </c>
      <c r="K77" s="8">
        <f>0</f>
        <v>0</v>
      </c>
      <c r="L77" s="8">
        <f>'Model inputs'!L143+'Model inputs'!L163+'Model inputs'!L95+'Model inputs'!L149-'Model inputs'!L49</f>
        <v>750</v>
      </c>
      <c r="M77" s="8">
        <f>'Model inputs'!M143+'Model inputs'!M163+'Model inputs'!M95+'Model inputs'!M149-'Model inputs'!M49</f>
        <v>750</v>
      </c>
      <c r="N77" s="8">
        <f>'Model inputs'!N143+'Model inputs'!N163+'Model inputs'!N95+'Model inputs'!N149-'Model inputs'!N49</f>
        <v>-45366.1</v>
      </c>
      <c r="O77" s="8">
        <f>'Model inputs'!O143+'Model inputs'!O163+'Model inputs'!O95+'Model inputs'!O149-'Model inputs'!O49</f>
        <v>1193.9</v>
      </c>
      <c r="P77" s="8">
        <f>'Model inputs'!P143+'Model inputs'!P163+'Model inputs'!P95+'Model inputs'!P149-'Model inputs'!P49</f>
        <v>1193.9</v>
      </c>
      <c r="Q77" s="8">
        <f>'Model inputs'!Q143+'Model inputs'!Q163+'Model inputs'!Q95+'Model inputs'!Q149-'Model inputs'!Q49</f>
        <v>1693.9</v>
      </c>
      <c r="R77" s="8">
        <f>'Model inputs'!R143+'Model inputs'!R163+'Model inputs'!R95+'Model inputs'!R149-'Model inputs'!R49</f>
        <v>1693.9</v>
      </c>
      <c r="S77" s="8">
        <f>'Model inputs'!S143+'Model inputs'!S163+'Model inputs'!S95+'Model inputs'!S149-'Model inputs'!S49</f>
        <v>1693.9</v>
      </c>
      <c r="T77" s="8">
        <f>'Model inputs'!T143+'Model inputs'!T163+'Model inputs'!T95+'Model inputs'!T149-'Model inputs'!T49</f>
        <v>1693.9</v>
      </c>
      <c r="U77" s="8">
        <f>'Model inputs'!U143+'Model inputs'!U163+'Model inputs'!U95+'Model inputs'!U149-'Model inputs'!U49</f>
        <v>1693.9</v>
      </c>
      <c r="V77" s="8">
        <f>'Model inputs'!V143+'Model inputs'!V163+'Model inputs'!V95+'Model inputs'!V149-'Model inputs'!V49</f>
        <v>1693.9</v>
      </c>
      <c r="W77" s="8">
        <f>'Model inputs'!W143+'Model inputs'!W163+'Model inputs'!W95+'Model inputs'!W149-'Model inputs'!W49</f>
        <v>1693.9</v>
      </c>
      <c r="X77" s="8">
        <f>'Model inputs'!X143+'Model inputs'!X163+'Model inputs'!X95+'Model inputs'!X149-'Model inputs'!X49</f>
        <v>1693.9</v>
      </c>
      <c r="Y77" s="8">
        <f>'Model inputs'!Y143+'Model inputs'!Y163+'Model inputs'!Y95+'Model inputs'!Y149-'Model inputs'!Y49</f>
        <v>1693.9</v>
      </c>
      <c r="Z77" s="8">
        <f>'Model inputs'!Z143+'Model inputs'!Z163+'Model inputs'!Z95+'Model inputs'!Z149-'Model inputs'!Z49</f>
        <v>1693.9</v>
      </c>
    </row>
    <row r="78" outlineLevel="1">
      <c r="A78" t="inlineStr" s="16">
        <is>
          <t xml:space="preserve">Net cash burn &gt; Hybrid</t>
        </is>
      </c>
      <c r="C78" s="8">
        <f>0</f>
        <v>0</v>
      </c>
      <c r="D78" s="8">
        <f>0</f>
        <v>0</v>
      </c>
      <c r="E78" s="8">
        <f>0</f>
        <v>0</v>
      </c>
      <c r="F78" s="8">
        <f>0</f>
        <v>0</v>
      </c>
      <c r="G78" s="8">
        <f>0</f>
        <v>0</v>
      </c>
      <c r="H78" s="8">
        <f>0</f>
        <v>0</v>
      </c>
      <c r="I78" s="8">
        <f>0</f>
        <v>0</v>
      </c>
      <c r="J78" s="8">
        <f>0</f>
        <v>0</v>
      </c>
      <c r="K78" s="8">
        <f>0</f>
        <v>0</v>
      </c>
      <c r="L78" s="8">
        <f>'Model inputs'!L144+'Model inputs'!L164+'Model inputs'!L96+'Model inputs'!L149-'Model inputs'!L50</f>
        <v>750</v>
      </c>
      <c r="M78" s="8">
        <f>'Model inputs'!M144+'Model inputs'!M164+'Model inputs'!M96+'Model inputs'!M149-'Model inputs'!M50</f>
        <v>750</v>
      </c>
      <c r="N78" s="8">
        <f>'Model inputs'!N144+'Model inputs'!N164+'Model inputs'!N96+'Model inputs'!N149-'Model inputs'!N50</f>
        <v>-14326.1</v>
      </c>
      <c r="O78" s="8">
        <f>'Model inputs'!O144+'Model inputs'!O164+'Model inputs'!O96+'Model inputs'!O149-'Model inputs'!O50</f>
        <v>-2686.1</v>
      </c>
      <c r="P78" s="8">
        <f>'Model inputs'!P144+'Model inputs'!P164+'Model inputs'!P96+'Model inputs'!P149-'Model inputs'!P50</f>
        <v>-2686.1</v>
      </c>
      <c r="Q78" s="8">
        <f>'Model inputs'!Q144+'Model inputs'!Q164+'Model inputs'!Q96+'Model inputs'!Q149-'Model inputs'!Q50</f>
        <v>-2186.1</v>
      </c>
      <c r="R78" s="8">
        <f>'Model inputs'!R144+'Model inputs'!R164+'Model inputs'!R96+'Model inputs'!R149-'Model inputs'!R50</f>
        <v>-2186.1</v>
      </c>
      <c r="S78" s="8">
        <f>'Model inputs'!S144+'Model inputs'!S164+'Model inputs'!S96+'Model inputs'!S149-'Model inputs'!S50</f>
        <v>-2186.1</v>
      </c>
      <c r="T78" s="8">
        <f>'Model inputs'!T144+'Model inputs'!T164+'Model inputs'!T96+'Model inputs'!T149-'Model inputs'!T50</f>
        <v>-2186.1</v>
      </c>
      <c r="U78" s="8">
        <f>'Model inputs'!U144+'Model inputs'!U164+'Model inputs'!U96+'Model inputs'!U149-'Model inputs'!U50</f>
        <v>-2186.1</v>
      </c>
      <c r="V78" s="8">
        <f>'Model inputs'!V144+'Model inputs'!V164+'Model inputs'!V96+'Model inputs'!V149-'Model inputs'!V50</f>
        <v>-2186.1</v>
      </c>
      <c r="W78" s="8">
        <f>'Model inputs'!W144+'Model inputs'!W164+'Model inputs'!W96+'Model inputs'!W149-'Model inputs'!W50</f>
        <v>-2186.1</v>
      </c>
      <c r="X78" s="8">
        <f>'Model inputs'!X144+'Model inputs'!X164+'Model inputs'!X96+'Model inputs'!X149-'Model inputs'!X50</f>
        <v>-2186.1</v>
      </c>
      <c r="Y78" s="8">
        <f>'Model inputs'!Y144+'Model inputs'!Y164+'Model inputs'!Y96+'Model inputs'!Y149-'Model inputs'!Y50</f>
        <v>-2186.1</v>
      </c>
      <c r="Z78" s="8">
        <f>'Model inputs'!Z144+'Model inputs'!Z164+'Model inputs'!Z96+'Model inputs'!Z149-'Model inputs'!Z50</f>
        <v>-2186.1</v>
      </c>
    </row>
    <row r="79" outlineLevel="1">
      <c r="A79" t="inlineStr" s="16">
        <is>
          <t xml:space="preserve">Net cash burn &gt; Per audit — base</t>
        </is>
      </c>
      <c r="C79" s="8">
        <f>0</f>
        <v>0</v>
      </c>
      <c r="D79" s="8">
        <f>0</f>
        <v>0</v>
      </c>
      <c r="E79" s="8">
        <f>0</f>
        <v>0</v>
      </c>
      <c r="F79" s="8">
        <f>0</f>
        <v>0</v>
      </c>
      <c r="G79" s="8">
        <f>0</f>
        <v>0</v>
      </c>
      <c r="H79" s="8">
        <f>0</f>
        <v>0</v>
      </c>
      <c r="I79" s="8">
        <f>0</f>
        <v>0</v>
      </c>
      <c r="J79" s="8">
        <f>0</f>
        <v>0</v>
      </c>
      <c r="K79" s="8">
        <f>0</f>
        <v>0</v>
      </c>
      <c r="L79" s="8">
        <f>'Model inputs'!L145+'Model inputs'!L165+'Model inputs'!L97+'Model inputs'!L149-'Model inputs'!L51</f>
        <v>750</v>
      </c>
      <c r="M79" s="8">
        <f>'Model inputs'!M145+'Model inputs'!M165+'Model inputs'!M97+'Model inputs'!M149-'Model inputs'!M51</f>
        <v>750</v>
      </c>
      <c r="N79" s="8">
        <f>'Model inputs'!N145+'Model inputs'!N165+'Model inputs'!N97+'Model inputs'!N149-'Model inputs'!N51</f>
        <v>-4626.1</v>
      </c>
      <c r="O79" s="8">
        <f>'Model inputs'!O145+'Model inputs'!O165+'Model inputs'!O97+'Model inputs'!O149-'Model inputs'!O51</f>
        <v>-4626.1</v>
      </c>
      <c r="P79" s="8">
        <f>'Model inputs'!P145+'Model inputs'!P165+'Model inputs'!P97+'Model inputs'!P149-'Model inputs'!P51</f>
        <v>-4626.1</v>
      </c>
      <c r="Q79" s="8">
        <f>'Model inputs'!Q145+'Model inputs'!Q165+'Model inputs'!Q97+'Model inputs'!Q149-'Model inputs'!Q51</f>
        <v>-4126.1</v>
      </c>
      <c r="R79" s="8">
        <f>'Model inputs'!R145+'Model inputs'!R165+'Model inputs'!R97+'Model inputs'!R149-'Model inputs'!R51</f>
        <v>-4126.1</v>
      </c>
      <c r="S79" s="8">
        <f>'Model inputs'!S145+'Model inputs'!S165+'Model inputs'!S97+'Model inputs'!S149-'Model inputs'!S51</f>
        <v>-4126.1</v>
      </c>
      <c r="T79" s="8">
        <f>'Model inputs'!T145+'Model inputs'!T165+'Model inputs'!T97+'Model inputs'!T149-'Model inputs'!T51</f>
        <v>-4126.1</v>
      </c>
      <c r="U79" s="8">
        <f>'Model inputs'!U145+'Model inputs'!U165+'Model inputs'!U97+'Model inputs'!U149-'Model inputs'!U51</f>
        <v>-4126.1</v>
      </c>
      <c r="V79" s="8">
        <f>'Model inputs'!V145+'Model inputs'!V165+'Model inputs'!V97+'Model inputs'!V149-'Model inputs'!V51</f>
        <v>-4126.1</v>
      </c>
      <c r="W79" s="8">
        <f>'Model inputs'!W145+'Model inputs'!W165+'Model inputs'!W97+'Model inputs'!W149-'Model inputs'!W51</f>
        <v>-4126.1</v>
      </c>
      <c r="X79" s="8">
        <f>'Model inputs'!X145+'Model inputs'!X165+'Model inputs'!X97+'Model inputs'!X149-'Model inputs'!X51</f>
        <v>-4126.1</v>
      </c>
      <c r="Y79" s="8">
        <f>'Model inputs'!Y145+'Model inputs'!Y165+'Model inputs'!Y97+'Model inputs'!Y149-'Model inputs'!Y51</f>
        <v>-4126.1</v>
      </c>
      <c r="Z79" s="8">
        <f>'Model inputs'!Z145+'Model inputs'!Z165+'Model inputs'!Z97+'Model inputs'!Z149-'Model inputs'!Z51</f>
        <v>-4126.1</v>
      </c>
    </row>
    <row r="80" outlineLevel="1">
      <c r="A80" t="inlineStr" s="16">
        <is>
          <t xml:space="preserve">Net cash burn &gt; Per audit — high</t>
        </is>
      </c>
      <c r="C80" s="8">
        <f>0</f>
        <v>0</v>
      </c>
      <c r="D80" s="8">
        <f>0</f>
        <v>0</v>
      </c>
      <c r="E80" s="8">
        <f>0</f>
        <v>0</v>
      </c>
      <c r="F80" s="8">
        <f>0</f>
        <v>0</v>
      </c>
      <c r="G80" s="8">
        <f>0</f>
        <v>0</v>
      </c>
      <c r="H80" s="8">
        <f>0</f>
        <v>0</v>
      </c>
      <c r="I80" s="8">
        <f>0</f>
        <v>0</v>
      </c>
      <c r="J80" s="8">
        <f>0</f>
        <v>0</v>
      </c>
      <c r="K80" s="8">
        <f>0</f>
        <v>0</v>
      </c>
      <c r="L80" s="8">
        <f>'Model inputs'!L146+'Model inputs'!L166+'Model inputs'!L98+'Model inputs'!L149-'Model inputs'!L52</f>
        <v>750</v>
      </c>
      <c r="M80" s="8">
        <f>'Model inputs'!M146+'Model inputs'!M166+'Model inputs'!M98+'Model inputs'!M149-'Model inputs'!M52</f>
        <v>750</v>
      </c>
      <c r="N80" s="8">
        <f>'Model inputs'!N146+'Model inputs'!N166+'Model inputs'!N98+'Model inputs'!N149-'Model inputs'!N52</f>
        <v>-10446.1</v>
      </c>
      <c r="O80" s="8">
        <f>'Model inputs'!O146+'Model inputs'!O166+'Model inputs'!O98+'Model inputs'!O149-'Model inputs'!O52</f>
        <v>-10446.1</v>
      </c>
      <c r="P80" s="8">
        <f>'Model inputs'!P146+'Model inputs'!P166+'Model inputs'!P98+'Model inputs'!P149-'Model inputs'!P52</f>
        <v>-10446.1</v>
      </c>
      <c r="Q80" s="8">
        <f>'Model inputs'!Q146+'Model inputs'!Q166+'Model inputs'!Q98+'Model inputs'!Q149-'Model inputs'!Q52</f>
        <v>-9946.1</v>
      </c>
      <c r="R80" s="8">
        <f>'Model inputs'!R146+'Model inputs'!R166+'Model inputs'!R98+'Model inputs'!R149-'Model inputs'!R52</f>
        <v>-9946.1</v>
      </c>
      <c r="S80" s="8">
        <f>'Model inputs'!S146+'Model inputs'!S166+'Model inputs'!S98+'Model inputs'!S149-'Model inputs'!S52</f>
        <v>-9946.1</v>
      </c>
      <c r="T80" s="8">
        <f>'Model inputs'!T146+'Model inputs'!T166+'Model inputs'!T98+'Model inputs'!T149-'Model inputs'!T52</f>
        <v>-9946.1</v>
      </c>
      <c r="U80" s="8">
        <f>'Model inputs'!U146+'Model inputs'!U166+'Model inputs'!U98+'Model inputs'!U149-'Model inputs'!U52</f>
        <v>-9946.1</v>
      </c>
      <c r="V80" s="8">
        <f>'Model inputs'!V146+'Model inputs'!V166+'Model inputs'!V98+'Model inputs'!V149-'Model inputs'!V52</f>
        <v>-9946.1</v>
      </c>
      <c r="W80" s="8">
        <f>'Model inputs'!W146+'Model inputs'!W166+'Model inputs'!W98+'Model inputs'!W149-'Model inputs'!W52</f>
        <v>-9946.1</v>
      </c>
      <c r="X80" s="8">
        <f>'Model inputs'!X146+'Model inputs'!X166+'Model inputs'!X98+'Model inputs'!X149-'Model inputs'!X52</f>
        <v>-9946.1</v>
      </c>
      <c r="Y80" s="8">
        <f>'Model inputs'!Y146+'Model inputs'!Y166+'Model inputs'!Y98+'Model inputs'!Y149-'Model inputs'!Y52</f>
        <v>-9946.1</v>
      </c>
      <c r="Z80" s="8">
        <f>'Model inputs'!Z146+'Model inputs'!Z166+'Model inputs'!Z98+'Model inputs'!Z149-'Model inputs'!Z52</f>
        <v>-9946.1</v>
      </c>
    </row>
    <row r="81" outlineLevel="1">
      <c r="A81" t="inlineStr" s="16">
        <is>
          <t xml:space="preserve">Net cash burn &gt; Per audit — low</t>
        </is>
      </c>
      <c r="C81" s="8">
        <f>0</f>
        <v>0</v>
      </c>
      <c r="D81" s="8">
        <f>0</f>
        <v>0</v>
      </c>
      <c r="E81" s="8">
        <f>0</f>
        <v>0</v>
      </c>
      <c r="F81" s="8">
        <f>0</f>
        <v>0</v>
      </c>
      <c r="G81" s="8">
        <f>0</f>
        <v>0</v>
      </c>
      <c r="H81" s="8">
        <f>0</f>
        <v>0</v>
      </c>
      <c r="I81" s="8">
        <f>0</f>
        <v>0</v>
      </c>
      <c r="J81" s="8">
        <f>0</f>
        <v>0</v>
      </c>
      <c r="K81" s="8">
        <f>0</f>
        <v>0</v>
      </c>
      <c r="L81" s="8">
        <f>'Model inputs'!L147+'Model inputs'!L167+'Model inputs'!L99+'Model inputs'!L149-'Model inputs'!L53</f>
        <v>750</v>
      </c>
      <c r="M81" s="8">
        <f>'Model inputs'!M147+'Model inputs'!M167+'Model inputs'!M99+'Model inputs'!M149-'Model inputs'!M53</f>
        <v>750</v>
      </c>
      <c r="N81" s="8">
        <f>'Model inputs'!N147+'Model inputs'!N167+'Model inputs'!N99+'Model inputs'!N149-'Model inputs'!N53</f>
        <v>-1716.1</v>
      </c>
      <c r="O81" s="8">
        <f>'Model inputs'!O147+'Model inputs'!O167+'Model inputs'!O99+'Model inputs'!O149-'Model inputs'!O53</f>
        <v>-1716.1</v>
      </c>
      <c r="P81" s="8">
        <f>'Model inputs'!P147+'Model inputs'!P167+'Model inputs'!P99+'Model inputs'!P149-'Model inputs'!P53</f>
        <v>-1716.1</v>
      </c>
      <c r="Q81" s="8">
        <f>'Model inputs'!Q147+'Model inputs'!Q167+'Model inputs'!Q99+'Model inputs'!Q149-'Model inputs'!Q53</f>
        <v>-1216.1</v>
      </c>
      <c r="R81" s="8">
        <f>'Model inputs'!R147+'Model inputs'!R167+'Model inputs'!R99+'Model inputs'!R149-'Model inputs'!R53</f>
        <v>-1216.1</v>
      </c>
      <c r="S81" s="8">
        <f>'Model inputs'!S147+'Model inputs'!S167+'Model inputs'!S99+'Model inputs'!S149-'Model inputs'!S53</f>
        <v>-1216.1</v>
      </c>
      <c r="T81" s="8">
        <f>'Model inputs'!T147+'Model inputs'!T167+'Model inputs'!T99+'Model inputs'!T149-'Model inputs'!T53</f>
        <v>-1216.1</v>
      </c>
      <c r="U81" s="8">
        <f>'Model inputs'!U147+'Model inputs'!U167+'Model inputs'!U99+'Model inputs'!U149-'Model inputs'!U53</f>
        <v>-1216.1</v>
      </c>
      <c r="V81" s="8">
        <f>'Model inputs'!V147+'Model inputs'!V167+'Model inputs'!V99+'Model inputs'!V149-'Model inputs'!V53</f>
        <v>-1216.1</v>
      </c>
      <c r="W81" s="8">
        <f>'Model inputs'!W147+'Model inputs'!W167+'Model inputs'!W99+'Model inputs'!W149-'Model inputs'!W53</f>
        <v>-1216.1</v>
      </c>
      <c r="X81" s="8">
        <f>'Model inputs'!X147+'Model inputs'!X167+'Model inputs'!X99+'Model inputs'!X149-'Model inputs'!X53</f>
        <v>-1216.1</v>
      </c>
      <c r="Y81" s="8">
        <f>'Model inputs'!Y147+'Model inputs'!Y167+'Model inputs'!Y99+'Model inputs'!Y149-'Model inputs'!Y53</f>
        <v>-1216.1</v>
      </c>
      <c r="Z81" s="8">
        <f>'Model inputs'!Z147+'Model inputs'!Z167+'Model inputs'!Z99+'Model inputs'!Z149-'Model inputs'!Z53</f>
        <v>-1216.1</v>
      </c>
    </row>
    <row r="82">
      <c r="A82" t="inlineStr" s="14">
        <is>
          <t xml:space="preserve">Plan Contribution profit · Forecast contribution profit · Growth · Growth</t>
        </is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f>IF(SUM(IF(IF('Model inputs'!B929="",0,1)="",0,IF('Model inputs'!B929="",0,1)),IF(IF('Model inputs'!B930="",0,1)="",0,IF('Model inputs'!B930="",0,1)),IF(IF('Model inputs'!B931="",0,1)="",0,IF('Model inputs'!B931="",0,1)),IF(IF('Model inputs'!B932="",0,1)="",0,IF('Model inputs'!B932="",0,1)),IF(IF('Model inputs'!B933="",0,1)="",0,IF('Model inputs'!B933="",0,1)))=0,"",SUM('Model inputs'!B929,'Model inputs'!B930,'Model inputs'!B931,'Model inputs'!B932,'Model inputs'!B933))</f>
        <v>4339.25</v>
      </c>
      <c r="M82" s="8">
        <f>IF(SUM(IF(IF('Model inputs'!B934="",0,1)="",0,IF('Model inputs'!B934="",0,1)),IF(IF('Model inputs'!B935="",0,1)="",0,IF('Model inputs'!B935="",0,1)),IF(IF('Model inputs'!B936="",0,1)="",0,IF('Model inputs'!B936="",0,1)),IF(IF('Model inputs'!B937="",0,1)="",0,IF('Model inputs'!B937="",0,1)),IF(IF('Model inputs'!B938="",0,1)="",0,IF('Model inputs'!B938="",0,1)))=0,"",SUM('Model inputs'!B934,'Model inputs'!B935,'Model inputs'!B936,'Model inputs'!B937,'Model inputs'!B938))</f>
        <v>8678.5</v>
      </c>
      <c r="N82" s="8">
        <f>IF(SUM(IF(IF('Model inputs'!B939="",0,1)="",0,IF('Model inputs'!B939="",0,1)),IF(IF('Model inputs'!B940="",0,1)="",0,IF('Model inputs'!B940="",0,1)),IF(IF('Model inputs'!B941="",0,1)="",0,IF('Model inputs'!B941="",0,1)),IF(IF('Model inputs'!B942="",0,1)="",0,IF('Model inputs'!B942="",0,1)),IF(IF('Model inputs'!B943="",0,1)="",0,IF('Model inputs'!B943="",0,1)))=0,"",SUM('Model inputs'!B939,'Model inputs'!B940,'Model inputs'!B941,'Model inputs'!B942,'Model inputs'!B943))</f>
        <v>13017.75</v>
      </c>
      <c r="O82" s="8">
        <f>IF(SUM(IF(IF('Model inputs'!B944="",0,1)="",0,IF('Model inputs'!B944="",0,1)),IF(IF('Model inputs'!B945="",0,1)="",0,IF('Model inputs'!B945="",0,1)),IF(IF('Model inputs'!B946="",0,1)="",0,IF('Model inputs'!B946="",0,1)),IF(IF('Model inputs'!B947="",0,1)="",0,IF('Model inputs'!B947="",0,1)),IF(IF('Model inputs'!B948="",0,1)="",0,IF('Model inputs'!B948="",0,1)))=0,"",SUM('Model inputs'!B944,'Model inputs'!B945,'Model inputs'!B946,'Model inputs'!B947,'Model inputs'!B948))</f>
        <v>17357</v>
      </c>
      <c r="P82" s="8">
        <f>IF(SUM(IF(IF('Model inputs'!B949="",0,1)="",0,IF('Model inputs'!B949="",0,1)),IF(IF('Model inputs'!B950="",0,1)="",0,IF('Model inputs'!B950="",0,1)),IF(IF('Model inputs'!B951="",0,1)="",0,IF('Model inputs'!B951="",0,1)),IF(IF('Model inputs'!B952="",0,1)="",0,IF('Model inputs'!B952="",0,1)),IF(IF('Model inputs'!B953="",0,1)="",0,IF('Model inputs'!B953="",0,1)))=0,"",SUM('Model inputs'!B949,'Model inputs'!B950,'Model inputs'!B951,'Model inputs'!B952,'Model inputs'!B953))</f>
        <v>21696.25</v>
      </c>
      <c r="Q82" s="8">
        <f>IF(SUM(IF(IF('Model inputs'!B954="",0,1)="",0,IF('Model inputs'!B954="",0,1)),IF(IF('Model inputs'!B955="",0,1)="",0,IF('Model inputs'!B955="",0,1)),IF(IF('Model inputs'!B956="",0,1)="",0,IF('Model inputs'!B956="",0,1)),IF(IF('Model inputs'!B957="",0,1)="",0,IF('Model inputs'!B957="",0,1)),IF(IF('Model inputs'!B958="",0,1)="",0,IF('Model inputs'!B958="",0,1)))=0,"",SUM('Model inputs'!B954,'Model inputs'!B955,'Model inputs'!B956,'Model inputs'!B957,'Model inputs'!B958))</f>
        <v>26035.5</v>
      </c>
      <c r="R82" s="8">
        <f>IF(SUM(IF(IF('Model inputs'!B959="",0,1)="",0,IF('Model inputs'!B959="",0,1)),IF(IF('Model inputs'!B960="",0,1)="",0,IF('Model inputs'!B960="",0,1)),IF(IF('Model inputs'!B961="",0,1)="",0,IF('Model inputs'!B961="",0,1)),IF(IF('Model inputs'!B962="",0,1)="",0,IF('Model inputs'!B962="",0,1)),IF(IF('Model inputs'!B963="",0,1)="",0,IF('Model inputs'!B963="",0,1)))=0,"",SUM('Model inputs'!B959,'Model inputs'!B960,'Model inputs'!B961,'Model inputs'!B962,'Model inputs'!B963))</f>
        <v>30374.75</v>
      </c>
      <c r="S82" s="8">
        <f>IF(SUM(IF(IF('Model inputs'!B964="",0,1)="",0,IF('Model inputs'!B964="",0,1)),IF(IF('Model inputs'!B965="",0,1)="",0,IF('Model inputs'!B965="",0,1)),IF(IF('Model inputs'!B966="",0,1)="",0,IF('Model inputs'!B966="",0,1)),IF(IF('Model inputs'!B967="",0,1)="",0,IF('Model inputs'!B967="",0,1)),IF(IF('Model inputs'!B968="",0,1)="",0,IF('Model inputs'!B968="",0,1)))=0,"",SUM('Model inputs'!B964,'Model inputs'!B965,'Model inputs'!B966,'Model inputs'!B967,'Model inputs'!B968))</f>
        <v>34714</v>
      </c>
      <c r="T82" s="8">
        <f>IF(SUM(IF(IF('Model inputs'!B969="",0,1)="",0,IF('Model inputs'!B969="",0,1)),IF(IF('Model inputs'!B970="",0,1)="",0,IF('Model inputs'!B970="",0,1)),IF(IF('Model inputs'!B971="",0,1)="",0,IF('Model inputs'!B971="",0,1)),IF(IF('Model inputs'!B972="",0,1)="",0,IF('Model inputs'!B972="",0,1)),IF(IF('Model inputs'!B973="",0,1)="",0,IF('Model inputs'!B973="",0,1)))=0,"",SUM('Model inputs'!B969,'Model inputs'!B970,'Model inputs'!B971,'Model inputs'!B972,'Model inputs'!B973))</f>
        <v>39053.25</v>
      </c>
      <c r="U82" s="8">
        <f>IF(SUM(IF(IF('Model inputs'!B974="",0,1)="",0,IF('Model inputs'!B974="",0,1)),IF(IF('Model inputs'!B975="",0,1)="",0,IF('Model inputs'!B975="",0,1)),IF(IF('Model inputs'!B976="",0,1)="",0,IF('Model inputs'!B976="",0,1)),IF(IF('Model inputs'!B977="",0,1)="",0,IF('Model inputs'!B977="",0,1)),IF(IF('Model inputs'!B978="",0,1)="",0,IF('Model inputs'!B978="",0,1)))=0,"",SUM('Model inputs'!B974,'Model inputs'!B975,'Model inputs'!B976,'Model inputs'!B977,'Model inputs'!B978))</f>
        <v>43392.5</v>
      </c>
      <c r="V82" s="8">
        <f>IF(SUM(IF(IF('Model inputs'!B979="",0,1)="",0,IF('Model inputs'!B979="",0,1)),IF(IF('Model inputs'!B980="",0,1)="",0,IF('Model inputs'!B980="",0,1)),IF(IF('Model inputs'!B981="",0,1)="",0,IF('Model inputs'!B981="",0,1)),IF(IF('Model inputs'!B982="",0,1)="",0,IF('Model inputs'!B982="",0,1)),IF(IF('Model inputs'!B983="",0,1)="",0,IF('Model inputs'!B983="",0,1)))=0,"",SUM('Model inputs'!B979,'Model inputs'!B980,'Model inputs'!B981,'Model inputs'!B982,'Model inputs'!B983))</f>
        <v>47731.75</v>
      </c>
      <c r="W82" s="8">
        <f>IF(SUM(IF(IF('Model inputs'!B984="",0,1)="",0,IF('Model inputs'!B984="",0,1)),IF(IF('Model inputs'!B985="",0,1)="",0,IF('Model inputs'!B985="",0,1)),IF(IF('Model inputs'!B986="",0,1)="",0,IF('Model inputs'!B986="",0,1)),IF(IF('Model inputs'!B987="",0,1)="",0,IF('Model inputs'!B987="",0,1)),IF(IF('Model inputs'!B988="",0,1)="",0,IF('Model inputs'!B988="",0,1)))=0,"",SUM('Model inputs'!B984,'Model inputs'!B985,'Model inputs'!B986,'Model inputs'!B987,'Model inputs'!B988))</f>
        <v>52071</v>
      </c>
      <c r="X82" s="8">
        <f>IF(SUM(IF(IF('Model inputs'!B989="",0,1)="",0,IF('Model inputs'!B989="",0,1)),IF(IF('Model inputs'!B990="",0,1)="",0,IF('Model inputs'!B990="",0,1)),IF(IF('Model inputs'!B991="",0,1)="",0,IF('Model inputs'!B991="",0,1)),IF(IF('Model inputs'!B992="",0,1)="",0,IF('Model inputs'!B992="",0,1)),IF(IF('Model inputs'!B993="",0,1)="",0,IF('Model inputs'!B993="",0,1)))=0,"",SUM('Model inputs'!B989,'Model inputs'!B990,'Model inputs'!B991,'Model inputs'!B992,'Model inputs'!B993))</f>
        <v>52071</v>
      </c>
      <c r="Y82" s="8">
        <f>IF(SUM(IF(IF('Model inputs'!B994="",0,1)="",0,IF('Model inputs'!B994="",0,1)),IF(IF('Model inputs'!B995="",0,1)="",0,IF('Model inputs'!B995="",0,1)),IF(IF('Model inputs'!B996="",0,1)="",0,IF('Model inputs'!B996="",0,1)),IF(IF('Model inputs'!B997="",0,1)="",0,IF('Model inputs'!B997="",0,1)),IF(IF('Model inputs'!B998="",0,1)="",0,IF('Model inputs'!B998="",0,1)))=0,"",SUM('Model inputs'!B994,'Model inputs'!B995,'Model inputs'!B996,'Model inputs'!B997,'Model inputs'!B998))</f>
        <v>52071</v>
      </c>
      <c r="Z82" s="8">
        <f>IF(SUM(IF(IF('Model inputs'!B999="",0,1)="",0,IF('Model inputs'!B999="",0,1)),IF(IF('Model inputs'!B1000="",0,1)="",0,IF('Model inputs'!B1000="",0,1)),IF(IF('Model inputs'!B1001="",0,1)="",0,IF('Model inputs'!B1001="",0,1)),IF(IF('Model inputs'!B1002="",0,1)="",0,IF('Model inputs'!B1002="",0,1)),IF(IF('Model inputs'!B1003="",0,1)="",0,IF('Model inputs'!B1003="",0,1)))=0,"",SUM('Model inputs'!B999,'Model inputs'!B1000,'Model inputs'!B1001,'Model inputs'!B1002,'Model inputs'!B1003))</f>
        <v>52071</v>
      </c>
    </row>
    <row r="83">
      <c r="A83" t="inlineStr" s="14">
        <is>
          <t xml:space="preserve">Plan Contribution profit · Forecast contribution profit · Conservative · Conservative</t>
        </is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f>IF(SUM(IF(IF('Model inputs'!B1004="",0,1)="",0,IF('Model inputs'!B1004="",0,1)),IF(IF('Model inputs'!B1005="",0,1)="",0,IF('Model inputs'!B1005="",0,1)),IF(IF('Model inputs'!B1006="",0,1)="",0,IF('Model inputs'!B1006="",0,1)),IF(IF('Model inputs'!B1007="",0,1)="",0,IF('Model inputs'!B1007="",0,1)),IF(IF('Model inputs'!B1008="",0,1)="",0,IF('Model inputs'!B1008="",0,1)))=0,"",SUM('Model inputs'!B1004,'Model inputs'!B1005,'Model inputs'!B1006,'Model inputs'!B1007,'Model inputs'!B1008))</f>
        <v>0</v>
      </c>
      <c r="M83" s="8">
        <f>IF(SUM(IF(IF('Model inputs'!B1009="",0,1)="",0,IF('Model inputs'!B1009="",0,1)),IF(IF('Model inputs'!B1010="",0,1)="",0,IF('Model inputs'!B1010="",0,1)),IF(IF('Model inputs'!B1011="",0,1)="",0,IF('Model inputs'!B1011="",0,1)),IF(IF('Model inputs'!B1012="",0,1)="",0,IF('Model inputs'!B1012="",0,1)),IF(IF('Model inputs'!B1013="",0,1)="",0,IF('Model inputs'!B1013="",0,1)))=0,"",SUM('Model inputs'!B1009,'Model inputs'!B1010,'Model inputs'!B1011,'Model inputs'!B1012,'Model inputs'!B1013))</f>
        <v>0</v>
      </c>
      <c r="N83" s="8">
        <f>IF(SUM(IF(IF('Model inputs'!B1014="",0,1)="",0,IF('Model inputs'!B1014="",0,1)),IF(IF('Model inputs'!B1015="",0,1)="",0,IF('Model inputs'!B1015="",0,1)),IF(IF('Model inputs'!B1016="",0,1)="",0,IF('Model inputs'!B1016="",0,1)),IF(IF('Model inputs'!B1017="",0,1)="",0,IF('Model inputs'!B1017="",0,1)),IF(IF('Model inputs'!B1018="",0,1)="",0,IF('Model inputs'!B1018="",0,1)))=0,"",SUM('Model inputs'!B1014,'Model inputs'!B1015,'Model inputs'!B1016,'Model inputs'!B1017,'Model inputs'!B1018))</f>
        <v>2466.1</v>
      </c>
      <c r="O83" s="8">
        <f>IF(SUM(IF(IF('Model inputs'!B1019="",0,1)="",0,IF('Model inputs'!B1019="",0,1)),IF(IF('Model inputs'!B1020="",0,1)="",0,IF('Model inputs'!B1020="",0,1)),IF(IF('Model inputs'!B1021="",0,1)="",0,IF('Model inputs'!B1021="",0,1)),IF(IF('Model inputs'!B1022="",0,1)="",0,IF('Model inputs'!B1022="",0,1)),IF(IF('Model inputs'!B1023="",0,1)="",0,IF('Model inputs'!B1023="",0,1)))=0,"",SUM('Model inputs'!B1019,'Model inputs'!B1020,'Model inputs'!B1021,'Model inputs'!B1022,'Model inputs'!B1023))</f>
        <v>2466.1</v>
      </c>
      <c r="P83" s="8">
        <f>IF(SUM(IF(IF('Model inputs'!B1024="",0,1)="",0,IF('Model inputs'!B1024="",0,1)),IF(IF('Model inputs'!B1025="",0,1)="",0,IF('Model inputs'!B1025="",0,1)),IF(IF('Model inputs'!B1026="",0,1)="",0,IF('Model inputs'!B1026="",0,1)),IF(IF('Model inputs'!B1027="",0,1)="",0,IF('Model inputs'!B1027="",0,1)),IF(IF('Model inputs'!B1028="",0,1)="",0,IF('Model inputs'!B1028="",0,1)))=0,"",SUM('Model inputs'!B1024,'Model inputs'!B1025,'Model inputs'!B1026,'Model inputs'!B1027,'Model inputs'!B1028))</f>
        <v>2466.1</v>
      </c>
      <c r="Q83" s="8">
        <f>IF(SUM(IF(IF('Model inputs'!B1029="",0,1)="",0,IF('Model inputs'!B1029="",0,1)),IF(IF('Model inputs'!B1030="",0,1)="",0,IF('Model inputs'!B1030="",0,1)),IF(IF('Model inputs'!B1031="",0,1)="",0,IF('Model inputs'!B1031="",0,1)),IF(IF('Model inputs'!B1032="",0,1)="",0,IF('Model inputs'!B1032="",0,1)),IF(IF('Model inputs'!B1033="",0,1)="",0,IF('Model inputs'!B1033="",0,1)))=0,"",SUM('Model inputs'!B1029,'Model inputs'!B1030,'Model inputs'!B1031,'Model inputs'!B1032,'Model inputs'!B1033))</f>
        <v>2466.1</v>
      </c>
      <c r="R83" s="8">
        <f>IF(SUM(IF(IF('Model inputs'!B1034="",0,1)="",0,IF('Model inputs'!B1034="",0,1)),IF(IF('Model inputs'!B1035="",0,1)="",0,IF('Model inputs'!B1035="",0,1)),IF(IF('Model inputs'!B1036="",0,1)="",0,IF('Model inputs'!B1036="",0,1)),IF(IF('Model inputs'!B1037="",0,1)="",0,IF('Model inputs'!B1037="",0,1)),IF(IF('Model inputs'!B1038="",0,1)="",0,IF('Model inputs'!B1038="",0,1)))=0,"",SUM('Model inputs'!B1034,'Model inputs'!B1035,'Model inputs'!B1036,'Model inputs'!B1037,'Model inputs'!B1038))</f>
        <v>2466.1</v>
      </c>
      <c r="S83" s="8">
        <f>IF(SUM(IF(IF('Model inputs'!B1039="",0,1)="",0,IF('Model inputs'!B1039="",0,1)),IF(IF('Model inputs'!B1040="",0,1)="",0,IF('Model inputs'!B1040="",0,1)),IF(IF('Model inputs'!B1041="",0,1)="",0,IF('Model inputs'!B1041="",0,1)),IF(IF('Model inputs'!B1042="",0,1)="",0,IF('Model inputs'!B1042="",0,1)),IF(IF('Model inputs'!B1043="",0,1)="",0,IF('Model inputs'!B1043="",0,1)))=0,"",SUM('Model inputs'!B1039,'Model inputs'!B1040,'Model inputs'!B1041,'Model inputs'!B1042,'Model inputs'!B1043))</f>
        <v>2466.1</v>
      </c>
      <c r="T83" s="8">
        <f>IF(SUM(IF(IF('Model inputs'!B1044="",0,1)="",0,IF('Model inputs'!B1044="",0,1)),IF(IF('Model inputs'!B1045="",0,1)="",0,IF('Model inputs'!B1045="",0,1)),IF(IF('Model inputs'!B1046="",0,1)="",0,IF('Model inputs'!B1046="",0,1)),IF(IF('Model inputs'!B1047="",0,1)="",0,IF('Model inputs'!B1047="",0,1)),IF(IF('Model inputs'!B1048="",0,1)="",0,IF('Model inputs'!B1048="",0,1)))=0,"",SUM('Model inputs'!B1044,'Model inputs'!B1045,'Model inputs'!B1046,'Model inputs'!B1047,'Model inputs'!B1048))</f>
        <v>2466.1</v>
      </c>
      <c r="U83" s="8">
        <f>IF(SUM(IF(IF('Model inputs'!B1049="",0,1)="",0,IF('Model inputs'!B1049="",0,1)),IF(IF('Model inputs'!B1050="",0,1)="",0,IF('Model inputs'!B1050="",0,1)),IF(IF('Model inputs'!B1051="",0,1)="",0,IF('Model inputs'!B1051="",0,1)),IF(IF('Model inputs'!B1052="",0,1)="",0,IF('Model inputs'!B1052="",0,1)),IF(IF('Model inputs'!B1053="",0,1)="",0,IF('Model inputs'!B1053="",0,1)))=0,"",SUM('Model inputs'!B1049,'Model inputs'!B1050,'Model inputs'!B1051,'Model inputs'!B1052,'Model inputs'!B1053))</f>
        <v>2466.1</v>
      </c>
      <c r="V83" s="8">
        <f>IF(SUM(IF(IF('Model inputs'!B1054="",0,1)="",0,IF('Model inputs'!B1054="",0,1)),IF(IF('Model inputs'!B1055="",0,1)="",0,IF('Model inputs'!B1055="",0,1)),IF(IF('Model inputs'!B1056="",0,1)="",0,IF('Model inputs'!B1056="",0,1)),IF(IF('Model inputs'!B1057="",0,1)="",0,IF('Model inputs'!B1057="",0,1)),IF(IF('Model inputs'!B1058="",0,1)="",0,IF('Model inputs'!B1058="",0,1)))=0,"",SUM('Model inputs'!B1054,'Model inputs'!B1055,'Model inputs'!B1056,'Model inputs'!B1057,'Model inputs'!B1058))</f>
        <v>2466.1</v>
      </c>
      <c r="W83" s="8">
        <f>IF(SUM(IF(IF('Model inputs'!B1059="",0,1)="",0,IF('Model inputs'!B1059="",0,1)),IF(IF('Model inputs'!B1060="",0,1)="",0,IF('Model inputs'!B1060="",0,1)),IF(IF('Model inputs'!B1061="",0,1)="",0,IF('Model inputs'!B1061="",0,1)),IF(IF('Model inputs'!B1062="",0,1)="",0,IF('Model inputs'!B1062="",0,1)),IF(IF('Model inputs'!B1063="",0,1)="",0,IF('Model inputs'!B1063="",0,1)))=0,"",SUM('Model inputs'!B1059,'Model inputs'!B1060,'Model inputs'!B1061,'Model inputs'!B1062,'Model inputs'!B1063))</f>
        <v>2466.1</v>
      </c>
      <c r="X83" s="8">
        <f>IF(SUM(IF(IF('Model inputs'!B1064="",0,1)="",0,IF('Model inputs'!B1064="",0,1)),IF(IF('Model inputs'!B1065="",0,1)="",0,IF('Model inputs'!B1065="",0,1)),IF(IF('Model inputs'!B1066="",0,1)="",0,IF('Model inputs'!B1066="",0,1)),IF(IF('Model inputs'!B1067="",0,1)="",0,IF('Model inputs'!B1067="",0,1)),IF(IF('Model inputs'!B1068="",0,1)="",0,IF('Model inputs'!B1068="",0,1)))=0,"",SUM('Model inputs'!B1064,'Model inputs'!B1065,'Model inputs'!B1066,'Model inputs'!B1067,'Model inputs'!B1068))</f>
        <v>2466.1</v>
      </c>
      <c r="Y83" s="8">
        <f>IF(SUM(IF(IF('Model inputs'!B1069="",0,1)="",0,IF('Model inputs'!B1069="",0,1)),IF(IF('Model inputs'!B1070="",0,1)="",0,IF('Model inputs'!B1070="",0,1)),IF(IF('Model inputs'!B1071="",0,1)="",0,IF('Model inputs'!B1071="",0,1)),IF(IF('Model inputs'!B1072="",0,1)="",0,IF('Model inputs'!B1072="",0,1)),IF(IF('Model inputs'!B1073="",0,1)="",0,IF('Model inputs'!B1073="",0,1)))=0,"",SUM('Model inputs'!B1069,'Model inputs'!B1070,'Model inputs'!B1071,'Model inputs'!B1072,'Model inputs'!B1073))</f>
        <v>2466.1</v>
      </c>
      <c r="Z83" s="8">
        <f>IF(SUM(IF(IF('Model inputs'!B1074="",0,1)="",0,IF('Model inputs'!B1074="",0,1)),IF(IF('Model inputs'!B1075="",0,1)="",0,IF('Model inputs'!B1075="",0,1)),IF(IF('Model inputs'!B1076="",0,1)="",0,IF('Model inputs'!B1076="",0,1)),IF(IF('Model inputs'!B1077="",0,1)="",0,IF('Model inputs'!B1077="",0,1)),IF(IF('Model inputs'!B1078="",0,1)="",0,IF('Model inputs'!B1078="",0,1)))=0,"",SUM('Model inputs'!B1074,'Model inputs'!B1075,'Model inputs'!B1076,'Model inputs'!B1077,'Model inputs'!B1078))</f>
        <v>2466.1</v>
      </c>
    </row>
    <row r="84">
      <c r="A84" t="inlineStr" s="14">
        <is>
          <t xml:space="preserve">Projection month · Cumulative funding gap · Growth · Growth</t>
        </is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f>DATEDIF('Model inputs'!B20,DATE(2026,10,1),"M")+1</f>
        <v>1</v>
      </c>
      <c r="M84" s="9">
        <f>DATEDIF('Model inputs'!B20,DATE(2026,11,1),"M")+1</f>
        <v>2</v>
      </c>
      <c r="N84" s="9">
        <f>DATEDIF('Model inputs'!B20,DATE(2026,12,1),"M")+1</f>
        <v>3</v>
      </c>
      <c r="O84" s="9">
        <f>DATEDIF('Model inputs'!B20,DATE(2027,1,1),"M")+1</f>
        <v>4</v>
      </c>
      <c r="P84" s="9">
        <f>DATEDIF('Model inputs'!B20,DATE(2027,2,1),"M")+1</f>
        <v>5</v>
      </c>
      <c r="Q84" s="9">
        <f>DATEDIF('Model inputs'!B20,DATE(2027,3,1),"M")+1</f>
        <v>6</v>
      </c>
      <c r="R84" s="9">
        <f>DATEDIF('Model inputs'!B20,DATE(2027,4,1),"M")+1</f>
        <v>7</v>
      </c>
      <c r="S84" s="9">
        <f>DATEDIF('Model inputs'!B20,DATE(2027,5,1),"M")+1</f>
        <v>8</v>
      </c>
      <c r="T84" s="9">
        <f>DATEDIF('Model inputs'!B20,DATE(2027,6,1),"M")+1</f>
        <v>9</v>
      </c>
      <c r="U84" s="9">
        <f>DATEDIF('Model inputs'!B20,DATE(2027,7,1),"M")+1</f>
        <v>10</v>
      </c>
      <c r="V84" s="9">
        <f>DATEDIF('Model inputs'!B20,DATE(2027,8,1),"M")+1</f>
        <v>11</v>
      </c>
      <c r="W84" s="9">
        <f>DATEDIF('Model inputs'!B20,DATE(2027,9,1),"M")+1</f>
        <v>12</v>
      </c>
      <c r="X84" s="9">
        <f>DATEDIF('Model inputs'!B20,DATE(2027,10,1),"M")+1</f>
        <v>13</v>
      </c>
      <c r="Y84" s="9">
        <f>DATEDIF('Model inputs'!B20,DATE(2027,11,1),"M")+1</f>
        <v>14</v>
      </c>
      <c r="Z84" s="9">
        <f>DATEDIF('Model inputs'!B20,DATE(2027,12,1),"M")+1</f>
        <v>15</v>
      </c>
    </row>
    <row r="85">
      <c r="A85" t="inlineStr" s="14">
        <is>
          <t xml:space="preserve">Projection month · Cumulative funding gap · Conservative · Conservative</t>
        </is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f>DATEDIF('Model inputs'!B21,DATE(2026,10,1),"M")+1</f>
        <v>1</v>
      </c>
      <c r="M85" s="9">
        <f>DATEDIF('Model inputs'!B21,DATE(2026,11,1),"M")+1</f>
        <v>2</v>
      </c>
      <c r="N85" s="9">
        <f>DATEDIF('Model inputs'!B21,DATE(2026,12,1),"M")+1</f>
        <v>3</v>
      </c>
      <c r="O85" s="9">
        <f>DATEDIF('Model inputs'!B21,DATE(2027,1,1),"M")+1</f>
        <v>4</v>
      </c>
      <c r="P85" s="9">
        <f>DATEDIF('Model inputs'!B21,DATE(2027,2,1),"M")+1</f>
        <v>5</v>
      </c>
      <c r="Q85" s="9">
        <f>DATEDIF('Model inputs'!B21,DATE(2027,3,1),"M")+1</f>
        <v>6</v>
      </c>
      <c r="R85" s="9">
        <f>DATEDIF('Model inputs'!B21,DATE(2027,4,1),"M")+1</f>
        <v>7</v>
      </c>
      <c r="S85" s="9">
        <f>DATEDIF('Model inputs'!B21,DATE(2027,5,1),"M")+1</f>
        <v>8</v>
      </c>
      <c r="T85" s="9">
        <f>DATEDIF('Model inputs'!B21,DATE(2027,6,1),"M")+1</f>
        <v>9</v>
      </c>
      <c r="U85" s="9">
        <f>DATEDIF('Model inputs'!B21,DATE(2027,7,1),"M")+1</f>
        <v>10</v>
      </c>
      <c r="V85" s="9">
        <f>DATEDIF('Model inputs'!B21,DATE(2027,8,1),"M")+1</f>
        <v>11</v>
      </c>
      <c r="W85" s="9">
        <f>DATEDIF('Model inputs'!B21,DATE(2027,9,1),"M")+1</f>
        <v>12</v>
      </c>
      <c r="X85" s="9">
        <f>DATEDIF('Model inputs'!B21,DATE(2027,10,1),"M")+1</f>
        <v>13</v>
      </c>
      <c r="Y85" s="9">
        <f>DATEDIF('Model inputs'!B21,DATE(2027,11,1),"M")+1</f>
        <v>14</v>
      </c>
      <c r="Z85" s="9">
        <f>DATEDIF('Model inputs'!B21,DATE(2027,12,1),"M")+1</f>
        <v>15</v>
      </c>
    </row>
    <row r="86">
      <c r="A86" t="inlineStr" s="14">
        <is>
          <t xml:space="preserve">Selected pricing model · Plan Audits delivered · Growth · Growth</t>
        </is>
      </c>
      <c r="AA86" t="str" s="9">
        <f>"Annual deal-team"</f>
        <v>Annual deal-team</v>
      </c>
    </row>
    <row r="87">
      <c r="A87" t="inlineStr" s="14">
        <is>
          <t xml:space="preserve">Selected pricing model · Plan Audits delivered · Conservative · Conservative</t>
        </is>
      </c>
      <c r="AA87" t="str" s="9">
        <f>"Per audit — low"</f>
        <v>Per audit — low</v>
      </c>
    </row>
    <row r="88">
      <c r="A88" t="inlineStr" s="14">
        <is>
          <t xml:space="preserve">Account support cost</t>
        </is>
      </c>
      <c r="C88" s="6">
        <f>SUM('Model inputs'!C89,'Model inputs'!C90,'Model inputs'!C91,'Model inputs'!C92,'Model inputs'!C93)</f>
        <v>0</v>
      </c>
      <c r="D88" s="6">
        <f>SUM('Model inputs'!D89,'Model inputs'!D90,'Model inputs'!D91,'Model inputs'!D92,'Model inputs'!D93)</f>
        <v>0</v>
      </c>
      <c r="E88" s="6">
        <f>SUM('Model inputs'!E89,'Model inputs'!E90,'Model inputs'!E91,'Model inputs'!E92,'Model inputs'!E93)</f>
        <v>0</v>
      </c>
      <c r="F88" s="6">
        <f>SUM('Model inputs'!F89,'Model inputs'!F90,'Model inputs'!F91,'Model inputs'!F92,'Model inputs'!F93)</f>
        <v>0</v>
      </c>
      <c r="G88" s="6">
        <f>SUM('Model inputs'!G89,'Model inputs'!G90,'Model inputs'!G91,'Model inputs'!G92,'Model inputs'!G93)</f>
        <v>0</v>
      </c>
      <c r="H88" s="6">
        <f>SUM('Model inputs'!H89,'Model inputs'!H90,'Model inputs'!H91,'Model inputs'!H92,'Model inputs'!H93)</f>
        <v>0</v>
      </c>
      <c r="I88" s="6">
        <f>SUM('Model inputs'!I89,'Model inputs'!I90,'Model inputs'!I91,'Model inputs'!I92,'Model inputs'!I93)</f>
        <v>0</v>
      </c>
      <c r="J88" s="6">
        <f>SUM('Model inputs'!J89,'Model inputs'!J90,'Model inputs'!J91,'Model inputs'!J92,'Model inputs'!J93)</f>
        <v>0</v>
      </c>
      <c r="K88" s="6">
        <f>SUM('Model inputs'!K89,'Model inputs'!K90,'Model inputs'!K91,'Model inputs'!K92,'Model inputs'!K93)</f>
        <v>0</v>
      </c>
      <c r="L88" t="str" s="6">
        <f>""</f>
        <v/>
      </c>
      <c r="M88" t="str" s="6">
        <f>""</f>
        <v/>
      </c>
      <c r="N88" t="str" s="6">
        <f>""</f>
        <v/>
      </c>
      <c r="O88" t="str" s="6">
        <f>""</f>
        <v/>
      </c>
      <c r="P88" t="str" s="6">
        <f>""</f>
        <v/>
      </c>
      <c r="Q88" t="str" s="6">
        <f>""</f>
        <v/>
      </c>
      <c r="R88" t="str" s="6">
        <f>""</f>
        <v/>
      </c>
      <c r="S88" t="str" s="6">
        <f>""</f>
        <v/>
      </c>
      <c r="T88" t="str" s="6">
        <f>""</f>
        <v/>
      </c>
      <c r="U88" t="str" s="6">
        <f>""</f>
        <v/>
      </c>
      <c r="V88" t="str" s="6">
        <f>""</f>
        <v/>
      </c>
      <c r="W88" t="str" s="6">
        <f>""</f>
        <v/>
      </c>
      <c r="X88" t="str" s="6">
        <f>""</f>
        <v/>
      </c>
      <c r="Y88" t="str" s="6">
        <f>""</f>
        <v/>
      </c>
      <c r="Z88" t="str" s="6">
        <f>""</f>
        <v/>
      </c>
    </row>
    <row r="89" outlineLevel="1">
      <c r="A89" t="inlineStr" s="16">
        <is>
          <t xml:space="preserve">Account support cost &gt; Annual deal-team</t>
        </is>
      </c>
      <c r="C89" s="8">
        <f>0</f>
        <v>0</v>
      </c>
      <c r="D89" s="8">
        <f>0</f>
        <v>0</v>
      </c>
      <c r="E89" s="8">
        <f>0</f>
        <v>0</v>
      </c>
      <c r="F89" s="8">
        <f>0</f>
        <v>0</v>
      </c>
      <c r="G89" s="8">
        <f>0</f>
        <v>0</v>
      </c>
      <c r="H89" s="8">
        <f>0</f>
        <v>0</v>
      </c>
      <c r="I89" s="8">
        <f>0</f>
        <v>0</v>
      </c>
      <c r="J89" s="8">
        <f>0</f>
        <v>0</v>
      </c>
      <c r="K89" s="8">
        <f>0</f>
        <v>0</v>
      </c>
      <c r="L89" s="8">
        <f>'Model inputs'!L154*'Model inputs'!AA266*'Model inputs'!AA264</f>
        <v>37.5</v>
      </c>
      <c r="M89" s="8">
        <f>'Model inputs'!M154*'Model inputs'!AA266*'Model inputs'!AA264</f>
        <v>75</v>
      </c>
      <c r="N89" s="8">
        <f>'Model inputs'!N154*'Model inputs'!AA266*'Model inputs'!AA264</f>
        <v>112.5</v>
      </c>
      <c r="O89" s="8">
        <f>'Model inputs'!O154*'Model inputs'!AA266*'Model inputs'!AA264</f>
        <v>150</v>
      </c>
      <c r="P89" s="8">
        <f>'Model inputs'!P154*'Model inputs'!AA266*'Model inputs'!AA264</f>
        <v>187.5</v>
      </c>
      <c r="Q89" s="8">
        <f>'Model inputs'!Q154*'Model inputs'!AA266*'Model inputs'!AA264</f>
        <v>225</v>
      </c>
      <c r="R89" s="8">
        <f>'Model inputs'!R154*'Model inputs'!AA266*'Model inputs'!AA264</f>
        <v>262.5</v>
      </c>
      <c r="S89" s="8">
        <f>'Model inputs'!S154*'Model inputs'!AA266*'Model inputs'!AA264</f>
        <v>300</v>
      </c>
      <c r="T89" s="8">
        <f>'Model inputs'!T154*'Model inputs'!AA266*'Model inputs'!AA264</f>
        <v>337.5</v>
      </c>
      <c r="U89" s="8">
        <f>'Model inputs'!U154*'Model inputs'!AA266*'Model inputs'!AA264</f>
        <v>375</v>
      </c>
      <c r="V89" s="8">
        <f>'Model inputs'!V154*'Model inputs'!AA266*'Model inputs'!AA264</f>
        <v>412.5</v>
      </c>
      <c r="W89" s="8">
        <f>'Model inputs'!W154*'Model inputs'!AA266*'Model inputs'!AA264</f>
        <v>450</v>
      </c>
      <c r="X89" s="8">
        <f>'Model inputs'!X154*'Model inputs'!AA266*'Model inputs'!AA264</f>
        <v>450</v>
      </c>
      <c r="Y89" s="8">
        <f>'Model inputs'!Y154*'Model inputs'!AA266*'Model inputs'!AA264</f>
        <v>450</v>
      </c>
      <c r="Z89" s="8">
        <f>'Model inputs'!Z154*'Model inputs'!AA266*'Model inputs'!AA264</f>
        <v>450</v>
      </c>
    </row>
    <row r="90" outlineLevel="1">
      <c r="A90" t="inlineStr" s="16">
        <is>
          <t xml:space="preserve">Account support cost &gt; Hybrid</t>
        </is>
      </c>
      <c r="C90" s="8">
        <f>0</f>
        <v>0</v>
      </c>
      <c r="D90" s="8">
        <f>0</f>
        <v>0</v>
      </c>
      <c r="E90" s="8">
        <f>0</f>
        <v>0</v>
      </c>
      <c r="F90" s="8">
        <f>0</f>
        <v>0</v>
      </c>
      <c r="G90" s="8">
        <f>0</f>
        <v>0</v>
      </c>
      <c r="H90" s="8">
        <f>0</f>
        <v>0</v>
      </c>
      <c r="I90" s="8">
        <f>0</f>
        <v>0</v>
      </c>
      <c r="J90" s="8">
        <f>0</f>
        <v>0</v>
      </c>
      <c r="K90" s="8">
        <f>0</f>
        <v>0</v>
      </c>
      <c r="L90" s="8">
        <f>'Model inputs'!L154*'Model inputs'!AA266*'Model inputs'!AA264</f>
        <v>37.5</v>
      </c>
      <c r="M90" s="8">
        <f>'Model inputs'!M154*'Model inputs'!AA266*'Model inputs'!AA264</f>
        <v>75</v>
      </c>
      <c r="N90" s="8">
        <f>'Model inputs'!N154*'Model inputs'!AA266*'Model inputs'!AA264</f>
        <v>112.5</v>
      </c>
      <c r="O90" s="8">
        <f>'Model inputs'!O154*'Model inputs'!AA266*'Model inputs'!AA264</f>
        <v>150</v>
      </c>
      <c r="P90" s="8">
        <f>'Model inputs'!P154*'Model inputs'!AA266*'Model inputs'!AA264</f>
        <v>187.5</v>
      </c>
      <c r="Q90" s="8">
        <f>'Model inputs'!Q154*'Model inputs'!AA266*'Model inputs'!AA264</f>
        <v>225</v>
      </c>
      <c r="R90" s="8">
        <f>'Model inputs'!R154*'Model inputs'!AA266*'Model inputs'!AA264</f>
        <v>262.5</v>
      </c>
      <c r="S90" s="8">
        <f>'Model inputs'!S154*'Model inputs'!AA266*'Model inputs'!AA264</f>
        <v>300</v>
      </c>
      <c r="T90" s="8">
        <f>'Model inputs'!T154*'Model inputs'!AA266*'Model inputs'!AA264</f>
        <v>337.5</v>
      </c>
      <c r="U90" s="8">
        <f>'Model inputs'!U154*'Model inputs'!AA266*'Model inputs'!AA264</f>
        <v>375</v>
      </c>
      <c r="V90" s="8">
        <f>'Model inputs'!V154*'Model inputs'!AA266*'Model inputs'!AA264</f>
        <v>412.5</v>
      </c>
      <c r="W90" s="8">
        <f>'Model inputs'!W154*'Model inputs'!AA266*'Model inputs'!AA264</f>
        <v>450</v>
      </c>
      <c r="X90" s="8">
        <f>'Model inputs'!X154*'Model inputs'!AA266*'Model inputs'!AA264</f>
        <v>450</v>
      </c>
      <c r="Y90" s="8">
        <f>'Model inputs'!Y154*'Model inputs'!AA266*'Model inputs'!AA264</f>
        <v>450</v>
      </c>
      <c r="Z90" s="8">
        <f>'Model inputs'!Z154*'Model inputs'!AA266*'Model inputs'!AA264</f>
        <v>450</v>
      </c>
    </row>
    <row r="91" outlineLevel="1">
      <c r="A91" t="inlineStr" s="16">
        <is>
          <t xml:space="preserve">Account support cost &gt; Per audit — base</t>
        </is>
      </c>
      <c r="C91" s="8">
        <f>0</f>
        <v>0</v>
      </c>
      <c r="D91" s="8">
        <f>0</f>
        <v>0</v>
      </c>
      <c r="E91" s="8">
        <f>0</f>
        <v>0</v>
      </c>
      <c r="F91" s="8">
        <f>0</f>
        <v>0</v>
      </c>
      <c r="G91" s="8">
        <f>0</f>
        <v>0</v>
      </c>
      <c r="H91" s="8">
        <f>0</f>
        <v>0</v>
      </c>
      <c r="I91" s="8">
        <f>0</f>
        <v>0</v>
      </c>
      <c r="J91" s="8">
        <f>0</f>
        <v>0</v>
      </c>
      <c r="K91" s="8">
        <f>0</f>
        <v>0</v>
      </c>
      <c r="L91" s="8">
        <f>'Model inputs'!L154*'Model inputs'!AA266*'Model inputs'!AA264</f>
        <v>37.5</v>
      </c>
      <c r="M91" s="8">
        <f>'Model inputs'!M154*'Model inputs'!AA266*'Model inputs'!AA264</f>
        <v>75</v>
      </c>
      <c r="N91" s="8">
        <f>'Model inputs'!N154*'Model inputs'!AA266*'Model inputs'!AA264</f>
        <v>112.5</v>
      </c>
      <c r="O91" s="8">
        <f>'Model inputs'!O154*'Model inputs'!AA266*'Model inputs'!AA264</f>
        <v>150</v>
      </c>
      <c r="P91" s="8">
        <f>'Model inputs'!P154*'Model inputs'!AA266*'Model inputs'!AA264</f>
        <v>187.5</v>
      </c>
      <c r="Q91" s="8">
        <f>'Model inputs'!Q154*'Model inputs'!AA266*'Model inputs'!AA264</f>
        <v>225</v>
      </c>
      <c r="R91" s="8">
        <f>'Model inputs'!R154*'Model inputs'!AA266*'Model inputs'!AA264</f>
        <v>262.5</v>
      </c>
      <c r="S91" s="8">
        <f>'Model inputs'!S154*'Model inputs'!AA266*'Model inputs'!AA264</f>
        <v>300</v>
      </c>
      <c r="T91" s="8">
        <f>'Model inputs'!T154*'Model inputs'!AA266*'Model inputs'!AA264</f>
        <v>337.5</v>
      </c>
      <c r="U91" s="8">
        <f>'Model inputs'!U154*'Model inputs'!AA266*'Model inputs'!AA264</f>
        <v>375</v>
      </c>
      <c r="V91" s="8">
        <f>'Model inputs'!V154*'Model inputs'!AA266*'Model inputs'!AA264</f>
        <v>412.5</v>
      </c>
      <c r="W91" s="8">
        <f>'Model inputs'!W154*'Model inputs'!AA266*'Model inputs'!AA264</f>
        <v>450</v>
      </c>
      <c r="X91" s="8">
        <f>'Model inputs'!X154*'Model inputs'!AA266*'Model inputs'!AA264</f>
        <v>450</v>
      </c>
      <c r="Y91" s="8">
        <f>'Model inputs'!Y154*'Model inputs'!AA266*'Model inputs'!AA264</f>
        <v>450</v>
      </c>
      <c r="Z91" s="8">
        <f>'Model inputs'!Z154*'Model inputs'!AA266*'Model inputs'!AA264</f>
        <v>450</v>
      </c>
    </row>
    <row r="92" outlineLevel="1">
      <c r="A92" t="inlineStr" s="16">
        <is>
          <t xml:space="preserve">Account support cost &gt; Per audit — high</t>
        </is>
      </c>
      <c r="C92" s="8">
        <f>0</f>
        <v>0</v>
      </c>
      <c r="D92" s="8">
        <f>0</f>
        <v>0</v>
      </c>
      <c r="E92" s="8">
        <f>0</f>
        <v>0</v>
      </c>
      <c r="F92" s="8">
        <f>0</f>
        <v>0</v>
      </c>
      <c r="G92" s="8">
        <f>0</f>
        <v>0</v>
      </c>
      <c r="H92" s="8">
        <f>0</f>
        <v>0</v>
      </c>
      <c r="I92" s="8">
        <f>0</f>
        <v>0</v>
      </c>
      <c r="J92" s="8">
        <f>0</f>
        <v>0</v>
      </c>
      <c r="K92" s="8">
        <f>0</f>
        <v>0</v>
      </c>
      <c r="L92" s="8">
        <f>'Model inputs'!L154*'Model inputs'!AA266*'Model inputs'!AA264</f>
        <v>37.5</v>
      </c>
      <c r="M92" s="8">
        <f>'Model inputs'!M154*'Model inputs'!AA266*'Model inputs'!AA264</f>
        <v>75</v>
      </c>
      <c r="N92" s="8">
        <f>'Model inputs'!N154*'Model inputs'!AA266*'Model inputs'!AA264</f>
        <v>112.5</v>
      </c>
      <c r="O92" s="8">
        <f>'Model inputs'!O154*'Model inputs'!AA266*'Model inputs'!AA264</f>
        <v>150</v>
      </c>
      <c r="P92" s="8">
        <f>'Model inputs'!P154*'Model inputs'!AA266*'Model inputs'!AA264</f>
        <v>187.5</v>
      </c>
      <c r="Q92" s="8">
        <f>'Model inputs'!Q154*'Model inputs'!AA266*'Model inputs'!AA264</f>
        <v>225</v>
      </c>
      <c r="R92" s="8">
        <f>'Model inputs'!R154*'Model inputs'!AA266*'Model inputs'!AA264</f>
        <v>262.5</v>
      </c>
      <c r="S92" s="8">
        <f>'Model inputs'!S154*'Model inputs'!AA266*'Model inputs'!AA264</f>
        <v>300</v>
      </c>
      <c r="T92" s="8">
        <f>'Model inputs'!T154*'Model inputs'!AA266*'Model inputs'!AA264</f>
        <v>337.5</v>
      </c>
      <c r="U92" s="8">
        <f>'Model inputs'!U154*'Model inputs'!AA266*'Model inputs'!AA264</f>
        <v>375</v>
      </c>
      <c r="V92" s="8">
        <f>'Model inputs'!V154*'Model inputs'!AA266*'Model inputs'!AA264</f>
        <v>412.5</v>
      </c>
      <c r="W92" s="8">
        <f>'Model inputs'!W154*'Model inputs'!AA266*'Model inputs'!AA264</f>
        <v>450</v>
      </c>
      <c r="X92" s="8">
        <f>'Model inputs'!X154*'Model inputs'!AA266*'Model inputs'!AA264</f>
        <v>450</v>
      </c>
      <c r="Y92" s="8">
        <f>'Model inputs'!Y154*'Model inputs'!AA266*'Model inputs'!AA264</f>
        <v>450</v>
      </c>
      <c r="Z92" s="8">
        <f>'Model inputs'!Z154*'Model inputs'!AA266*'Model inputs'!AA264</f>
        <v>450</v>
      </c>
    </row>
    <row r="93" outlineLevel="1">
      <c r="A93" t="inlineStr" s="16">
        <is>
          <t xml:space="preserve">Account support cost &gt; Per audit — low</t>
        </is>
      </c>
      <c r="C93" s="8">
        <f>0</f>
        <v>0</v>
      </c>
      <c r="D93" s="8">
        <f>0</f>
        <v>0</v>
      </c>
      <c r="E93" s="8">
        <f>0</f>
        <v>0</v>
      </c>
      <c r="F93" s="8">
        <f>0</f>
        <v>0</v>
      </c>
      <c r="G93" s="8">
        <f>0</f>
        <v>0</v>
      </c>
      <c r="H93" s="8">
        <f>0</f>
        <v>0</v>
      </c>
      <c r="I93" s="8">
        <f>0</f>
        <v>0</v>
      </c>
      <c r="J93" s="8">
        <f>0</f>
        <v>0</v>
      </c>
      <c r="K93" s="8">
        <f>0</f>
        <v>0</v>
      </c>
      <c r="L93" s="8">
        <f>'Model inputs'!L154*'Model inputs'!AA266*'Model inputs'!AA264</f>
        <v>37.5</v>
      </c>
      <c r="M93" s="8">
        <f>'Model inputs'!M154*'Model inputs'!AA266*'Model inputs'!AA264</f>
        <v>75</v>
      </c>
      <c r="N93" s="8">
        <f>'Model inputs'!N154*'Model inputs'!AA266*'Model inputs'!AA264</f>
        <v>112.5</v>
      </c>
      <c r="O93" s="8">
        <f>'Model inputs'!O154*'Model inputs'!AA266*'Model inputs'!AA264</f>
        <v>150</v>
      </c>
      <c r="P93" s="8">
        <f>'Model inputs'!P154*'Model inputs'!AA266*'Model inputs'!AA264</f>
        <v>187.5</v>
      </c>
      <c r="Q93" s="8">
        <f>'Model inputs'!Q154*'Model inputs'!AA266*'Model inputs'!AA264</f>
        <v>225</v>
      </c>
      <c r="R93" s="8">
        <f>'Model inputs'!R154*'Model inputs'!AA266*'Model inputs'!AA264</f>
        <v>262.5</v>
      </c>
      <c r="S93" s="8">
        <f>'Model inputs'!S154*'Model inputs'!AA266*'Model inputs'!AA264</f>
        <v>300</v>
      </c>
      <c r="T93" s="8">
        <f>'Model inputs'!T154*'Model inputs'!AA266*'Model inputs'!AA264</f>
        <v>337.5</v>
      </c>
      <c r="U93" s="8">
        <f>'Model inputs'!U154*'Model inputs'!AA266*'Model inputs'!AA264</f>
        <v>375</v>
      </c>
      <c r="V93" s="8">
        <f>'Model inputs'!V154*'Model inputs'!AA266*'Model inputs'!AA264</f>
        <v>412.5</v>
      </c>
      <c r="W93" s="8">
        <f>'Model inputs'!W154*'Model inputs'!AA266*'Model inputs'!AA264</f>
        <v>450</v>
      </c>
      <c r="X93" s="8">
        <f>'Model inputs'!X154*'Model inputs'!AA266*'Model inputs'!AA264</f>
        <v>450</v>
      </c>
      <c r="Y93" s="8">
        <f>'Model inputs'!Y154*'Model inputs'!AA266*'Model inputs'!AA264</f>
        <v>450</v>
      </c>
      <c r="Z93" s="8">
        <f>'Model inputs'!Z154*'Model inputs'!AA266*'Model inputs'!AA264</f>
        <v>450</v>
      </c>
    </row>
    <row r="94">
      <c r="A94" t="inlineStr" s="14">
        <is>
          <t xml:space="preserve">Account support cost</t>
        </is>
      </c>
      <c r="C94" s="6">
        <f>SUM('Model inputs'!C95,'Model inputs'!C96,'Model inputs'!C97,'Model inputs'!C98,'Model inputs'!C99)</f>
        <v>0</v>
      </c>
      <c r="D94" s="6">
        <f>SUM('Model inputs'!D95,'Model inputs'!D96,'Model inputs'!D97,'Model inputs'!D98,'Model inputs'!D99)</f>
        <v>0</v>
      </c>
      <c r="E94" s="6">
        <f>SUM('Model inputs'!E95,'Model inputs'!E96,'Model inputs'!E97,'Model inputs'!E98,'Model inputs'!E99)</f>
        <v>0</v>
      </c>
      <c r="F94" s="6">
        <f>SUM('Model inputs'!F95,'Model inputs'!F96,'Model inputs'!F97,'Model inputs'!F98,'Model inputs'!F99)</f>
        <v>0</v>
      </c>
      <c r="G94" s="6">
        <f>SUM('Model inputs'!G95,'Model inputs'!G96,'Model inputs'!G97,'Model inputs'!G98,'Model inputs'!G99)</f>
        <v>0</v>
      </c>
      <c r="H94" s="6">
        <f>SUM('Model inputs'!H95,'Model inputs'!H96,'Model inputs'!H97,'Model inputs'!H98,'Model inputs'!H99)</f>
        <v>0</v>
      </c>
      <c r="I94" s="6">
        <f>SUM('Model inputs'!I95,'Model inputs'!I96,'Model inputs'!I97,'Model inputs'!I98,'Model inputs'!I99)</f>
        <v>0</v>
      </c>
      <c r="J94" s="6">
        <f>SUM('Model inputs'!J95,'Model inputs'!J96,'Model inputs'!J97,'Model inputs'!J98,'Model inputs'!J99)</f>
        <v>0</v>
      </c>
      <c r="K94" s="6">
        <f>SUM('Model inputs'!K95,'Model inputs'!K96,'Model inputs'!K97,'Model inputs'!K98,'Model inputs'!K99)</f>
        <v>0</v>
      </c>
      <c r="L94" t="str" s="6">
        <f>""</f>
        <v/>
      </c>
      <c r="M94" t="str" s="6">
        <f>""</f>
        <v/>
      </c>
      <c r="N94" t="str" s="6">
        <f>""</f>
        <v/>
      </c>
      <c r="O94" t="str" s="6">
        <f>""</f>
        <v/>
      </c>
      <c r="P94" t="str" s="6">
        <f>""</f>
        <v/>
      </c>
      <c r="Q94" t="str" s="6">
        <f>""</f>
        <v/>
      </c>
      <c r="R94" t="str" s="6">
        <f>""</f>
        <v/>
      </c>
      <c r="S94" t="str" s="6">
        <f>""</f>
        <v/>
      </c>
      <c r="T94" t="str" s="6">
        <f>""</f>
        <v/>
      </c>
      <c r="U94" t="str" s="6">
        <f>""</f>
        <v/>
      </c>
      <c r="V94" t="str" s="6">
        <f>""</f>
        <v/>
      </c>
      <c r="W94" t="str" s="6">
        <f>""</f>
        <v/>
      </c>
      <c r="X94" t="str" s="6">
        <f>""</f>
        <v/>
      </c>
      <c r="Y94" t="str" s="6">
        <f>""</f>
        <v/>
      </c>
      <c r="Z94" t="str" s="6">
        <f>""</f>
        <v/>
      </c>
    </row>
    <row r="95" outlineLevel="1">
      <c r="A95" t="inlineStr" s="16">
        <is>
          <t xml:space="preserve">Account support cost &gt; Annual deal-team</t>
        </is>
      </c>
      <c r="C95" s="8">
        <f>0</f>
        <v>0</v>
      </c>
      <c r="D95" s="8">
        <f>0</f>
        <v>0</v>
      </c>
      <c r="E95" s="8">
        <f>0</f>
        <v>0</v>
      </c>
      <c r="F95" s="8">
        <f>0</f>
        <v>0</v>
      </c>
      <c r="G95" s="8">
        <f>0</f>
        <v>0</v>
      </c>
      <c r="H95" s="8">
        <f>0</f>
        <v>0</v>
      </c>
      <c r="I95" s="8">
        <f>0</f>
        <v>0</v>
      </c>
      <c r="J95" s="8">
        <f>0</f>
        <v>0</v>
      </c>
      <c r="K95" s="8">
        <f>0</f>
        <v>0</v>
      </c>
      <c r="L95" s="8">
        <f>'Model inputs'!L155*'Model inputs'!AA267*'Model inputs'!AA265</f>
        <v>0</v>
      </c>
      <c r="M95" s="8">
        <f>'Model inputs'!M155*'Model inputs'!AA267*'Model inputs'!AA265</f>
        <v>0</v>
      </c>
      <c r="N95" s="8">
        <f>'Model inputs'!N155*'Model inputs'!AA267*'Model inputs'!AA265</f>
        <v>60</v>
      </c>
      <c r="O95" s="8">
        <f>'Model inputs'!O155*'Model inputs'!AA267*'Model inputs'!AA265</f>
        <v>60</v>
      </c>
      <c r="P95" s="8">
        <f>'Model inputs'!P155*'Model inputs'!AA267*'Model inputs'!AA265</f>
        <v>60</v>
      </c>
      <c r="Q95" s="8">
        <f>'Model inputs'!Q155*'Model inputs'!AA267*'Model inputs'!AA265</f>
        <v>60</v>
      </c>
      <c r="R95" s="8">
        <f>'Model inputs'!R155*'Model inputs'!AA267*'Model inputs'!AA265</f>
        <v>60</v>
      </c>
      <c r="S95" s="8">
        <f>'Model inputs'!S155*'Model inputs'!AA267*'Model inputs'!AA265</f>
        <v>60</v>
      </c>
      <c r="T95" s="8">
        <f>'Model inputs'!T155*'Model inputs'!AA267*'Model inputs'!AA265</f>
        <v>60</v>
      </c>
      <c r="U95" s="8">
        <f>'Model inputs'!U155*'Model inputs'!AA267*'Model inputs'!AA265</f>
        <v>60</v>
      </c>
      <c r="V95" s="8">
        <f>'Model inputs'!V155*'Model inputs'!AA267*'Model inputs'!AA265</f>
        <v>60</v>
      </c>
      <c r="W95" s="8">
        <f>'Model inputs'!W155*'Model inputs'!AA267*'Model inputs'!AA265</f>
        <v>60</v>
      </c>
      <c r="X95" s="8">
        <f>'Model inputs'!X155*'Model inputs'!AA267*'Model inputs'!AA265</f>
        <v>60</v>
      </c>
      <c r="Y95" s="8">
        <f>'Model inputs'!Y155*'Model inputs'!AA267*'Model inputs'!AA265</f>
        <v>60</v>
      </c>
      <c r="Z95" s="8">
        <f>'Model inputs'!Z155*'Model inputs'!AA267*'Model inputs'!AA265</f>
        <v>60</v>
      </c>
    </row>
    <row r="96" outlineLevel="1">
      <c r="A96" t="inlineStr" s="16">
        <is>
          <t xml:space="preserve">Account support cost &gt; Hybrid</t>
        </is>
      </c>
      <c r="C96" s="8">
        <f>0</f>
        <v>0</v>
      </c>
      <c r="D96" s="8">
        <f>0</f>
        <v>0</v>
      </c>
      <c r="E96" s="8">
        <f>0</f>
        <v>0</v>
      </c>
      <c r="F96" s="8">
        <f>0</f>
        <v>0</v>
      </c>
      <c r="G96" s="8">
        <f>0</f>
        <v>0</v>
      </c>
      <c r="H96" s="8">
        <f>0</f>
        <v>0</v>
      </c>
      <c r="I96" s="8">
        <f>0</f>
        <v>0</v>
      </c>
      <c r="J96" s="8">
        <f>0</f>
        <v>0</v>
      </c>
      <c r="K96" s="8">
        <f>0</f>
        <v>0</v>
      </c>
      <c r="L96" s="8">
        <f>'Model inputs'!L155*'Model inputs'!AA267*'Model inputs'!AA265</f>
        <v>0</v>
      </c>
      <c r="M96" s="8">
        <f>'Model inputs'!M155*'Model inputs'!AA267*'Model inputs'!AA265</f>
        <v>0</v>
      </c>
      <c r="N96" s="8">
        <f>'Model inputs'!N155*'Model inputs'!AA267*'Model inputs'!AA265</f>
        <v>60</v>
      </c>
      <c r="O96" s="8">
        <f>'Model inputs'!O155*'Model inputs'!AA267*'Model inputs'!AA265</f>
        <v>60</v>
      </c>
      <c r="P96" s="8">
        <f>'Model inputs'!P155*'Model inputs'!AA267*'Model inputs'!AA265</f>
        <v>60</v>
      </c>
      <c r="Q96" s="8">
        <f>'Model inputs'!Q155*'Model inputs'!AA267*'Model inputs'!AA265</f>
        <v>60</v>
      </c>
      <c r="R96" s="8">
        <f>'Model inputs'!R155*'Model inputs'!AA267*'Model inputs'!AA265</f>
        <v>60</v>
      </c>
      <c r="S96" s="8">
        <f>'Model inputs'!S155*'Model inputs'!AA267*'Model inputs'!AA265</f>
        <v>60</v>
      </c>
      <c r="T96" s="8">
        <f>'Model inputs'!T155*'Model inputs'!AA267*'Model inputs'!AA265</f>
        <v>60</v>
      </c>
      <c r="U96" s="8">
        <f>'Model inputs'!U155*'Model inputs'!AA267*'Model inputs'!AA265</f>
        <v>60</v>
      </c>
      <c r="V96" s="8">
        <f>'Model inputs'!V155*'Model inputs'!AA267*'Model inputs'!AA265</f>
        <v>60</v>
      </c>
      <c r="W96" s="8">
        <f>'Model inputs'!W155*'Model inputs'!AA267*'Model inputs'!AA265</f>
        <v>60</v>
      </c>
      <c r="X96" s="8">
        <f>'Model inputs'!X155*'Model inputs'!AA267*'Model inputs'!AA265</f>
        <v>60</v>
      </c>
      <c r="Y96" s="8">
        <f>'Model inputs'!Y155*'Model inputs'!AA267*'Model inputs'!AA265</f>
        <v>60</v>
      </c>
      <c r="Z96" s="8">
        <f>'Model inputs'!Z155*'Model inputs'!AA267*'Model inputs'!AA265</f>
        <v>60</v>
      </c>
    </row>
    <row r="97" outlineLevel="1">
      <c r="A97" t="inlineStr" s="16">
        <is>
          <t xml:space="preserve">Account support cost &gt; Per audit — base</t>
        </is>
      </c>
      <c r="C97" s="8">
        <f>0</f>
        <v>0</v>
      </c>
      <c r="D97" s="8">
        <f>0</f>
        <v>0</v>
      </c>
      <c r="E97" s="8">
        <f>0</f>
        <v>0</v>
      </c>
      <c r="F97" s="8">
        <f>0</f>
        <v>0</v>
      </c>
      <c r="G97" s="8">
        <f>0</f>
        <v>0</v>
      </c>
      <c r="H97" s="8">
        <f>0</f>
        <v>0</v>
      </c>
      <c r="I97" s="8">
        <f>0</f>
        <v>0</v>
      </c>
      <c r="J97" s="8">
        <f>0</f>
        <v>0</v>
      </c>
      <c r="K97" s="8">
        <f>0</f>
        <v>0</v>
      </c>
      <c r="L97" s="8">
        <f>'Model inputs'!L155*'Model inputs'!AA267*'Model inputs'!AA265</f>
        <v>0</v>
      </c>
      <c r="M97" s="8">
        <f>'Model inputs'!M155*'Model inputs'!AA267*'Model inputs'!AA265</f>
        <v>0</v>
      </c>
      <c r="N97" s="8">
        <f>'Model inputs'!N155*'Model inputs'!AA267*'Model inputs'!AA265</f>
        <v>60</v>
      </c>
      <c r="O97" s="8">
        <f>'Model inputs'!O155*'Model inputs'!AA267*'Model inputs'!AA265</f>
        <v>60</v>
      </c>
      <c r="P97" s="8">
        <f>'Model inputs'!P155*'Model inputs'!AA267*'Model inputs'!AA265</f>
        <v>60</v>
      </c>
      <c r="Q97" s="8">
        <f>'Model inputs'!Q155*'Model inputs'!AA267*'Model inputs'!AA265</f>
        <v>60</v>
      </c>
      <c r="R97" s="8">
        <f>'Model inputs'!R155*'Model inputs'!AA267*'Model inputs'!AA265</f>
        <v>60</v>
      </c>
      <c r="S97" s="8">
        <f>'Model inputs'!S155*'Model inputs'!AA267*'Model inputs'!AA265</f>
        <v>60</v>
      </c>
      <c r="T97" s="8">
        <f>'Model inputs'!T155*'Model inputs'!AA267*'Model inputs'!AA265</f>
        <v>60</v>
      </c>
      <c r="U97" s="8">
        <f>'Model inputs'!U155*'Model inputs'!AA267*'Model inputs'!AA265</f>
        <v>60</v>
      </c>
      <c r="V97" s="8">
        <f>'Model inputs'!V155*'Model inputs'!AA267*'Model inputs'!AA265</f>
        <v>60</v>
      </c>
      <c r="W97" s="8">
        <f>'Model inputs'!W155*'Model inputs'!AA267*'Model inputs'!AA265</f>
        <v>60</v>
      </c>
      <c r="X97" s="8">
        <f>'Model inputs'!X155*'Model inputs'!AA267*'Model inputs'!AA265</f>
        <v>60</v>
      </c>
      <c r="Y97" s="8">
        <f>'Model inputs'!Y155*'Model inputs'!AA267*'Model inputs'!AA265</f>
        <v>60</v>
      </c>
      <c r="Z97" s="8">
        <f>'Model inputs'!Z155*'Model inputs'!AA267*'Model inputs'!AA265</f>
        <v>60</v>
      </c>
    </row>
    <row r="98" outlineLevel="1">
      <c r="A98" t="inlineStr" s="16">
        <is>
          <t xml:space="preserve">Account support cost &gt; Per audit — high</t>
        </is>
      </c>
      <c r="C98" s="8">
        <f>0</f>
        <v>0</v>
      </c>
      <c r="D98" s="8">
        <f>0</f>
        <v>0</v>
      </c>
      <c r="E98" s="8">
        <f>0</f>
        <v>0</v>
      </c>
      <c r="F98" s="8">
        <f>0</f>
        <v>0</v>
      </c>
      <c r="G98" s="8">
        <f>0</f>
        <v>0</v>
      </c>
      <c r="H98" s="8">
        <f>0</f>
        <v>0</v>
      </c>
      <c r="I98" s="8">
        <f>0</f>
        <v>0</v>
      </c>
      <c r="J98" s="8">
        <f>0</f>
        <v>0</v>
      </c>
      <c r="K98" s="8">
        <f>0</f>
        <v>0</v>
      </c>
      <c r="L98" s="8">
        <f>'Model inputs'!L155*'Model inputs'!AA267*'Model inputs'!AA265</f>
        <v>0</v>
      </c>
      <c r="M98" s="8">
        <f>'Model inputs'!M155*'Model inputs'!AA267*'Model inputs'!AA265</f>
        <v>0</v>
      </c>
      <c r="N98" s="8">
        <f>'Model inputs'!N155*'Model inputs'!AA267*'Model inputs'!AA265</f>
        <v>60</v>
      </c>
      <c r="O98" s="8">
        <f>'Model inputs'!O155*'Model inputs'!AA267*'Model inputs'!AA265</f>
        <v>60</v>
      </c>
      <c r="P98" s="8">
        <f>'Model inputs'!P155*'Model inputs'!AA267*'Model inputs'!AA265</f>
        <v>60</v>
      </c>
      <c r="Q98" s="8">
        <f>'Model inputs'!Q155*'Model inputs'!AA267*'Model inputs'!AA265</f>
        <v>60</v>
      </c>
      <c r="R98" s="8">
        <f>'Model inputs'!R155*'Model inputs'!AA267*'Model inputs'!AA265</f>
        <v>60</v>
      </c>
      <c r="S98" s="8">
        <f>'Model inputs'!S155*'Model inputs'!AA267*'Model inputs'!AA265</f>
        <v>60</v>
      </c>
      <c r="T98" s="8">
        <f>'Model inputs'!T155*'Model inputs'!AA267*'Model inputs'!AA265</f>
        <v>60</v>
      </c>
      <c r="U98" s="8">
        <f>'Model inputs'!U155*'Model inputs'!AA267*'Model inputs'!AA265</f>
        <v>60</v>
      </c>
      <c r="V98" s="8">
        <f>'Model inputs'!V155*'Model inputs'!AA267*'Model inputs'!AA265</f>
        <v>60</v>
      </c>
      <c r="W98" s="8">
        <f>'Model inputs'!W155*'Model inputs'!AA267*'Model inputs'!AA265</f>
        <v>60</v>
      </c>
      <c r="X98" s="8">
        <f>'Model inputs'!X155*'Model inputs'!AA267*'Model inputs'!AA265</f>
        <v>60</v>
      </c>
      <c r="Y98" s="8">
        <f>'Model inputs'!Y155*'Model inputs'!AA267*'Model inputs'!AA265</f>
        <v>60</v>
      </c>
      <c r="Z98" s="8">
        <f>'Model inputs'!Z155*'Model inputs'!AA267*'Model inputs'!AA265</f>
        <v>60</v>
      </c>
    </row>
    <row r="99" outlineLevel="1">
      <c r="A99" t="inlineStr" s="16">
        <is>
          <t xml:space="preserve">Account support cost &gt; Per audit — low</t>
        </is>
      </c>
      <c r="C99" s="8">
        <f>0</f>
        <v>0</v>
      </c>
      <c r="D99" s="8">
        <f>0</f>
        <v>0</v>
      </c>
      <c r="E99" s="8">
        <f>0</f>
        <v>0</v>
      </c>
      <c r="F99" s="8">
        <f>0</f>
        <v>0</v>
      </c>
      <c r="G99" s="8">
        <f>0</f>
        <v>0</v>
      </c>
      <c r="H99" s="8">
        <f>0</f>
        <v>0</v>
      </c>
      <c r="I99" s="8">
        <f>0</f>
        <v>0</v>
      </c>
      <c r="J99" s="8">
        <f>0</f>
        <v>0</v>
      </c>
      <c r="K99" s="8">
        <f>0</f>
        <v>0</v>
      </c>
      <c r="L99" s="8">
        <f>'Model inputs'!L155*'Model inputs'!AA267*'Model inputs'!AA265</f>
        <v>0</v>
      </c>
      <c r="M99" s="8">
        <f>'Model inputs'!M155*'Model inputs'!AA267*'Model inputs'!AA265</f>
        <v>0</v>
      </c>
      <c r="N99" s="8">
        <f>'Model inputs'!N155*'Model inputs'!AA267*'Model inputs'!AA265</f>
        <v>60</v>
      </c>
      <c r="O99" s="8">
        <f>'Model inputs'!O155*'Model inputs'!AA267*'Model inputs'!AA265</f>
        <v>60</v>
      </c>
      <c r="P99" s="8">
        <f>'Model inputs'!P155*'Model inputs'!AA267*'Model inputs'!AA265</f>
        <v>60</v>
      </c>
      <c r="Q99" s="8">
        <f>'Model inputs'!Q155*'Model inputs'!AA267*'Model inputs'!AA265</f>
        <v>60</v>
      </c>
      <c r="R99" s="8">
        <f>'Model inputs'!R155*'Model inputs'!AA267*'Model inputs'!AA265</f>
        <v>60</v>
      </c>
      <c r="S99" s="8">
        <f>'Model inputs'!S155*'Model inputs'!AA267*'Model inputs'!AA265</f>
        <v>60</v>
      </c>
      <c r="T99" s="8">
        <f>'Model inputs'!T155*'Model inputs'!AA267*'Model inputs'!AA265</f>
        <v>60</v>
      </c>
      <c r="U99" s="8">
        <f>'Model inputs'!U155*'Model inputs'!AA267*'Model inputs'!AA265</f>
        <v>60</v>
      </c>
      <c r="V99" s="8">
        <f>'Model inputs'!V155*'Model inputs'!AA267*'Model inputs'!AA265</f>
        <v>60</v>
      </c>
      <c r="W99" s="8">
        <f>'Model inputs'!W155*'Model inputs'!AA267*'Model inputs'!AA265</f>
        <v>60</v>
      </c>
      <c r="X99" s="8">
        <f>'Model inputs'!X155*'Model inputs'!AA267*'Model inputs'!AA265</f>
        <v>60</v>
      </c>
      <c r="Y99" s="8">
        <f>'Model inputs'!Y155*'Model inputs'!AA267*'Model inputs'!AA265</f>
        <v>60</v>
      </c>
      <c r="Z99" s="8">
        <f>'Model inputs'!Z155*'Model inputs'!AA267*'Model inputs'!AA265</f>
        <v>60</v>
      </c>
    </row>
    <row r="100">
      <c r="A100" t="inlineStr" s="14">
        <is>
          <t xml:space="preserve">Contribution profit</t>
        </is>
      </c>
      <c r="C100" s="6">
        <f>SUM('Model inputs'!C101,'Model inputs'!C102,'Model inputs'!C103,'Model inputs'!C104,'Model inputs'!C105)</f>
        <v>0</v>
      </c>
      <c r="D100" s="6">
        <f>SUM('Model inputs'!D101,'Model inputs'!D102,'Model inputs'!D103,'Model inputs'!D104,'Model inputs'!D105)</f>
        <v>0</v>
      </c>
      <c r="E100" s="6">
        <f>SUM('Model inputs'!E101,'Model inputs'!E102,'Model inputs'!E103,'Model inputs'!E104,'Model inputs'!E105)</f>
        <v>0</v>
      </c>
      <c r="F100" s="6">
        <f>SUM('Model inputs'!F101,'Model inputs'!F102,'Model inputs'!F103,'Model inputs'!F104,'Model inputs'!F105)</f>
        <v>0</v>
      </c>
      <c r="G100" s="6">
        <f>SUM('Model inputs'!G101,'Model inputs'!G102,'Model inputs'!G103,'Model inputs'!G104,'Model inputs'!G105)</f>
        <v>0</v>
      </c>
      <c r="H100" s="6">
        <f>SUM('Model inputs'!H101,'Model inputs'!H102,'Model inputs'!H103,'Model inputs'!H104,'Model inputs'!H105)</f>
        <v>0</v>
      </c>
      <c r="I100" s="6">
        <f>SUM('Model inputs'!I101,'Model inputs'!I102,'Model inputs'!I103,'Model inputs'!I104,'Model inputs'!I105)</f>
        <v>0</v>
      </c>
      <c r="J100" s="6">
        <f>SUM('Model inputs'!J101,'Model inputs'!J102,'Model inputs'!J103,'Model inputs'!J104,'Model inputs'!J105)</f>
        <v>0</v>
      </c>
      <c r="K100" s="6">
        <f>SUM('Model inputs'!K101,'Model inputs'!K102,'Model inputs'!K103,'Model inputs'!K104,'Model inputs'!K105)</f>
        <v>0</v>
      </c>
      <c r="L100" t="str" s="6">
        <f>""</f>
        <v/>
      </c>
      <c r="M100" t="str" s="6">
        <f>""</f>
        <v/>
      </c>
      <c r="N100" t="str" s="6">
        <f>""</f>
        <v/>
      </c>
      <c r="O100" t="str" s="6">
        <f>""</f>
        <v/>
      </c>
      <c r="P100" t="str" s="6">
        <f>""</f>
        <v/>
      </c>
      <c r="Q100" t="str" s="6">
        <f>""</f>
        <v/>
      </c>
      <c r="R100" t="str" s="6">
        <f>""</f>
        <v/>
      </c>
      <c r="S100" t="str" s="6">
        <f>""</f>
        <v/>
      </c>
      <c r="T100" t="str" s="6">
        <f>""</f>
        <v/>
      </c>
      <c r="U100" t="str" s="6">
        <f>""</f>
        <v/>
      </c>
      <c r="V100" t="str" s="6">
        <f>""</f>
        <v/>
      </c>
      <c r="W100" t="str" s="6">
        <f>""</f>
        <v/>
      </c>
      <c r="X100" t="str" s="6">
        <f>""</f>
        <v/>
      </c>
      <c r="Y100" t="str" s="6">
        <f>""</f>
        <v/>
      </c>
      <c r="Z100" t="str" s="6">
        <f>""</f>
        <v/>
      </c>
    </row>
    <row r="101" outlineLevel="1">
      <c r="A101" t="inlineStr" s="16">
        <is>
          <t xml:space="preserve">Contribution profit &gt; Annual deal-team</t>
        </is>
      </c>
      <c r="C101" s="8">
        <f>0</f>
        <v>0</v>
      </c>
      <c r="D101" s="8">
        <f>0</f>
        <v>0</v>
      </c>
      <c r="E101" s="8">
        <f>0</f>
        <v>0</v>
      </c>
      <c r="F101" s="8">
        <f>0</f>
        <v>0</v>
      </c>
      <c r="G101" s="8">
        <f>0</f>
        <v>0</v>
      </c>
      <c r="H101" s="8">
        <f>0</f>
        <v>0</v>
      </c>
      <c r="I101" s="8">
        <f>0</f>
        <v>0</v>
      </c>
      <c r="J101" s="8">
        <f>0</f>
        <v>0</v>
      </c>
      <c r="K101" s="8">
        <f>0</f>
        <v>0</v>
      </c>
      <c r="L101" s="8">
        <f>'Model inputs'!L215-'Model inputs'!L57*'Model inputs'!AA256-'Model inputs'!L89</f>
        <v>4339.25</v>
      </c>
      <c r="M101" s="8">
        <f>'Model inputs'!M215-'Model inputs'!M57*'Model inputs'!AA256-'Model inputs'!M89</f>
        <v>8678.5</v>
      </c>
      <c r="N101" s="8">
        <f>'Model inputs'!N215-'Model inputs'!N57*'Model inputs'!AA256-'Model inputs'!N89</f>
        <v>13017.75</v>
      </c>
      <c r="O101" s="8">
        <f>'Model inputs'!O215-'Model inputs'!O57*'Model inputs'!AA256-'Model inputs'!O89</f>
        <v>17357</v>
      </c>
      <c r="P101" s="8">
        <f>'Model inputs'!P215-'Model inputs'!P57*'Model inputs'!AA256-'Model inputs'!P89</f>
        <v>21696.25</v>
      </c>
      <c r="Q101" s="8">
        <f>'Model inputs'!Q215-'Model inputs'!Q57*'Model inputs'!AA256-'Model inputs'!Q89</f>
        <v>26035.5</v>
      </c>
      <c r="R101" s="8">
        <f>'Model inputs'!R215-'Model inputs'!R57*'Model inputs'!AA256-'Model inputs'!R89</f>
        <v>30374.75</v>
      </c>
      <c r="S101" s="8">
        <f>'Model inputs'!S215-'Model inputs'!S57*'Model inputs'!AA256-'Model inputs'!S89</f>
        <v>34714</v>
      </c>
      <c r="T101" s="8">
        <f>'Model inputs'!T215-'Model inputs'!T57*'Model inputs'!AA256-'Model inputs'!T89</f>
        <v>39053.25</v>
      </c>
      <c r="U101" s="8">
        <f>'Model inputs'!U215-'Model inputs'!U57*'Model inputs'!AA256-'Model inputs'!U89</f>
        <v>43392.5</v>
      </c>
      <c r="V101" s="8">
        <f>'Model inputs'!V215-'Model inputs'!V57*'Model inputs'!AA256-'Model inputs'!V89</f>
        <v>47731.75</v>
      </c>
      <c r="W101" s="8">
        <f>'Model inputs'!W215-'Model inputs'!W57*'Model inputs'!AA256-'Model inputs'!W89</f>
        <v>52071</v>
      </c>
      <c r="X101" s="8">
        <f>'Model inputs'!X215-'Model inputs'!X57*'Model inputs'!AA256-'Model inputs'!X89</f>
        <v>52071</v>
      </c>
      <c r="Y101" s="8">
        <f>'Model inputs'!Y215-'Model inputs'!Y57*'Model inputs'!AA256-'Model inputs'!Y89</f>
        <v>52071</v>
      </c>
      <c r="Z101" s="8">
        <f>'Model inputs'!Z215-'Model inputs'!Z57*'Model inputs'!AA256-'Model inputs'!Z89</f>
        <v>52071</v>
      </c>
    </row>
    <row r="102" outlineLevel="1">
      <c r="A102" t="inlineStr" s="16">
        <is>
          <t xml:space="preserve">Contribution profit &gt; Hybrid</t>
        </is>
      </c>
      <c r="C102" s="8">
        <f>0</f>
        <v>0</v>
      </c>
      <c r="D102" s="8">
        <f>0</f>
        <v>0</v>
      </c>
      <c r="E102" s="8">
        <f>0</f>
        <v>0</v>
      </c>
      <c r="F102" s="8">
        <f>0</f>
        <v>0</v>
      </c>
      <c r="G102" s="8">
        <f>0</f>
        <v>0</v>
      </c>
      <c r="H102" s="8">
        <f>0</f>
        <v>0</v>
      </c>
      <c r="I102" s="8">
        <f>0</f>
        <v>0</v>
      </c>
      <c r="J102" s="8">
        <f>0</f>
        <v>0</v>
      </c>
      <c r="K102" s="8">
        <f>0</f>
        <v>0</v>
      </c>
      <c r="L102" s="8">
        <f>'Model inputs'!L216-'Model inputs'!L58*'Model inputs'!AA256-'Model inputs'!L90</f>
        <v>4945.5</v>
      </c>
      <c r="M102" s="8">
        <f>'Model inputs'!M216-'Model inputs'!M58*'Model inputs'!AA256-'Model inputs'!M90</f>
        <v>9891</v>
      </c>
      <c r="N102" s="8">
        <f>'Model inputs'!N216-'Model inputs'!N58*'Model inputs'!AA256-'Model inputs'!N90</f>
        <v>14836.5</v>
      </c>
      <c r="O102" s="8">
        <f>'Model inputs'!O216-'Model inputs'!O58*'Model inputs'!AA256-'Model inputs'!O90</f>
        <v>19782</v>
      </c>
      <c r="P102" s="8">
        <f>'Model inputs'!P216-'Model inputs'!P58*'Model inputs'!AA256-'Model inputs'!P90</f>
        <v>24727.5</v>
      </c>
      <c r="Q102" s="8">
        <f>'Model inputs'!Q216-'Model inputs'!Q58*'Model inputs'!AA256-'Model inputs'!Q90</f>
        <v>29673</v>
      </c>
      <c r="R102" s="8">
        <f>'Model inputs'!R216-'Model inputs'!R58*'Model inputs'!AA256-'Model inputs'!R90</f>
        <v>34618.5</v>
      </c>
      <c r="S102" s="8">
        <f>'Model inputs'!S216-'Model inputs'!S58*'Model inputs'!AA256-'Model inputs'!S90</f>
        <v>39564</v>
      </c>
      <c r="T102" s="8">
        <f>'Model inputs'!T216-'Model inputs'!T58*'Model inputs'!AA256-'Model inputs'!T90</f>
        <v>44509.5</v>
      </c>
      <c r="U102" s="8">
        <f>'Model inputs'!U216-'Model inputs'!U58*'Model inputs'!AA256-'Model inputs'!U90</f>
        <v>49455</v>
      </c>
      <c r="V102" s="8">
        <f>'Model inputs'!V216-'Model inputs'!V58*'Model inputs'!AA256-'Model inputs'!V90</f>
        <v>54400.5</v>
      </c>
      <c r="W102" s="8">
        <f>'Model inputs'!W216-'Model inputs'!W58*'Model inputs'!AA256-'Model inputs'!W90</f>
        <v>59346</v>
      </c>
      <c r="X102" s="8">
        <f>'Model inputs'!X216-'Model inputs'!X58*'Model inputs'!AA256-'Model inputs'!X90</f>
        <v>59346</v>
      </c>
      <c r="Y102" s="8">
        <f>'Model inputs'!Y216-'Model inputs'!Y58*'Model inputs'!AA256-'Model inputs'!Y90</f>
        <v>59346</v>
      </c>
      <c r="Z102" s="8">
        <f>'Model inputs'!Z216-'Model inputs'!Z58*'Model inputs'!AA256-'Model inputs'!Z90</f>
        <v>59346</v>
      </c>
    </row>
    <row r="103" outlineLevel="1">
      <c r="A103" t="inlineStr" s="16">
        <is>
          <t xml:space="preserve">Contribution profit &gt; Per audit — base</t>
        </is>
      </c>
      <c r="C103" s="8">
        <f>0</f>
        <v>0</v>
      </c>
      <c r="D103" s="8">
        <f>0</f>
        <v>0</v>
      </c>
      <c r="E103" s="8">
        <f>0</f>
        <v>0</v>
      </c>
      <c r="F103" s="8">
        <f>0</f>
        <v>0</v>
      </c>
      <c r="G103" s="8">
        <f>0</f>
        <v>0</v>
      </c>
      <c r="H103" s="8">
        <f>0</f>
        <v>0</v>
      </c>
      <c r="I103" s="8">
        <f>0</f>
        <v>0</v>
      </c>
      <c r="J103" s="8">
        <f>0</f>
        <v>0</v>
      </c>
      <c r="K103" s="8">
        <f>0</f>
        <v>0</v>
      </c>
      <c r="L103" s="8">
        <f>'Model inputs'!L217-'Model inputs'!L59*'Model inputs'!AA256-'Model inputs'!L91</f>
        <v>6764.25</v>
      </c>
      <c r="M103" s="8">
        <f>'Model inputs'!M217-'Model inputs'!M59*'Model inputs'!AA256-'Model inputs'!M91</f>
        <v>13528.5</v>
      </c>
      <c r="N103" s="8">
        <f>'Model inputs'!N217-'Model inputs'!N59*'Model inputs'!AA256-'Model inputs'!N91</f>
        <v>20292.75</v>
      </c>
      <c r="O103" s="8">
        <f>'Model inputs'!O217-'Model inputs'!O59*'Model inputs'!AA256-'Model inputs'!O91</f>
        <v>27057</v>
      </c>
      <c r="P103" s="8">
        <f>'Model inputs'!P217-'Model inputs'!P59*'Model inputs'!AA256-'Model inputs'!P91</f>
        <v>33821.25</v>
      </c>
      <c r="Q103" s="8">
        <f>'Model inputs'!Q217-'Model inputs'!Q59*'Model inputs'!AA256-'Model inputs'!Q91</f>
        <v>40585.5</v>
      </c>
      <c r="R103" s="8">
        <f>'Model inputs'!R217-'Model inputs'!R59*'Model inputs'!AA256-'Model inputs'!R91</f>
        <v>47349.75</v>
      </c>
      <c r="S103" s="8">
        <f>'Model inputs'!S217-'Model inputs'!S59*'Model inputs'!AA256-'Model inputs'!S91</f>
        <v>54114</v>
      </c>
      <c r="T103" s="8">
        <f>'Model inputs'!T217-'Model inputs'!T59*'Model inputs'!AA256-'Model inputs'!T91</f>
        <v>60878.25</v>
      </c>
      <c r="U103" s="8">
        <f>'Model inputs'!U217-'Model inputs'!U59*'Model inputs'!AA256-'Model inputs'!U91</f>
        <v>67642.5</v>
      </c>
      <c r="V103" s="8">
        <f>'Model inputs'!V217-'Model inputs'!V59*'Model inputs'!AA256-'Model inputs'!V91</f>
        <v>74406.75</v>
      </c>
      <c r="W103" s="8">
        <f>'Model inputs'!W217-'Model inputs'!W59*'Model inputs'!AA256-'Model inputs'!W91</f>
        <v>81171</v>
      </c>
      <c r="X103" s="8">
        <f>'Model inputs'!X217-'Model inputs'!X59*'Model inputs'!AA256-'Model inputs'!X91</f>
        <v>81171</v>
      </c>
      <c r="Y103" s="8">
        <f>'Model inputs'!Y217-'Model inputs'!Y59*'Model inputs'!AA256-'Model inputs'!Y91</f>
        <v>81171</v>
      </c>
      <c r="Z103" s="8">
        <f>'Model inputs'!Z217-'Model inputs'!Z59*'Model inputs'!AA256-'Model inputs'!Z91</f>
        <v>81171</v>
      </c>
    </row>
    <row r="104" outlineLevel="1">
      <c r="A104" t="inlineStr" s="16">
        <is>
          <t xml:space="preserve">Contribution profit &gt; Per audit — high</t>
        </is>
      </c>
      <c r="C104" s="8">
        <f>0</f>
        <v>0</v>
      </c>
      <c r="D104" s="8">
        <f>0</f>
        <v>0</v>
      </c>
      <c r="E104" s="8">
        <f>0</f>
        <v>0</v>
      </c>
      <c r="F104" s="8">
        <f>0</f>
        <v>0</v>
      </c>
      <c r="G104" s="8">
        <f>0</f>
        <v>0</v>
      </c>
      <c r="H104" s="8">
        <f>0</f>
        <v>0</v>
      </c>
      <c r="I104" s="8">
        <f>0</f>
        <v>0</v>
      </c>
      <c r="J104" s="8">
        <f>0</f>
        <v>0</v>
      </c>
      <c r="K104" s="8">
        <f>0</f>
        <v>0</v>
      </c>
      <c r="L104" s="8">
        <f>'Model inputs'!L218-'Model inputs'!L60*'Model inputs'!AA256-'Model inputs'!L92</f>
        <v>14039.25</v>
      </c>
      <c r="M104" s="8">
        <f>'Model inputs'!M218-'Model inputs'!M60*'Model inputs'!AA256-'Model inputs'!M92</f>
        <v>28078.5</v>
      </c>
      <c r="N104" s="8">
        <f>'Model inputs'!N218-'Model inputs'!N60*'Model inputs'!AA256-'Model inputs'!N92</f>
        <v>42117.75</v>
      </c>
      <c r="O104" s="8">
        <f>'Model inputs'!O218-'Model inputs'!O60*'Model inputs'!AA256-'Model inputs'!O92</f>
        <v>56157</v>
      </c>
      <c r="P104" s="8">
        <f>'Model inputs'!P218-'Model inputs'!P60*'Model inputs'!AA256-'Model inputs'!P92</f>
        <v>70196.25</v>
      </c>
      <c r="Q104" s="8">
        <f>'Model inputs'!Q218-'Model inputs'!Q60*'Model inputs'!AA256-'Model inputs'!Q92</f>
        <v>84235.5</v>
      </c>
      <c r="R104" s="8">
        <f>'Model inputs'!R218-'Model inputs'!R60*'Model inputs'!AA256-'Model inputs'!R92</f>
        <v>98274.75</v>
      </c>
      <c r="S104" s="8">
        <f>'Model inputs'!S218-'Model inputs'!S60*'Model inputs'!AA256-'Model inputs'!S92</f>
        <v>112314</v>
      </c>
      <c r="T104" s="8">
        <f>'Model inputs'!T218-'Model inputs'!T60*'Model inputs'!AA256-'Model inputs'!T92</f>
        <v>126353.25</v>
      </c>
      <c r="U104" s="8">
        <f>'Model inputs'!U218-'Model inputs'!U60*'Model inputs'!AA256-'Model inputs'!U92</f>
        <v>140392.5</v>
      </c>
      <c r="V104" s="8">
        <f>'Model inputs'!V218-'Model inputs'!V60*'Model inputs'!AA256-'Model inputs'!V92</f>
        <v>154431.75</v>
      </c>
      <c r="W104" s="8">
        <f>'Model inputs'!W218-'Model inputs'!W60*'Model inputs'!AA256-'Model inputs'!W92</f>
        <v>168471</v>
      </c>
      <c r="X104" s="8">
        <f>'Model inputs'!X218-'Model inputs'!X60*'Model inputs'!AA256-'Model inputs'!X92</f>
        <v>168471</v>
      </c>
      <c r="Y104" s="8">
        <f>'Model inputs'!Y218-'Model inputs'!Y60*'Model inputs'!AA256-'Model inputs'!Y92</f>
        <v>168471</v>
      </c>
      <c r="Z104" s="8">
        <f>'Model inputs'!Z218-'Model inputs'!Z60*'Model inputs'!AA256-'Model inputs'!Z92</f>
        <v>168471</v>
      </c>
    </row>
    <row r="105" outlineLevel="1">
      <c r="A105" t="inlineStr" s="16">
        <is>
          <t xml:space="preserve">Contribution profit &gt; Per audit — low</t>
        </is>
      </c>
      <c r="C105" s="8">
        <f>0</f>
        <v>0</v>
      </c>
      <c r="D105" s="8">
        <f>0</f>
        <v>0</v>
      </c>
      <c r="E105" s="8">
        <f>0</f>
        <v>0</v>
      </c>
      <c r="F105" s="8">
        <f>0</f>
        <v>0</v>
      </c>
      <c r="G105" s="8">
        <f>0</f>
        <v>0</v>
      </c>
      <c r="H105" s="8">
        <f>0</f>
        <v>0</v>
      </c>
      <c r="I105" s="8">
        <f>0</f>
        <v>0</v>
      </c>
      <c r="J105" s="8">
        <f>0</f>
        <v>0</v>
      </c>
      <c r="K105" s="8">
        <f>0</f>
        <v>0</v>
      </c>
      <c r="L105" s="8">
        <f>'Model inputs'!L219-'Model inputs'!L61*'Model inputs'!AA256-'Model inputs'!L93</f>
        <v>3126.75</v>
      </c>
      <c r="M105" s="8">
        <f>'Model inputs'!M219-'Model inputs'!M61*'Model inputs'!AA256-'Model inputs'!M93</f>
        <v>6253.5</v>
      </c>
      <c r="N105" s="8">
        <f>'Model inputs'!N219-'Model inputs'!N61*'Model inputs'!AA256-'Model inputs'!N93</f>
        <v>9380.25</v>
      </c>
      <c r="O105" s="8">
        <f>'Model inputs'!O219-'Model inputs'!O61*'Model inputs'!AA256-'Model inputs'!O93</f>
        <v>12507</v>
      </c>
      <c r="P105" s="8">
        <f>'Model inputs'!P219-'Model inputs'!P61*'Model inputs'!AA256-'Model inputs'!P93</f>
        <v>15633.75</v>
      </c>
      <c r="Q105" s="8">
        <f>'Model inputs'!Q219-'Model inputs'!Q61*'Model inputs'!AA256-'Model inputs'!Q93</f>
        <v>18760.5</v>
      </c>
      <c r="R105" s="8">
        <f>'Model inputs'!R219-'Model inputs'!R61*'Model inputs'!AA256-'Model inputs'!R93</f>
        <v>21887.25</v>
      </c>
      <c r="S105" s="8">
        <f>'Model inputs'!S219-'Model inputs'!S61*'Model inputs'!AA256-'Model inputs'!S93</f>
        <v>25014</v>
      </c>
      <c r="T105" s="8">
        <f>'Model inputs'!T219-'Model inputs'!T61*'Model inputs'!AA256-'Model inputs'!T93</f>
        <v>28140.75</v>
      </c>
      <c r="U105" s="8">
        <f>'Model inputs'!U219-'Model inputs'!U61*'Model inputs'!AA256-'Model inputs'!U93</f>
        <v>31267.5</v>
      </c>
      <c r="V105" s="8">
        <f>'Model inputs'!V219-'Model inputs'!V61*'Model inputs'!AA256-'Model inputs'!V93</f>
        <v>34394.25</v>
      </c>
      <c r="W105" s="8">
        <f>'Model inputs'!W219-'Model inputs'!W61*'Model inputs'!AA256-'Model inputs'!W93</f>
        <v>37521</v>
      </c>
      <c r="X105" s="8">
        <f>'Model inputs'!X219-'Model inputs'!X61*'Model inputs'!AA256-'Model inputs'!X93</f>
        <v>37521</v>
      </c>
      <c r="Y105" s="8">
        <f>'Model inputs'!Y219-'Model inputs'!Y61*'Model inputs'!AA256-'Model inputs'!Y93</f>
        <v>37521</v>
      </c>
      <c r="Z105" s="8">
        <f>'Model inputs'!Z219-'Model inputs'!Z61*'Model inputs'!AA256-'Model inputs'!Z93</f>
        <v>37521</v>
      </c>
    </row>
    <row r="106">
      <c r="A106" t="inlineStr" s="14">
        <is>
          <t xml:space="preserve">Contribution profit</t>
        </is>
      </c>
      <c r="C106" s="6">
        <f>SUM('Model inputs'!C107,'Model inputs'!C108,'Model inputs'!C109,'Model inputs'!C110,'Model inputs'!C111)</f>
        <v>0</v>
      </c>
      <c r="D106" s="6">
        <f>SUM('Model inputs'!D107,'Model inputs'!D108,'Model inputs'!D109,'Model inputs'!D110,'Model inputs'!D111)</f>
        <v>0</v>
      </c>
      <c r="E106" s="6">
        <f>SUM('Model inputs'!E107,'Model inputs'!E108,'Model inputs'!E109,'Model inputs'!E110,'Model inputs'!E111)</f>
        <v>0</v>
      </c>
      <c r="F106" s="6">
        <f>SUM('Model inputs'!F107,'Model inputs'!F108,'Model inputs'!F109,'Model inputs'!F110,'Model inputs'!F111)</f>
        <v>0</v>
      </c>
      <c r="G106" s="6">
        <f>SUM('Model inputs'!G107,'Model inputs'!G108,'Model inputs'!G109,'Model inputs'!G110,'Model inputs'!G111)</f>
        <v>0</v>
      </c>
      <c r="H106" s="6">
        <f>SUM('Model inputs'!H107,'Model inputs'!H108,'Model inputs'!H109,'Model inputs'!H110,'Model inputs'!H111)</f>
        <v>0</v>
      </c>
      <c r="I106" s="6">
        <f>SUM('Model inputs'!I107,'Model inputs'!I108,'Model inputs'!I109,'Model inputs'!I110,'Model inputs'!I111)</f>
        <v>0</v>
      </c>
      <c r="J106" s="6">
        <f>SUM('Model inputs'!J107,'Model inputs'!J108,'Model inputs'!J109,'Model inputs'!J110,'Model inputs'!J111)</f>
        <v>0</v>
      </c>
      <c r="K106" s="6">
        <f>SUM('Model inputs'!K107,'Model inputs'!K108,'Model inputs'!K109,'Model inputs'!K110,'Model inputs'!K111)</f>
        <v>0</v>
      </c>
      <c r="L106" t="str" s="6">
        <f>""</f>
        <v/>
      </c>
      <c r="M106" t="str" s="6">
        <f>""</f>
        <v/>
      </c>
      <c r="N106" t="str" s="6">
        <f>""</f>
        <v/>
      </c>
      <c r="O106" t="str" s="6">
        <f>""</f>
        <v/>
      </c>
      <c r="P106" t="str" s="6">
        <f>""</f>
        <v/>
      </c>
      <c r="Q106" t="str" s="6">
        <f>""</f>
        <v/>
      </c>
      <c r="R106" t="str" s="6">
        <f>""</f>
        <v/>
      </c>
      <c r="S106" t="str" s="6">
        <f>""</f>
        <v/>
      </c>
      <c r="T106" t="str" s="6">
        <f>""</f>
        <v/>
      </c>
      <c r="U106" t="str" s="6">
        <f>""</f>
        <v/>
      </c>
      <c r="V106" t="str" s="6">
        <f>""</f>
        <v/>
      </c>
      <c r="W106" t="str" s="6">
        <f>""</f>
        <v/>
      </c>
      <c r="X106" t="str" s="6">
        <f>""</f>
        <v/>
      </c>
      <c r="Y106" t="str" s="6">
        <f>""</f>
        <v/>
      </c>
      <c r="Z106" t="str" s="6">
        <f>""</f>
        <v/>
      </c>
    </row>
    <row r="107" outlineLevel="1">
      <c r="A107" t="inlineStr" s="16">
        <is>
          <t xml:space="preserve">Contribution profit &gt; Annual deal-team</t>
        </is>
      </c>
      <c r="C107" s="8">
        <f>0</f>
        <v>0</v>
      </c>
      <c r="D107" s="8">
        <f>0</f>
        <v>0</v>
      </c>
      <c r="E107" s="8">
        <f>0</f>
        <v>0</v>
      </c>
      <c r="F107" s="8">
        <f>0</f>
        <v>0</v>
      </c>
      <c r="G107" s="8">
        <f>0</f>
        <v>0</v>
      </c>
      <c r="H107" s="8">
        <f>0</f>
        <v>0</v>
      </c>
      <c r="I107" s="8">
        <f>0</f>
        <v>0</v>
      </c>
      <c r="J107" s="8">
        <f>0</f>
        <v>0</v>
      </c>
      <c r="K107" s="8">
        <f>0</f>
        <v>0</v>
      </c>
      <c r="L107" s="8">
        <f>'Model inputs'!L221-'Model inputs'!L63*'Model inputs'!AA257-'Model inputs'!L95</f>
        <v>0</v>
      </c>
      <c r="M107" s="8">
        <f>'Model inputs'!M221-'Model inputs'!M63*'Model inputs'!AA257-'Model inputs'!M95</f>
        <v>0</v>
      </c>
      <c r="N107" s="8">
        <f>'Model inputs'!N221-'Model inputs'!N63*'Model inputs'!AA257-'Model inputs'!N95</f>
        <v>3436.1</v>
      </c>
      <c r="O107" s="8">
        <f>'Model inputs'!O221-'Model inputs'!O63*'Model inputs'!AA257-'Model inputs'!O95</f>
        <v>3436.1</v>
      </c>
      <c r="P107" s="8">
        <f>'Model inputs'!P221-'Model inputs'!P63*'Model inputs'!AA257-'Model inputs'!P95</f>
        <v>3436.1</v>
      </c>
      <c r="Q107" s="8">
        <f>'Model inputs'!Q221-'Model inputs'!Q63*'Model inputs'!AA257-'Model inputs'!Q95</f>
        <v>3436.1</v>
      </c>
      <c r="R107" s="8">
        <f>'Model inputs'!R221-'Model inputs'!R63*'Model inputs'!AA257-'Model inputs'!R95</f>
        <v>3436.1</v>
      </c>
      <c r="S107" s="8">
        <f>'Model inputs'!S221-'Model inputs'!S63*'Model inputs'!AA257-'Model inputs'!S95</f>
        <v>3436.1</v>
      </c>
      <c r="T107" s="8">
        <f>'Model inputs'!T221-'Model inputs'!T63*'Model inputs'!AA257-'Model inputs'!T95</f>
        <v>3436.1</v>
      </c>
      <c r="U107" s="8">
        <f>'Model inputs'!U221-'Model inputs'!U63*'Model inputs'!AA257-'Model inputs'!U95</f>
        <v>3436.1</v>
      </c>
      <c r="V107" s="8">
        <f>'Model inputs'!V221-'Model inputs'!V63*'Model inputs'!AA257-'Model inputs'!V95</f>
        <v>3436.1</v>
      </c>
      <c r="W107" s="8">
        <f>'Model inputs'!W221-'Model inputs'!W63*'Model inputs'!AA257-'Model inputs'!W95</f>
        <v>3436.1</v>
      </c>
      <c r="X107" s="8">
        <f>'Model inputs'!X221-'Model inputs'!X63*'Model inputs'!AA257-'Model inputs'!X95</f>
        <v>3436.1</v>
      </c>
      <c r="Y107" s="8">
        <f>'Model inputs'!Y221-'Model inputs'!Y63*'Model inputs'!AA257-'Model inputs'!Y95</f>
        <v>3436.1</v>
      </c>
      <c r="Z107" s="8">
        <f>'Model inputs'!Z221-'Model inputs'!Z63*'Model inputs'!AA257-'Model inputs'!Z95</f>
        <v>3436.1</v>
      </c>
    </row>
    <row r="108" outlineLevel="1">
      <c r="A108" t="inlineStr" s="16">
        <is>
          <t xml:space="preserve">Contribution profit &gt; Hybrid</t>
        </is>
      </c>
      <c r="C108" s="8">
        <f>0</f>
        <v>0</v>
      </c>
      <c r="D108" s="8">
        <f>0</f>
        <v>0</v>
      </c>
      <c r="E108" s="8">
        <f>0</f>
        <v>0</v>
      </c>
      <c r="F108" s="8">
        <f>0</f>
        <v>0</v>
      </c>
      <c r="G108" s="8">
        <f>0</f>
        <v>0</v>
      </c>
      <c r="H108" s="8">
        <f>0</f>
        <v>0</v>
      </c>
      <c r="I108" s="8">
        <f>0</f>
        <v>0</v>
      </c>
      <c r="J108" s="8">
        <f>0</f>
        <v>0</v>
      </c>
      <c r="K108" s="8">
        <f>0</f>
        <v>0</v>
      </c>
      <c r="L108" s="8">
        <f>'Model inputs'!L222-'Model inputs'!L64*'Model inputs'!AA257-'Model inputs'!L96</f>
        <v>0</v>
      </c>
      <c r="M108" s="8">
        <f>'Model inputs'!M222-'Model inputs'!M64*'Model inputs'!AA257-'Model inputs'!M96</f>
        <v>0</v>
      </c>
      <c r="N108" s="8">
        <f>'Model inputs'!N222-'Model inputs'!N64*'Model inputs'!AA257-'Model inputs'!N96</f>
        <v>4406.1</v>
      </c>
      <c r="O108" s="8">
        <f>'Model inputs'!O222-'Model inputs'!O64*'Model inputs'!AA257-'Model inputs'!O96</f>
        <v>4406.1</v>
      </c>
      <c r="P108" s="8">
        <f>'Model inputs'!P222-'Model inputs'!P64*'Model inputs'!AA257-'Model inputs'!P96</f>
        <v>4406.1</v>
      </c>
      <c r="Q108" s="8">
        <f>'Model inputs'!Q222-'Model inputs'!Q64*'Model inputs'!AA257-'Model inputs'!Q96</f>
        <v>4406.1</v>
      </c>
      <c r="R108" s="8">
        <f>'Model inputs'!R222-'Model inputs'!R64*'Model inputs'!AA257-'Model inputs'!R96</f>
        <v>4406.1</v>
      </c>
      <c r="S108" s="8">
        <f>'Model inputs'!S222-'Model inputs'!S64*'Model inputs'!AA257-'Model inputs'!S96</f>
        <v>4406.1</v>
      </c>
      <c r="T108" s="8">
        <f>'Model inputs'!T222-'Model inputs'!T64*'Model inputs'!AA257-'Model inputs'!T96</f>
        <v>4406.1</v>
      </c>
      <c r="U108" s="8">
        <f>'Model inputs'!U222-'Model inputs'!U64*'Model inputs'!AA257-'Model inputs'!U96</f>
        <v>4406.1</v>
      </c>
      <c r="V108" s="8">
        <f>'Model inputs'!V222-'Model inputs'!V64*'Model inputs'!AA257-'Model inputs'!V96</f>
        <v>4406.1</v>
      </c>
      <c r="W108" s="8">
        <f>'Model inputs'!W222-'Model inputs'!W64*'Model inputs'!AA257-'Model inputs'!W96</f>
        <v>4406.1</v>
      </c>
      <c r="X108" s="8">
        <f>'Model inputs'!X222-'Model inputs'!X64*'Model inputs'!AA257-'Model inputs'!X96</f>
        <v>4406.1</v>
      </c>
      <c r="Y108" s="8">
        <f>'Model inputs'!Y222-'Model inputs'!Y64*'Model inputs'!AA257-'Model inputs'!Y96</f>
        <v>4406.1</v>
      </c>
      <c r="Z108" s="8">
        <f>'Model inputs'!Z222-'Model inputs'!Z64*'Model inputs'!AA257-'Model inputs'!Z96</f>
        <v>4406.1</v>
      </c>
    </row>
    <row r="109" outlineLevel="1">
      <c r="A109" t="inlineStr" s="16">
        <is>
          <t xml:space="preserve">Contribution profit &gt; Per audit — base</t>
        </is>
      </c>
      <c r="C109" s="8">
        <f>0</f>
        <v>0</v>
      </c>
      <c r="D109" s="8">
        <f>0</f>
        <v>0</v>
      </c>
      <c r="E109" s="8">
        <f>0</f>
        <v>0</v>
      </c>
      <c r="F109" s="8">
        <f>0</f>
        <v>0</v>
      </c>
      <c r="G109" s="8">
        <f>0</f>
        <v>0</v>
      </c>
      <c r="H109" s="8">
        <f>0</f>
        <v>0</v>
      </c>
      <c r="I109" s="8">
        <f>0</f>
        <v>0</v>
      </c>
      <c r="J109" s="8">
        <f>0</f>
        <v>0</v>
      </c>
      <c r="K109" s="8">
        <f>0</f>
        <v>0</v>
      </c>
      <c r="L109" s="8">
        <f>'Model inputs'!L223-'Model inputs'!L65*'Model inputs'!AA257-'Model inputs'!L97</f>
        <v>0</v>
      </c>
      <c r="M109" s="8">
        <f>'Model inputs'!M223-'Model inputs'!M65*'Model inputs'!AA257-'Model inputs'!M97</f>
        <v>0</v>
      </c>
      <c r="N109" s="8">
        <f>'Model inputs'!N223-'Model inputs'!N65*'Model inputs'!AA257-'Model inputs'!N97</f>
        <v>5376.1</v>
      </c>
      <c r="O109" s="8">
        <f>'Model inputs'!O223-'Model inputs'!O65*'Model inputs'!AA257-'Model inputs'!O97</f>
        <v>5376.1</v>
      </c>
      <c r="P109" s="8">
        <f>'Model inputs'!P223-'Model inputs'!P65*'Model inputs'!AA257-'Model inputs'!P97</f>
        <v>5376.1</v>
      </c>
      <c r="Q109" s="8">
        <f>'Model inputs'!Q223-'Model inputs'!Q65*'Model inputs'!AA257-'Model inputs'!Q97</f>
        <v>5376.1</v>
      </c>
      <c r="R109" s="8">
        <f>'Model inputs'!R223-'Model inputs'!R65*'Model inputs'!AA257-'Model inputs'!R97</f>
        <v>5376.1</v>
      </c>
      <c r="S109" s="8">
        <f>'Model inputs'!S223-'Model inputs'!S65*'Model inputs'!AA257-'Model inputs'!S97</f>
        <v>5376.1</v>
      </c>
      <c r="T109" s="8">
        <f>'Model inputs'!T223-'Model inputs'!T65*'Model inputs'!AA257-'Model inputs'!T97</f>
        <v>5376.1</v>
      </c>
      <c r="U109" s="8">
        <f>'Model inputs'!U223-'Model inputs'!U65*'Model inputs'!AA257-'Model inputs'!U97</f>
        <v>5376.1</v>
      </c>
      <c r="V109" s="8">
        <f>'Model inputs'!V223-'Model inputs'!V65*'Model inputs'!AA257-'Model inputs'!V97</f>
        <v>5376.1</v>
      </c>
      <c r="W109" s="8">
        <f>'Model inputs'!W223-'Model inputs'!W65*'Model inputs'!AA257-'Model inputs'!W97</f>
        <v>5376.1</v>
      </c>
      <c r="X109" s="8">
        <f>'Model inputs'!X223-'Model inputs'!X65*'Model inputs'!AA257-'Model inputs'!X97</f>
        <v>5376.1</v>
      </c>
      <c r="Y109" s="8">
        <f>'Model inputs'!Y223-'Model inputs'!Y65*'Model inputs'!AA257-'Model inputs'!Y97</f>
        <v>5376.1</v>
      </c>
      <c r="Z109" s="8">
        <f>'Model inputs'!Z223-'Model inputs'!Z65*'Model inputs'!AA257-'Model inputs'!Z97</f>
        <v>5376.1</v>
      </c>
    </row>
    <row r="110" outlineLevel="1">
      <c r="A110" t="inlineStr" s="16">
        <is>
          <t xml:space="preserve">Contribution profit &gt; Per audit — high</t>
        </is>
      </c>
      <c r="C110" s="8">
        <f>0</f>
        <v>0</v>
      </c>
      <c r="D110" s="8">
        <f>0</f>
        <v>0</v>
      </c>
      <c r="E110" s="8">
        <f>0</f>
        <v>0</v>
      </c>
      <c r="F110" s="8">
        <f>0</f>
        <v>0</v>
      </c>
      <c r="G110" s="8">
        <f>0</f>
        <v>0</v>
      </c>
      <c r="H110" s="8">
        <f>0</f>
        <v>0</v>
      </c>
      <c r="I110" s="8">
        <f>0</f>
        <v>0</v>
      </c>
      <c r="J110" s="8">
        <f>0</f>
        <v>0</v>
      </c>
      <c r="K110" s="8">
        <f>0</f>
        <v>0</v>
      </c>
      <c r="L110" s="8">
        <f>'Model inputs'!L224-'Model inputs'!L66*'Model inputs'!AA257-'Model inputs'!L98</f>
        <v>0</v>
      </c>
      <c r="M110" s="8">
        <f>'Model inputs'!M224-'Model inputs'!M66*'Model inputs'!AA257-'Model inputs'!M98</f>
        <v>0</v>
      </c>
      <c r="N110" s="8">
        <f>'Model inputs'!N224-'Model inputs'!N66*'Model inputs'!AA257-'Model inputs'!N98</f>
        <v>11196.1</v>
      </c>
      <c r="O110" s="8">
        <f>'Model inputs'!O224-'Model inputs'!O66*'Model inputs'!AA257-'Model inputs'!O98</f>
        <v>11196.1</v>
      </c>
      <c r="P110" s="8">
        <f>'Model inputs'!P224-'Model inputs'!P66*'Model inputs'!AA257-'Model inputs'!P98</f>
        <v>11196.1</v>
      </c>
      <c r="Q110" s="8">
        <f>'Model inputs'!Q224-'Model inputs'!Q66*'Model inputs'!AA257-'Model inputs'!Q98</f>
        <v>11196.1</v>
      </c>
      <c r="R110" s="8">
        <f>'Model inputs'!R224-'Model inputs'!R66*'Model inputs'!AA257-'Model inputs'!R98</f>
        <v>11196.1</v>
      </c>
      <c r="S110" s="8">
        <f>'Model inputs'!S224-'Model inputs'!S66*'Model inputs'!AA257-'Model inputs'!S98</f>
        <v>11196.1</v>
      </c>
      <c r="T110" s="8">
        <f>'Model inputs'!T224-'Model inputs'!T66*'Model inputs'!AA257-'Model inputs'!T98</f>
        <v>11196.1</v>
      </c>
      <c r="U110" s="8">
        <f>'Model inputs'!U224-'Model inputs'!U66*'Model inputs'!AA257-'Model inputs'!U98</f>
        <v>11196.1</v>
      </c>
      <c r="V110" s="8">
        <f>'Model inputs'!V224-'Model inputs'!V66*'Model inputs'!AA257-'Model inputs'!V98</f>
        <v>11196.1</v>
      </c>
      <c r="W110" s="8">
        <f>'Model inputs'!W224-'Model inputs'!W66*'Model inputs'!AA257-'Model inputs'!W98</f>
        <v>11196.1</v>
      </c>
      <c r="X110" s="8">
        <f>'Model inputs'!X224-'Model inputs'!X66*'Model inputs'!AA257-'Model inputs'!X98</f>
        <v>11196.1</v>
      </c>
      <c r="Y110" s="8">
        <f>'Model inputs'!Y224-'Model inputs'!Y66*'Model inputs'!AA257-'Model inputs'!Y98</f>
        <v>11196.1</v>
      </c>
      <c r="Z110" s="8">
        <f>'Model inputs'!Z224-'Model inputs'!Z66*'Model inputs'!AA257-'Model inputs'!Z98</f>
        <v>11196.1</v>
      </c>
    </row>
    <row r="111" outlineLevel="1">
      <c r="A111" t="inlineStr" s="16">
        <is>
          <t xml:space="preserve">Contribution profit &gt; Per audit — low</t>
        </is>
      </c>
      <c r="C111" s="8">
        <f>0</f>
        <v>0</v>
      </c>
      <c r="D111" s="8">
        <f>0</f>
        <v>0</v>
      </c>
      <c r="E111" s="8">
        <f>0</f>
        <v>0</v>
      </c>
      <c r="F111" s="8">
        <f>0</f>
        <v>0</v>
      </c>
      <c r="G111" s="8">
        <f>0</f>
        <v>0</v>
      </c>
      <c r="H111" s="8">
        <f>0</f>
        <v>0</v>
      </c>
      <c r="I111" s="8">
        <f>0</f>
        <v>0</v>
      </c>
      <c r="J111" s="8">
        <f>0</f>
        <v>0</v>
      </c>
      <c r="K111" s="8">
        <f>0</f>
        <v>0</v>
      </c>
      <c r="L111" s="8">
        <f>'Model inputs'!L225-'Model inputs'!L67*'Model inputs'!AA257-'Model inputs'!L99</f>
        <v>0</v>
      </c>
      <c r="M111" s="8">
        <f>'Model inputs'!M225-'Model inputs'!M67*'Model inputs'!AA257-'Model inputs'!M99</f>
        <v>0</v>
      </c>
      <c r="N111" s="8">
        <f>'Model inputs'!N225-'Model inputs'!N67*'Model inputs'!AA257-'Model inputs'!N99</f>
        <v>2466.1</v>
      </c>
      <c r="O111" s="8">
        <f>'Model inputs'!O225-'Model inputs'!O67*'Model inputs'!AA257-'Model inputs'!O99</f>
        <v>2466.1</v>
      </c>
      <c r="P111" s="8">
        <f>'Model inputs'!P225-'Model inputs'!P67*'Model inputs'!AA257-'Model inputs'!P99</f>
        <v>2466.1</v>
      </c>
      <c r="Q111" s="8">
        <f>'Model inputs'!Q225-'Model inputs'!Q67*'Model inputs'!AA257-'Model inputs'!Q99</f>
        <v>2466.1</v>
      </c>
      <c r="R111" s="8">
        <f>'Model inputs'!R225-'Model inputs'!R67*'Model inputs'!AA257-'Model inputs'!R99</f>
        <v>2466.1</v>
      </c>
      <c r="S111" s="8">
        <f>'Model inputs'!S225-'Model inputs'!S67*'Model inputs'!AA257-'Model inputs'!S99</f>
        <v>2466.1</v>
      </c>
      <c r="T111" s="8">
        <f>'Model inputs'!T225-'Model inputs'!T67*'Model inputs'!AA257-'Model inputs'!T99</f>
        <v>2466.1</v>
      </c>
      <c r="U111" s="8">
        <f>'Model inputs'!U225-'Model inputs'!U67*'Model inputs'!AA257-'Model inputs'!U99</f>
        <v>2466.1</v>
      </c>
      <c r="V111" s="8">
        <f>'Model inputs'!V225-'Model inputs'!V67*'Model inputs'!AA257-'Model inputs'!V99</f>
        <v>2466.1</v>
      </c>
      <c r="W111" s="8">
        <f>'Model inputs'!W225-'Model inputs'!W67*'Model inputs'!AA257-'Model inputs'!W99</f>
        <v>2466.1</v>
      </c>
      <c r="X111" s="8">
        <f>'Model inputs'!X225-'Model inputs'!X67*'Model inputs'!AA257-'Model inputs'!X99</f>
        <v>2466.1</v>
      </c>
      <c r="Y111" s="8">
        <f>'Model inputs'!Y225-'Model inputs'!Y67*'Model inputs'!AA257-'Model inputs'!Y99</f>
        <v>2466.1</v>
      </c>
      <c r="Z111" s="8">
        <f>'Model inputs'!Z225-'Model inputs'!Z67*'Model inputs'!AA257-'Model inputs'!Z99</f>
        <v>2466.1</v>
      </c>
    </row>
    <row r="112">
      <c r="A112" t="inlineStr" s="14">
        <is>
          <t xml:space="preserve">Customer monthly delivered audits</t>
        </is>
      </c>
      <c r="AA112" s="11">
        <v>4</v>
      </c>
    </row>
    <row r="113" outlineLevel="1">
      <c r="A113" t="inlineStr" s="16">
        <is>
          <t xml:space="preserve">Customer monthly delivered audits &gt; Annual deal-team</t>
        </is>
      </c>
      <c r="AA113" s="9">
        <f>'Model inputs'!AA200*IF(IF(EXACT("Annual deal-team","Annual deal-team"),IF('Model inputs'!AA186="","",'Model inputs'!AA186),1)="",0,IF(EXACT("Annual deal-team","Annual deal-team"),IF('Model inputs'!AA186="","",'Model inputs'!AA186),1))</f>
        <v>4</v>
      </c>
    </row>
    <row r="114" outlineLevel="1">
      <c r="A114" t="inlineStr" s="16">
        <is>
          <t xml:space="preserve">Customer monthly delivered audits &gt; Hybrid</t>
        </is>
      </c>
      <c r="AA114" s="9">
        <f>'Model inputs'!AA200*IF(IF(EXACT("Hybrid","Annual deal-team"),IF('Model inputs'!AA186="","",'Model inputs'!AA186),1)="",0,IF(EXACT("Hybrid","Annual deal-team"),IF('Model inputs'!AA186="","",'Model inputs'!AA186),1))</f>
        <v>4</v>
      </c>
    </row>
    <row r="115" outlineLevel="1">
      <c r="A115" t="inlineStr" s="16">
        <is>
          <t xml:space="preserve">Customer monthly delivered audits &gt; Per audit — base</t>
        </is>
      </c>
      <c r="AA115" s="9">
        <f>'Model inputs'!AA200*IF(IF(EXACT("Per audit — base","Annual deal-team"),IF('Model inputs'!AA186="","",'Model inputs'!AA186),1)="",0,IF(EXACT("Per audit — base","Annual deal-team"),IF('Model inputs'!AA186="","",'Model inputs'!AA186),1))</f>
        <v>4</v>
      </c>
    </row>
    <row r="116" outlineLevel="1">
      <c r="A116" t="inlineStr" s="16">
        <is>
          <t xml:space="preserve">Customer monthly delivered audits &gt; Per audit — high</t>
        </is>
      </c>
      <c r="AA116" s="9">
        <f>'Model inputs'!AA200*IF(IF(EXACT("Per audit — high","Annual deal-team"),IF('Model inputs'!AA186="","",'Model inputs'!AA186),1)="",0,IF(EXACT("Per audit — high","Annual deal-team"),IF('Model inputs'!AA186="","",'Model inputs'!AA186),1))</f>
        <v>4</v>
      </c>
    </row>
    <row r="117" outlineLevel="1">
      <c r="A117" t="inlineStr" s="16">
        <is>
          <t xml:space="preserve">Customer monthly delivered audits &gt; Per audit — low</t>
        </is>
      </c>
      <c r="AA117" s="9">
        <f>'Model inputs'!AA200*IF(IF(EXACT("Per audit — low","Annual deal-team"),IF('Model inputs'!AA186="","",'Model inputs'!AA186),1)="",0,IF(EXACT("Per audit — low","Annual deal-team"),IF('Model inputs'!AA186="","",'Model inputs'!AA186),1))</f>
        <v>4</v>
      </c>
    </row>
    <row r="118">
      <c r="A118" t="inlineStr" s="14">
        <is>
          <t xml:space="preserve">Customer monthly delivered audits</t>
        </is>
      </c>
      <c r="AA118" s="11">
        <v>2</v>
      </c>
    </row>
    <row r="119" outlineLevel="1">
      <c r="A119" t="inlineStr" s="16">
        <is>
          <t xml:space="preserve">Customer monthly delivered audits &gt; Annual deal-team</t>
        </is>
      </c>
      <c r="AA119" s="9">
        <f>'Model inputs'!AA201*IF(IF(EXACT("Annual deal-team","Annual deal-team"),IF('Model inputs'!AA187="","",'Model inputs'!AA187),1)="",0,IF(EXACT("Annual deal-team","Annual deal-team"),IF('Model inputs'!AA187="","",'Model inputs'!AA187),1))</f>
        <v>2</v>
      </c>
    </row>
    <row r="120" outlineLevel="1">
      <c r="A120" t="inlineStr" s="16">
        <is>
          <t xml:space="preserve">Customer monthly delivered audits &gt; Hybrid</t>
        </is>
      </c>
      <c r="AA120" s="9">
        <f>'Model inputs'!AA201*IF(IF(EXACT("Hybrid","Annual deal-team"),IF('Model inputs'!AA187="","",'Model inputs'!AA187),1)="",0,IF(EXACT("Hybrid","Annual deal-team"),IF('Model inputs'!AA187="","",'Model inputs'!AA187),1))</f>
        <v>2</v>
      </c>
    </row>
    <row r="121" outlineLevel="1">
      <c r="A121" t="inlineStr" s="16">
        <is>
          <t xml:space="preserve">Customer monthly delivered audits &gt; Per audit — base</t>
        </is>
      </c>
      <c r="AA121" s="9">
        <f>'Model inputs'!AA201*IF(IF(EXACT("Per audit — base","Annual deal-team"),IF('Model inputs'!AA187="","",'Model inputs'!AA187),1)="",0,IF(EXACT("Per audit — base","Annual deal-team"),IF('Model inputs'!AA187="","",'Model inputs'!AA187),1))</f>
        <v>2</v>
      </c>
    </row>
    <row r="122" outlineLevel="1">
      <c r="A122" t="inlineStr" s="16">
        <is>
          <t xml:space="preserve">Customer monthly delivered audits &gt; Per audit — high</t>
        </is>
      </c>
      <c r="AA122" s="9">
        <f>'Model inputs'!AA201*IF(IF(EXACT("Per audit — high","Annual deal-team"),IF('Model inputs'!AA187="","",'Model inputs'!AA187),1)="",0,IF(EXACT("Per audit — high","Annual deal-team"),IF('Model inputs'!AA187="","",'Model inputs'!AA187),1))</f>
        <v>2</v>
      </c>
    </row>
    <row r="123" outlineLevel="1">
      <c r="A123" t="inlineStr" s="16">
        <is>
          <t xml:space="preserve">Customer monthly delivered audits &gt; Per audit — low</t>
        </is>
      </c>
      <c r="AA123" s="9">
        <f>'Model inputs'!AA201*IF(IF(EXACT("Per audit — low","Annual deal-team"),IF('Model inputs'!AA187="","",'Model inputs'!AA187),1)="",0,IF(EXACT("Per audit — low","Annual deal-team"),IF('Model inputs'!AA187="","",'Model inputs'!AA187),1))</f>
        <v>2</v>
      </c>
    </row>
    <row r="124">
      <c r="A124" t="inlineStr" s="14">
        <is>
          <t xml:space="preserve">Customer monthly earned revenue</t>
        </is>
      </c>
      <c r="AA124" s="6">
        <v>0</v>
      </c>
    </row>
    <row r="125" outlineLevel="1">
      <c r="A125" t="inlineStr" s="16">
        <is>
          <t xml:space="preserve">Customer monthly earned revenue &gt; Annual deal-team</t>
        </is>
      </c>
      <c r="AA125" s="8">
        <f>IF(EXACT("Annual deal-team","Annual deal-team"),('Model inputs'!AA173/12+MAX('Model inputs'!AA200*'Model inputs'!AA186-'Model inputs'!AA231/12,0)*'Model inputs'!AA245)*(1-'Model inputs'!AA170),('Model inputs'!AA173/12+'Model inputs'!AA189*'Model inputs'!AA200)*(1-'Model inputs'!AA170))</f>
        <v>4000</v>
      </c>
    </row>
    <row r="126" outlineLevel="1">
      <c r="A126" t="inlineStr" s="16">
        <is>
          <t xml:space="preserve">Customer monthly earned revenue &gt; Hybrid</t>
        </is>
      </c>
      <c r="AA126" s="8">
        <f>IF(EXACT("Hybrid","Annual deal-team"),('Model inputs'!AA174/12+MAX('Model inputs'!AA200*'Model inputs'!AA186-'Model inputs'!AA232/12,0)*'Model inputs'!AA246)*(1-'Model inputs'!AA170),('Model inputs'!AA174/12+'Model inputs'!AA190*'Model inputs'!AA200)*(1-'Model inputs'!AA170))</f>
        <v>4500</v>
      </c>
    </row>
    <row r="127" outlineLevel="1">
      <c r="A127" t="inlineStr" s="16">
        <is>
          <t xml:space="preserve">Customer monthly earned revenue &gt; Per audit — base</t>
        </is>
      </c>
      <c r="AA127" s="8">
        <f>IF(EXACT("Per audit — base","Annual deal-team"),('Model inputs'!AA175/12+MAX('Model inputs'!AA200*'Model inputs'!AA186-'Model inputs'!AA233/12,0)*'Model inputs'!AA247)*(1-'Model inputs'!AA170),('Model inputs'!AA175/12+'Model inputs'!AA191*'Model inputs'!AA200)*(1-'Model inputs'!AA170))</f>
        <v>6000</v>
      </c>
    </row>
    <row r="128" outlineLevel="1">
      <c r="A128" t="inlineStr" s="16">
        <is>
          <t xml:space="preserve">Customer monthly earned revenue &gt; Per audit — high</t>
        </is>
      </c>
      <c r="AA128" s="8">
        <f>IF(EXACT("Per audit — high","Annual deal-team"),('Model inputs'!AA176/12+MAX('Model inputs'!AA200*'Model inputs'!AA186-'Model inputs'!AA234/12,0)*'Model inputs'!AA248)*(1-'Model inputs'!AA170),('Model inputs'!AA176/12+'Model inputs'!AA192*'Model inputs'!AA200)*(1-'Model inputs'!AA170))</f>
        <v>12000</v>
      </c>
    </row>
    <row r="129" outlineLevel="1">
      <c r="A129" t="inlineStr" s="16">
        <is>
          <t xml:space="preserve">Customer monthly earned revenue &gt; Per audit — low</t>
        </is>
      </c>
      <c r="AA129" s="8">
        <f>IF(EXACT("Per audit — low","Annual deal-team"),('Model inputs'!AA177/12+MAX('Model inputs'!AA200*'Model inputs'!AA186-'Model inputs'!AA235/12,0)*'Model inputs'!AA249)*(1-'Model inputs'!AA170),('Model inputs'!AA177/12+'Model inputs'!AA193*'Model inputs'!AA200)*(1-'Model inputs'!AA170))</f>
        <v>3000</v>
      </c>
    </row>
    <row r="130">
      <c r="A130" t="inlineStr" s="14">
        <is>
          <t xml:space="preserve">Customer monthly earned revenue</t>
        </is>
      </c>
      <c r="AA130" s="6">
        <v>0</v>
      </c>
    </row>
    <row r="131" outlineLevel="1">
      <c r="A131" t="inlineStr" s="16">
        <is>
          <t xml:space="preserve">Customer monthly earned revenue &gt; Annual deal-team</t>
        </is>
      </c>
      <c r="AA131" s="8">
        <f>IF(EXACT("Annual deal-team","Annual deal-team"),('Model inputs'!AA179/12+MAX('Model inputs'!AA201*'Model inputs'!AA187-'Model inputs'!AA237/12,0)*'Model inputs'!AA251)*(1-'Model inputs'!AA171),('Model inputs'!AA179/12+'Model inputs'!AA195*'Model inputs'!AA201)*(1-'Model inputs'!AA171))</f>
        <v>2000</v>
      </c>
    </row>
    <row r="132" outlineLevel="1">
      <c r="A132" t="inlineStr" s="16">
        <is>
          <t xml:space="preserve">Customer monthly earned revenue &gt; Hybrid</t>
        </is>
      </c>
      <c r="AA132" s="8">
        <f>IF(EXACT("Hybrid","Annual deal-team"),('Model inputs'!AA180/12+MAX('Model inputs'!AA201*'Model inputs'!AA187-'Model inputs'!AA238/12,0)*'Model inputs'!AA252)*(1-'Model inputs'!AA171),('Model inputs'!AA180/12+'Model inputs'!AA196*'Model inputs'!AA201)*(1-'Model inputs'!AA171))</f>
        <v>2500</v>
      </c>
    </row>
    <row r="133" outlineLevel="1">
      <c r="A133" t="inlineStr" s="16">
        <is>
          <t xml:space="preserve">Customer monthly earned revenue &gt; Per audit — base</t>
        </is>
      </c>
      <c r="AA133" s="8">
        <f>IF(EXACT("Per audit — base","Annual deal-team"),('Model inputs'!AA181/12+MAX('Model inputs'!AA201*'Model inputs'!AA187-'Model inputs'!AA239/12,0)*'Model inputs'!AA253)*(1-'Model inputs'!AA171),('Model inputs'!AA181/12+'Model inputs'!AA197*'Model inputs'!AA201)*(1-'Model inputs'!AA171))</f>
        <v>3000</v>
      </c>
    </row>
    <row r="134" outlineLevel="1">
      <c r="A134" t="inlineStr" s="16">
        <is>
          <t xml:space="preserve">Customer monthly earned revenue &gt; Per audit — high</t>
        </is>
      </c>
      <c r="AA134" s="8">
        <f>IF(EXACT("Per audit — high","Annual deal-team"),('Model inputs'!AA182/12+MAX('Model inputs'!AA201*'Model inputs'!AA187-'Model inputs'!AA240/12,0)*'Model inputs'!AA254)*(1-'Model inputs'!AA171),('Model inputs'!AA182/12+'Model inputs'!AA198*'Model inputs'!AA201)*(1-'Model inputs'!AA171))</f>
        <v>6000</v>
      </c>
    </row>
    <row r="135" outlineLevel="1">
      <c r="A135" t="inlineStr" s="16">
        <is>
          <t xml:space="preserve">Customer monthly earned revenue &gt; Per audit — low</t>
        </is>
      </c>
      <c r="AA135" s="8">
        <f>IF(EXACT("Per audit — low","Annual deal-team"),('Model inputs'!AA183/12+MAX('Model inputs'!AA201*'Model inputs'!AA187-'Model inputs'!AA241/12,0)*'Model inputs'!AA255)*(1-'Model inputs'!AA171),('Model inputs'!AA183/12+'Model inputs'!AA199*'Model inputs'!AA201)*(1-'Model inputs'!AA171))</f>
        <v>1500</v>
      </c>
    </row>
    <row r="136">
      <c r="A136" t="inlineStr" s="14">
        <is>
          <t xml:space="preserve">Delivery COGS</t>
        </is>
      </c>
      <c r="C136" s="6">
        <f>SUM('Model inputs'!C137,'Model inputs'!C138,'Model inputs'!C139,'Model inputs'!C140,'Model inputs'!C141)</f>
        <v>0</v>
      </c>
      <c r="D136" s="6">
        <f>SUM('Model inputs'!D137,'Model inputs'!D138,'Model inputs'!D139,'Model inputs'!D140,'Model inputs'!D141)</f>
        <v>0</v>
      </c>
      <c r="E136" s="6">
        <f>SUM('Model inputs'!E137,'Model inputs'!E138,'Model inputs'!E139,'Model inputs'!E140,'Model inputs'!E141)</f>
        <v>0</v>
      </c>
      <c r="F136" s="6">
        <f>SUM('Model inputs'!F137,'Model inputs'!F138,'Model inputs'!F139,'Model inputs'!F140,'Model inputs'!F141)</f>
        <v>0</v>
      </c>
      <c r="G136" s="6">
        <f>SUM('Model inputs'!G137,'Model inputs'!G138,'Model inputs'!G139,'Model inputs'!G140,'Model inputs'!G141)</f>
        <v>0</v>
      </c>
      <c r="H136" s="6">
        <f>SUM('Model inputs'!H137,'Model inputs'!H138,'Model inputs'!H139,'Model inputs'!H140,'Model inputs'!H141)</f>
        <v>0</v>
      </c>
      <c r="I136" s="6">
        <f>SUM('Model inputs'!I137,'Model inputs'!I138,'Model inputs'!I139,'Model inputs'!I140,'Model inputs'!I141)</f>
        <v>0</v>
      </c>
      <c r="J136" s="6">
        <f>SUM('Model inputs'!J137,'Model inputs'!J138,'Model inputs'!J139,'Model inputs'!J140,'Model inputs'!J141)</f>
        <v>0</v>
      </c>
      <c r="K136" s="6">
        <f>SUM('Model inputs'!K137,'Model inputs'!K138,'Model inputs'!K139,'Model inputs'!K140,'Model inputs'!K141)</f>
        <v>0</v>
      </c>
      <c r="L136" t="str" s="6">
        <f>""</f>
        <v/>
      </c>
      <c r="M136" t="str" s="6">
        <f>""</f>
        <v/>
      </c>
      <c r="N136" t="str" s="6">
        <f>""</f>
        <v/>
      </c>
      <c r="O136" t="str" s="6">
        <f>""</f>
        <v/>
      </c>
      <c r="P136" t="str" s="6">
        <f>""</f>
        <v/>
      </c>
      <c r="Q136" t="str" s="6">
        <f>""</f>
        <v/>
      </c>
      <c r="R136" t="str" s="6">
        <f>""</f>
        <v/>
      </c>
      <c r="S136" t="str" s="6">
        <f>""</f>
        <v/>
      </c>
      <c r="T136" t="str" s="6">
        <f>""</f>
        <v/>
      </c>
      <c r="U136" t="str" s="6">
        <f>""</f>
        <v/>
      </c>
      <c r="V136" t="str" s="6">
        <f>""</f>
        <v/>
      </c>
      <c r="W136" t="str" s="6">
        <f>""</f>
        <v/>
      </c>
      <c r="X136" t="str" s="6">
        <f>""</f>
        <v/>
      </c>
      <c r="Y136" t="str" s="6">
        <f>""</f>
        <v/>
      </c>
      <c r="Z136" t="str" s="6">
        <f>""</f>
        <v/>
      </c>
    </row>
    <row r="137" outlineLevel="1">
      <c r="A137" t="inlineStr" s="16">
        <is>
          <t xml:space="preserve">Delivery COGS &gt; Annual deal-team</t>
        </is>
      </c>
      <c r="C137" s="8">
        <f>0</f>
        <v>0</v>
      </c>
      <c r="D137" s="8">
        <f>0</f>
        <v>0</v>
      </c>
      <c r="E137" s="8">
        <f>0</f>
        <v>0</v>
      </c>
      <c r="F137" s="8">
        <f>0</f>
        <v>0</v>
      </c>
      <c r="G137" s="8">
        <f>0</f>
        <v>0</v>
      </c>
      <c r="H137" s="8">
        <f>0</f>
        <v>0</v>
      </c>
      <c r="I137" s="8">
        <f>0</f>
        <v>0</v>
      </c>
      <c r="J137" s="8">
        <f>0</f>
        <v>0</v>
      </c>
      <c r="K137" s="8">
        <f>0</f>
        <v>0</v>
      </c>
      <c r="L137" s="8">
        <f>'Model inputs'!L31*'Model inputs'!AA208</f>
        <v>473.25</v>
      </c>
      <c r="M137" s="8">
        <f>'Model inputs'!M31*'Model inputs'!AA208</f>
        <v>946.5</v>
      </c>
      <c r="N137" s="8">
        <f>'Model inputs'!N31*'Model inputs'!AA208</f>
        <v>1419.75</v>
      </c>
      <c r="O137" s="8">
        <f>'Model inputs'!O31*'Model inputs'!AA208</f>
        <v>1893</v>
      </c>
      <c r="P137" s="8">
        <f>'Model inputs'!P31*'Model inputs'!AA208</f>
        <v>2366.25</v>
      </c>
      <c r="Q137" s="8">
        <f>'Model inputs'!Q31*'Model inputs'!AA208</f>
        <v>2839.5</v>
      </c>
      <c r="R137" s="8">
        <f>'Model inputs'!R31*'Model inputs'!AA208</f>
        <v>3312.75</v>
      </c>
      <c r="S137" s="8">
        <f>'Model inputs'!S31*'Model inputs'!AA208</f>
        <v>3786</v>
      </c>
      <c r="T137" s="8">
        <f>'Model inputs'!T31*'Model inputs'!AA208</f>
        <v>4259.25</v>
      </c>
      <c r="U137" s="8">
        <f>'Model inputs'!U31*'Model inputs'!AA208</f>
        <v>4732.5</v>
      </c>
      <c r="V137" s="8">
        <f>'Model inputs'!V31*'Model inputs'!AA208</f>
        <v>5205.75</v>
      </c>
      <c r="W137" s="8">
        <f>'Model inputs'!W31*'Model inputs'!AA208</f>
        <v>5679</v>
      </c>
      <c r="X137" s="8">
        <f>'Model inputs'!X31*'Model inputs'!AA208</f>
        <v>5679</v>
      </c>
      <c r="Y137" s="8">
        <f>'Model inputs'!Y31*'Model inputs'!AA208</f>
        <v>5679</v>
      </c>
      <c r="Z137" s="8">
        <f>'Model inputs'!Z31*'Model inputs'!AA208</f>
        <v>5679</v>
      </c>
    </row>
    <row r="138" outlineLevel="1">
      <c r="A138" t="inlineStr" s="16">
        <is>
          <t xml:space="preserve">Delivery COGS &gt; Hybrid</t>
        </is>
      </c>
      <c r="C138" s="8">
        <f>0</f>
        <v>0</v>
      </c>
      <c r="D138" s="8">
        <f>0</f>
        <v>0</v>
      </c>
      <c r="E138" s="8">
        <f>0</f>
        <v>0</v>
      </c>
      <c r="F138" s="8">
        <f>0</f>
        <v>0</v>
      </c>
      <c r="G138" s="8">
        <f>0</f>
        <v>0</v>
      </c>
      <c r="H138" s="8">
        <f>0</f>
        <v>0</v>
      </c>
      <c r="I138" s="8">
        <f>0</f>
        <v>0</v>
      </c>
      <c r="J138" s="8">
        <f>0</f>
        <v>0</v>
      </c>
      <c r="K138" s="8">
        <f>0</f>
        <v>0</v>
      </c>
      <c r="L138" s="8">
        <f>'Model inputs'!L32*'Model inputs'!AA208</f>
        <v>473.25</v>
      </c>
      <c r="M138" s="8">
        <f>'Model inputs'!M32*'Model inputs'!AA208</f>
        <v>946.5</v>
      </c>
      <c r="N138" s="8">
        <f>'Model inputs'!N32*'Model inputs'!AA208</f>
        <v>1419.75</v>
      </c>
      <c r="O138" s="8">
        <f>'Model inputs'!O32*'Model inputs'!AA208</f>
        <v>1893</v>
      </c>
      <c r="P138" s="8">
        <f>'Model inputs'!P32*'Model inputs'!AA208</f>
        <v>2366.25</v>
      </c>
      <c r="Q138" s="8">
        <f>'Model inputs'!Q32*'Model inputs'!AA208</f>
        <v>2839.5</v>
      </c>
      <c r="R138" s="8">
        <f>'Model inputs'!R32*'Model inputs'!AA208</f>
        <v>3312.75</v>
      </c>
      <c r="S138" s="8">
        <f>'Model inputs'!S32*'Model inputs'!AA208</f>
        <v>3786</v>
      </c>
      <c r="T138" s="8">
        <f>'Model inputs'!T32*'Model inputs'!AA208</f>
        <v>4259.25</v>
      </c>
      <c r="U138" s="8">
        <f>'Model inputs'!U32*'Model inputs'!AA208</f>
        <v>4732.5</v>
      </c>
      <c r="V138" s="8">
        <f>'Model inputs'!V32*'Model inputs'!AA208</f>
        <v>5205.75</v>
      </c>
      <c r="W138" s="8">
        <f>'Model inputs'!W32*'Model inputs'!AA208</f>
        <v>5679</v>
      </c>
      <c r="X138" s="8">
        <f>'Model inputs'!X32*'Model inputs'!AA208</f>
        <v>5679</v>
      </c>
      <c r="Y138" s="8">
        <f>'Model inputs'!Y32*'Model inputs'!AA208</f>
        <v>5679</v>
      </c>
      <c r="Z138" s="8">
        <f>'Model inputs'!Z32*'Model inputs'!AA208</f>
        <v>5679</v>
      </c>
    </row>
    <row r="139" outlineLevel="1">
      <c r="A139" t="inlineStr" s="16">
        <is>
          <t xml:space="preserve">Delivery COGS &gt; Per audit — base</t>
        </is>
      </c>
      <c r="C139" s="8">
        <f>0</f>
        <v>0</v>
      </c>
      <c r="D139" s="8">
        <f>0</f>
        <v>0</v>
      </c>
      <c r="E139" s="8">
        <f>0</f>
        <v>0</v>
      </c>
      <c r="F139" s="8">
        <f>0</f>
        <v>0</v>
      </c>
      <c r="G139" s="8">
        <f>0</f>
        <v>0</v>
      </c>
      <c r="H139" s="8">
        <f>0</f>
        <v>0</v>
      </c>
      <c r="I139" s="8">
        <f>0</f>
        <v>0</v>
      </c>
      <c r="J139" s="8">
        <f>0</f>
        <v>0</v>
      </c>
      <c r="K139" s="8">
        <f>0</f>
        <v>0</v>
      </c>
      <c r="L139" s="8">
        <f>'Model inputs'!L33*'Model inputs'!AA208</f>
        <v>473.25</v>
      </c>
      <c r="M139" s="8">
        <f>'Model inputs'!M33*'Model inputs'!AA208</f>
        <v>946.5</v>
      </c>
      <c r="N139" s="8">
        <f>'Model inputs'!N33*'Model inputs'!AA208</f>
        <v>1419.75</v>
      </c>
      <c r="O139" s="8">
        <f>'Model inputs'!O33*'Model inputs'!AA208</f>
        <v>1893</v>
      </c>
      <c r="P139" s="8">
        <f>'Model inputs'!P33*'Model inputs'!AA208</f>
        <v>2366.25</v>
      </c>
      <c r="Q139" s="8">
        <f>'Model inputs'!Q33*'Model inputs'!AA208</f>
        <v>2839.5</v>
      </c>
      <c r="R139" s="8">
        <f>'Model inputs'!R33*'Model inputs'!AA208</f>
        <v>3312.75</v>
      </c>
      <c r="S139" s="8">
        <f>'Model inputs'!S33*'Model inputs'!AA208</f>
        <v>3786</v>
      </c>
      <c r="T139" s="8">
        <f>'Model inputs'!T33*'Model inputs'!AA208</f>
        <v>4259.25</v>
      </c>
      <c r="U139" s="8">
        <f>'Model inputs'!U33*'Model inputs'!AA208</f>
        <v>4732.5</v>
      </c>
      <c r="V139" s="8">
        <f>'Model inputs'!V33*'Model inputs'!AA208</f>
        <v>5205.75</v>
      </c>
      <c r="W139" s="8">
        <f>'Model inputs'!W33*'Model inputs'!AA208</f>
        <v>5679</v>
      </c>
      <c r="X139" s="8">
        <f>'Model inputs'!X33*'Model inputs'!AA208</f>
        <v>5679</v>
      </c>
      <c r="Y139" s="8">
        <f>'Model inputs'!Y33*'Model inputs'!AA208</f>
        <v>5679</v>
      </c>
      <c r="Z139" s="8">
        <f>'Model inputs'!Z33*'Model inputs'!AA208</f>
        <v>5679</v>
      </c>
    </row>
    <row r="140" outlineLevel="1">
      <c r="A140" t="inlineStr" s="16">
        <is>
          <t xml:space="preserve">Delivery COGS &gt; Per audit — high</t>
        </is>
      </c>
      <c r="C140" s="8">
        <f>0</f>
        <v>0</v>
      </c>
      <c r="D140" s="8">
        <f>0</f>
        <v>0</v>
      </c>
      <c r="E140" s="8">
        <f>0</f>
        <v>0</v>
      </c>
      <c r="F140" s="8">
        <f>0</f>
        <v>0</v>
      </c>
      <c r="G140" s="8">
        <f>0</f>
        <v>0</v>
      </c>
      <c r="H140" s="8">
        <f>0</f>
        <v>0</v>
      </c>
      <c r="I140" s="8">
        <f>0</f>
        <v>0</v>
      </c>
      <c r="J140" s="8">
        <f>0</f>
        <v>0</v>
      </c>
      <c r="K140" s="8">
        <f>0</f>
        <v>0</v>
      </c>
      <c r="L140" s="8">
        <f>'Model inputs'!L34*'Model inputs'!AA208</f>
        <v>473.25</v>
      </c>
      <c r="M140" s="8">
        <f>'Model inputs'!M34*'Model inputs'!AA208</f>
        <v>946.5</v>
      </c>
      <c r="N140" s="8">
        <f>'Model inputs'!N34*'Model inputs'!AA208</f>
        <v>1419.75</v>
      </c>
      <c r="O140" s="8">
        <f>'Model inputs'!O34*'Model inputs'!AA208</f>
        <v>1893</v>
      </c>
      <c r="P140" s="8">
        <f>'Model inputs'!P34*'Model inputs'!AA208</f>
        <v>2366.25</v>
      </c>
      <c r="Q140" s="8">
        <f>'Model inputs'!Q34*'Model inputs'!AA208</f>
        <v>2839.5</v>
      </c>
      <c r="R140" s="8">
        <f>'Model inputs'!R34*'Model inputs'!AA208</f>
        <v>3312.75</v>
      </c>
      <c r="S140" s="8">
        <f>'Model inputs'!S34*'Model inputs'!AA208</f>
        <v>3786</v>
      </c>
      <c r="T140" s="8">
        <f>'Model inputs'!T34*'Model inputs'!AA208</f>
        <v>4259.25</v>
      </c>
      <c r="U140" s="8">
        <f>'Model inputs'!U34*'Model inputs'!AA208</f>
        <v>4732.5</v>
      </c>
      <c r="V140" s="8">
        <f>'Model inputs'!V34*'Model inputs'!AA208</f>
        <v>5205.75</v>
      </c>
      <c r="W140" s="8">
        <f>'Model inputs'!W34*'Model inputs'!AA208</f>
        <v>5679</v>
      </c>
      <c r="X140" s="8">
        <f>'Model inputs'!X34*'Model inputs'!AA208</f>
        <v>5679</v>
      </c>
      <c r="Y140" s="8">
        <f>'Model inputs'!Y34*'Model inputs'!AA208</f>
        <v>5679</v>
      </c>
      <c r="Z140" s="8">
        <f>'Model inputs'!Z34*'Model inputs'!AA208</f>
        <v>5679</v>
      </c>
    </row>
    <row r="141" outlineLevel="1">
      <c r="A141" t="inlineStr" s="16">
        <is>
          <t xml:space="preserve">Delivery COGS &gt; Per audit — low</t>
        </is>
      </c>
      <c r="C141" s="8">
        <f>0</f>
        <v>0</v>
      </c>
      <c r="D141" s="8">
        <f>0</f>
        <v>0</v>
      </c>
      <c r="E141" s="8">
        <f>0</f>
        <v>0</v>
      </c>
      <c r="F141" s="8">
        <f>0</f>
        <v>0</v>
      </c>
      <c r="G141" s="8">
        <f>0</f>
        <v>0</v>
      </c>
      <c r="H141" s="8">
        <f>0</f>
        <v>0</v>
      </c>
      <c r="I141" s="8">
        <f>0</f>
        <v>0</v>
      </c>
      <c r="J141" s="8">
        <f>0</f>
        <v>0</v>
      </c>
      <c r="K141" s="8">
        <f>0</f>
        <v>0</v>
      </c>
      <c r="L141" s="8">
        <f>'Model inputs'!L35*'Model inputs'!AA208</f>
        <v>473.25</v>
      </c>
      <c r="M141" s="8">
        <f>'Model inputs'!M35*'Model inputs'!AA208</f>
        <v>946.5</v>
      </c>
      <c r="N141" s="8">
        <f>'Model inputs'!N35*'Model inputs'!AA208</f>
        <v>1419.75</v>
      </c>
      <c r="O141" s="8">
        <f>'Model inputs'!O35*'Model inputs'!AA208</f>
        <v>1893</v>
      </c>
      <c r="P141" s="8">
        <f>'Model inputs'!P35*'Model inputs'!AA208</f>
        <v>2366.25</v>
      </c>
      <c r="Q141" s="8">
        <f>'Model inputs'!Q35*'Model inputs'!AA208</f>
        <v>2839.5</v>
      </c>
      <c r="R141" s="8">
        <f>'Model inputs'!R35*'Model inputs'!AA208</f>
        <v>3312.75</v>
      </c>
      <c r="S141" s="8">
        <f>'Model inputs'!S35*'Model inputs'!AA208</f>
        <v>3786</v>
      </c>
      <c r="T141" s="8">
        <f>'Model inputs'!T35*'Model inputs'!AA208</f>
        <v>4259.25</v>
      </c>
      <c r="U141" s="8">
        <f>'Model inputs'!U35*'Model inputs'!AA208</f>
        <v>4732.5</v>
      </c>
      <c r="V141" s="8">
        <f>'Model inputs'!V35*'Model inputs'!AA208</f>
        <v>5205.75</v>
      </c>
      <c r="W141" s="8">
        <f>'Model inputs'!W35*'Model inputs'!AA208</f>
        <v>5679</v>
      </c>
      <c r="X141" s="8">
        <f>'Model inputs'!X35*'Model inputs'!AA208</f>
        <v>5679</v>
      </c>
      <c r="Y141" s="8">
        <f>'Model inputs'!Y35*'Model inputs'!AA208</f>
        <v>5679</v>
      </c>
      <c r="Z141" s="8">
        <f>'Model inputs'!Z35*'Model inputs'!AA208</f>
        <v>5679</v>
      </c>
    </row>
    <row r="142">
      <c r="A142" t="inlineStr" s="14">
        <is>
          <t xml:space="preserve">Delivery COGS</t>
        </is>
      </c>
      <c r="C142" s="6">
        <f>SUM('Model inputs'!C143,'Model inputs'!C144,'Model inputs'!C145,'Model inputs'!C146,'Model inputs'!C147)</f>
        <v>0</v>
      </c>
      <c r="D142" s="6">
        <f>SUM('Model inputs'!D143,'Model inputs'!D144,'Model inputs'!D145,'Model inputs'!D146,'Model inputs'!D147)</f>
        <v>0</v>
      </c>
      <c r="E142" s="6">
        <f>SUM('Model inputs'!E143,'Model inputs'!E144,'Model inputs'!E145,'Model inputs'!E146,'Model inputs'!E147)</f>
        <v>0</v>
      </c>
      <c r="F142" s="6">
        <f>SUM('Model inputs'!F143,'Model inputs'!F144,'Model inputs'!F145,'Model inputs'!F146,'Model inputs'!F147)</f>
        <v>0</v>
      </c>
      <c r="G142" s="6">
        <f>SUM('Model inputs'!G143,'Model inputs'!G144,'Model inputs'!G145,'Model inputs'!G146,'Model inputs'!G147)</f>
        <v>0</v>
      </c>
      <c r="H142" s="6">
        <f>SUM('Model inputs'!H143,'Model inputs'!H144,'Model inputs'!H145,'Model inputs'!H146,'Model inputs'!H147)</f>
        <v>0</v>
      </c>
      <c r="I142" s="6">
        <f>SUM('Model inputs'!I143,'Model inputs'!I144,'Model inputs'!I145,'Model inputs'!I146,'Model inputs'!I147)</f>
        <v>0</v>
      </c>
      <c r="J142" s="6">
        <f>SUM('Model inputs'!J143,'Model inputs'!J144,'Model inputs'!J145,'Model inputs'!J146,'Model inputs'!J147)</f>
        <v>0</v>
      </c>
      <c r="K142" s="6">
        <f>SUM('Model inputs'!K143,'Model inputs'!K144,'Model inputs'!K145,'Model inputs'!K146,'Model inputs'!K147)</f>
        <v>0</v>
      </c>
      <c r="L142" t="str" s="6">
        <f>""</f>
        <v/>
      </c>
      <c r="M142" t="str" s="6">
        <f>""</f>
        <v/>
      </c>
      <c r="N142" t="str" s="6">
        <f>""</f>
        <v/>
      </c>
      <c r="O142" t="str" s="6">
        <f>""</f>
        <v/>
      </c>
      <c r="P142" t="str" s="6">
        <f>""</f>
        <v/>
      </c>
      <c r="Q142" t="str" s="6">
        <f>""</f>
        <v/>
      </c>
      <c r="R142" t="str" s="6">
        <f>""</f>
        <v/>
      </c>
      <c r="S142" t="str" s="6">
        <f>""</f>
        <v/>
      </c>
      <c r="T142" t="str" s="6">
        <f>""</f>
        <v/>
      </c>
      <c r="U142" t="str" s="6">
        <f>""</f>
        <v/>
      </c>
      <c r="V142" t="str" s="6">
        <f>""</f>
        <v/>
      </c>
      <c r="W142" t="str" s="6">
        <f>""</f>
        <v/>
      </c>
      <c r="X142" t="str" s="6">
        <f>""</f>
        <v/>
      </c>
      <c r="Y142" t="str" s="6">
        <f>""</f>
        <v/>
      </c>
      <c r="Z142" t="str" s="6">
        <f>""</f>
        <v/>
      </c>
    </row>
    <row r="143" outlineLevel="1">
      <c r="A143" t="inlineStr" s="16">
        <is>
          <t xml:space="preserve">Delivery COGS &gt; Annual deal-team</t>
        </is>
      </c>
      <c r="C143" s="8">
        <f>0</f>
        <v>0</v>
      </c>
      <c r="D143" s="8">
        <f>0</f>
        <v>0</v>
      </c>
      <c r="E143" s="8">
        <f>0</f>
        <v>0</v>
      </c>
      <c r="F143" s="8">
        <f>0</f>
        <v>0</v>
      </c>
      <c r="G143" s="8">
        <f>0</f>
        <v>0</v>
      </c>
      <c r="H143" s="8">
        <f>0</f>
        <v>0</v>
      </c>
      <c r="I143" s="8">
        <f>0</f>
        <v>0</v>
      </c>
      <c r="J143" s="8">
        <f>0</f>
        <v>0</v>
      </c>
      <c r="K143" s="8">
        <f>0</f>
        <v>0</v>
      </c>
      <c r="L143" s="8">
        <f>'Model inputs'!L37*'Model inputs'!AA209</f>
        <v>0</v>
      </c>
      <c r="M143" s="8">
        <f>'Model inputs'!M37*'Model inputs'!AA209</f>
        <v>0</v>
      </c>
      <c r="N143" s="8">
        <f>'Model inputs'!N37*'Model inputs'!AA209</f>
        <v>383.9</v>
      </c>
      <c r="O143" s="8">
        <f>'Model inputs'!O37*'Model inputs'!AA209</f>
        <v>383.9</v>
      </c>
      <c r="P143" s="8">
        <f>'Model inputs'!P37*'Model inputs'!AA209</f>
        <v>383.9</v>
      </c>
      <c r="Q143" s="8">
        <f>'Model inputs'!Q37*'Model inputs'!AA209</f>
        <v>383.9</v>
      </c>
      <c r="R143" s="8">
        <f>'Model inputs'!R37*'Model inputs'!AA209</f>
        <v>383.9</v>
      </c>
      <c r="S143" s="8">
        <f>'Model inputs'!S37*'Model inputs'!AA209</f>
        <v>383.9</v>
      </c>
      <c r="T143" s="8">
        <f>'Model inputs'!T37*'Model inputs'!AA209</f>
        <v>383.9</v>
      </c>
      <c r="U143" s="8">
        <f>'Model inputs'!U37*'Model inputs'!AA209</f>
        <v>383.9</v>
      </c>
      <c r="V143" s="8">
        <f>'Model inputs'!V37*'Model inputs'!AA209</f>
        <v>383.9</v>
      </c>
      <c r="W143" s="8">
        <f>'Model inputs'!W37*'Model inputs'!AA209</f>
        <v>383.9</v>
      </c>
      <c r="X143" s="8">
        <f>'Model inputs'!X37*'Model inputs'!AA209</f>
        <v>383.9</v>
      </c>
      <c r="Y143" s="8">
        <f>'Model inputs'!Y37*'Model inputs'!AA209</f>
        <v>383.9</v>
      </c>
      <c r="Z143" s="8">
        <f>'Model inputs'!Z37*'Model inputs'!AA209</f>
        <v>383.9</v>
      </c>
    </row>
    <row r="144" outlineLevel="1">
      <c r="A144" t="inlineStr" s="16">
        <is>
          <t xml:space="preserve">Delivery COGS &gt; Hybrid</t>
        </is>
      </c>
      <c r="C144" s="8">
        <f>0</f>
        <v>0</v>
      </c>
      <c r="D144" s="8">
        <f>0</f>
        <v>0</v>
      </c>
      <c r="E144" s="8">
        <f>0</f>
        <v>0</v>
      </c>
      <c r="F144" s="8">
        <f>0</f>
        <v>0</v>
      </c>
      <c r="G144" s="8">
        <f>0</f>
        <v>0</v>
      </c>
      <c r="H144" s="8">
        <f>0</f>
        <v>0</v>
      </c>
      <c r="I144" s="8">
        <f>0</f>
        <v>0</v>
      </c>
      <c r="J144" s="8">
        <f>0</f>
        <v>0</v>
      </c>
      <c r="K144" s="8">
        <f>0</f>
        <v>0</v>
      </c>
      <c r="L144" s="8">
        <f>'Model inputs'!L38*'Model inputs'!AA209</f>
        <v>0</v>
      </c>
      <c r="M144" s="8">
        <f>'Model inputs'!M38*'Model inputs'!AA209</f>
        <v>0</v>
      </c>
      <c r="N144" s="8">
        <f>'Model inputs'!N38*'Model inputs'!AA209</f>
        <v>383.9</v>
      </c>
      <c r="O144" s="8">
        <f>'Model inputs'!O38*'Model inputs'!AA209</f>
        <v>383.9</v>
      </c>
      <c r="P144" s="8">
        <f>'Model inputs'!P38*'Model inputs'!AA209</f>
        <v>383.9</v>
      </c>
      <c r="Q144" s="8">
        <f>'Model inputs'!Q38*'Model inputs'!AA209</f>
        <v>383.9</v>
      </c>
      <c r="R144" s="8">
        <f>'Model inputs'!R38*'Model inputs'!AA209</f>
        <v>383.9</v>
      </c>
      <c r="S144" s="8">
        <f>'Model inputs'!S38*'Model inputs'!AA209</f>
        <v>383.9</v>
      </c>
      <c r="T144" s="8">
        <f>'Model inputs'!T38*'Model inputs'!AA209</f>
        <v>383.9</v>
      </c>
      <c r="U144" s="8">
        <f>'Model inputs'!U38*'Model inputs'!AA209</f>
        <v>383.9</v>
      </c>
      <c r="V144" s="8">
        <f>'Model inputs'!V38*'Model inputs'!AA209</f>
        <v>383.9</v>
      </c>
      <c r="W144" s="8">
        <f>'Model inputs'!W38*'Model inputs'!AA209</f>
        <v>383.9</v>
      </c>
      <c r="X144" s="8">
        <f>'Model inputs'!X38*'Model inputs'!AA209</f>
        <v>383.9</v>
      </c>
      <c r="Y144" s="8">
        <f>'Model inputs'!Y38*'Model inputs'!AA209</f>
        <v>383.9</v>
      </c>
      <c r="Z144" s="8">
        <f>'Model inputs'!Z38*'Model inputs'!AA209</f>
        <v>383.9</v>
      </c>
    </row>
    <row r="145" outlineLevel="1">
      <c r="A145" t="inlineStr" s="16">
        <is>
          <t xml:space="preserve">Delivery COGS &gt; Per audit — base</t>
        </is>
      </c>
      <c r="C145" s="8">
        <f>0</f>
        <v>0</v>
      </c>
      <c r="D145" s="8">
        <f>0</f>
        <v>0</v>
      </c>
      <c r="E145" s="8">
        <f>0</f>
        <v>0</v>
      </c>
      <c r="F145" s="8">
        <f>0</f>
        <v>0</v>
      </c>
      <c r="G145" s="8">
        <f>0</f>
        <v>0</v>
      </c>
      <c r="H145" s="8">
        <f>0</f>
        <v>0</v>
      </c>
      <c r="I145" s="8">
        <f>0</f>
        <v>0</v>
      </c>
      <c r="J145" s="8">
        <f>0</f>
        <v>0</v>
      </c>
      <c r="K145" s="8">
        <f>0</f>
        <v>0</v>
      </c>
      <c r="L145" s="8">
        <f>'Model inputs'!L39*'Model inputs'!AA209</f>
        <v>0</v>
      </c>
      <c r="M145" s="8">
        <f>'Model inputs'!M39*'Model inputs'!AA209</f>
        <v>0</v>
      </c>
      <c r="N145" s="8">
        <f>'Model inputs'!N39*'Model inputs'!AA209</f>
        <v>383.9</v>
      </c>
      <c r="O145" s="8">
        <f>'Model inputs'!O39*'Model inputs'!AA209</f>
        <v>383.9</v>
      </c>
      <c r="P145" s="8">
        <f>'Model inputs'!P39*'Model inputs'!AA209</f>
        <v>383.9</v>
      </c>
      <c r="Q145" s="8">
        <f>'Model inputs'!Q39*'Model inputs'!AA209</f>
        <v>383.9</v>
      </c>
      <c r="R145" s="8">
        <f>'Model inputs'!R39*'Model inputs'!AA209</f>
        <v>383.9</v>
      </c>
      <c r="S145" s="8">
        <f>'Model inputs'!S39*'Model inputs'!AA209</f>
        <v>383.9</v>
      </c>
      <c r="T145" s="8">
        <f>'Model inputs'!T39*'Model inputs'!AA209</f>
        <v>383.9</v>
      </c>
      <c r="U145" s="8">
        <f>'Model inputs'!U39*'Model inputs'!AA209</f>
        <v>383.9</v>
      </c>
      <c r="V145" s="8">
        <f>'Model inputs'!V39*'Model inputs'!AA209</f>
        <v>383.9</v>
      </c>
      <c r="W145" s="8">
        <f>'Model inputs'!W39*'Model inputs'!AA209</f>
        <v>383.9</v>
      </c>
      <c r="X145" s="8">
        <f>'Model inputs'!X39*'Model inputs'!AA209</f>
        <v>383.9</v>
      </c>
      <c r="Y145" s="8">
        <f>'Model inputs'!Y39*'Model inputs'!AA209</f>
        <v>383.9</v>
      </c>
      <c r="Z145" s="8">
        <f>'Model inputs'!Z39*'Model inputs'!AA209</f>
        <v>383.9</v>
      </c>
    </row>
    <row r="146" outlineLevel="1">
      <c r="A146" t="inlineStr" s="16">
        <is>
          <t xml:space="preserve">Delivery COGS &gt; Per audit — high</t>
        </is>
      </c>
      <c r="C146" s="8">
        <f>0</f>
        <v>0</v>
      </c>
      <c r="D146" s="8">
        <f>0</f>
        <v>0</v>
      </c>
      <c r="E146" s="8">
        <f>0</f>
        <v>0</v>
      </c>
      <c r="F146" s="8">
        <f>0</f>
        <v>0</v>
      </c>
      <c r="G146" s="8">
        <f>0</f>
        <v>0</v>
      </c>
      <c r="H146" s="8">
        <f>0</f>
        <v>0</v>
      </c>
      <c r="I146" s="8">
        <f>0</f>
        <v>0</v>
      </c>
      <c r="J146" s="8">
        <f>0</f>
        <v>0</v>
      </c>
      <c r="K146" s="8">
        <f>0</f>
        <v>0</v>
      </c>
      <c r="L146" s="8">
        <f>'Model inputs'!L40*'Model inputs'!AA209</f>
        <v>0</v>
      </c>
      <c r="M146" s="8">
        <f>'Model inputs'!M40*'Model inputs'!AA209</f>
        <v>0</v>
      </c>
      <c r="N146" s="8">
        <f>'Model inputs'!N40*'Model inputs'!AA209</f>
        <v>383.9</v>
      </c>
      <c r="O146" s="8">
        <f>'Model inputs'!O40*'Model inputs'!AA209</f>
        <v>383.9</v>
      </c>
      <c r="P146" s="8">
        <f>'Model inputs'!P40*'Model inputs'!AA209</f>
        <v>383.9</v>
      </c>
      <c r="Q146" s="8">
        <f>'Model inputs'!Q40*'Model inputs'!AA209</f>
        <v>383.9</v>
      </c>
      <c r="R146" s="8">
        <f>'Model inputs'!R40*'Model inputs'!AA209</f>
        <v>383.9</v>
      </c>
      <c r="S146" s="8">
        <f>'Model inputs'!S40*'Model inputs'!AA209</f>
        <v>383.9</v>
      </c>
      <c r="T146" s="8">
        <f>'Model inputs'!T40*'Model inputs'!AA209</f>
        <v>383.9</v>
      </c>
      <c r="U146" s="8">
        <f>'Model inputs'!U40*'Model inputs'!AA209</f>
        <v>383.9</v>
      </c>
      <c r="V146" s="8">
        <f>'Model inputs'!V40*'Model inputs'!AA209</f>
        <v>383.9</v>
      </c>
      <c r="W146" s="8">
        <f>'Model inputs'!W40*'Model inputs'!AA209</f>
        <v>383.9</v>
      </c>
      <c r="X146" s="8">
        <f>'Model inputs'!X40*'Model inputs'!AA209</f>
        <v>383.9</v>
      </c>
      <c r="Y146" s="8">
        <f>'Model inputs'!Y40*'Model inputs'!AA209</f>
        <v>383.9</v>
      </c>
      <c r="Z146" s="8">
        <f>'Model inputs'!Z40*'Model inputs'!AA209</f>
        <v>383.9</v>
      </c>
    </row>
    <row r="147" outlineLevel="1">
      <c r="A147" t="inlineStr" s="16">
        <is>
          <t xml:space="preserve">Delivery COGS &gt; Per audit — low</t>
        </is>
      </c>
      <c r="C147" s="8">
        <f>0</f>
        <v>0</v>
      </c>
      <c r="D147" s="8">
        <f>0</f>
        <v>0</v>
      </c>
      <c r="E147" s="8">
        <f>0</f>
        <v>0</v>
      </c>
      <c r="F147" s="8">
        <f>0</f>
        <v>0</v>
      </c>
      <c r="G147" s="8">
        <f>0</f>
        <v>0</v>
      </c>
      <c r="H147" s="8">
        <f>0</f>
        <v>0</v>
      </c>
      <c r="I147" s="8">
        <f>0</f>
        <v>0</v>
      </c>
      <c r="J147" s="8">
        <f>0</f>
        <v>0</v>
      </c>
      <c r="K147" s="8">
        <f>0</f>
        <v>0</v>
      </c>
      <c r="L147" s="8">
        <f>'Model inputs'!L41*'Model inputs'!AA209</f>
        <v>0</v>
      </c>
      <c r="M147" s="8">
        <f>'Model inputs'!M41*'Model inputs'!AA209</f>
        <v>0</v>
      </c>
      <c r="N147" s="8">
        <f>'Model inputs'!N41*'Model inputs'!AA209</f>
        <v>383.9</v>
      </c>
      <c r="O147" s="8">
        <f>'Model inputs'!O41*'Model inputs'!AA209</f>
        <v>383.9</v>
      </c>
      <c r="P147" s="8">
        <f>'Model inputs'!P41*'Model inputs'!AA209</f>
        <v>383.9</v>
      </c>
      <c r="Q147" s="8">
        <f>'Model inputs'!Q41*'Model inputs'!AA209</f>
        <v>383.9</v>
      </c>
      <c r="R147" s="8">
        <f>'Model inputs'!R41*'Model inputs'!AA209</f>
        <v>383.9</v>
      </c>
      <c r="S147" s="8">
        <f>'Model inputs'!S41*'Model inputs'!AA209</f>
        <v>383.9</v>
      </c>
      <c r="T147" s="8">
        <f>'Model inputs'!T41*'Model inputs'!AA209</f>
        <v>383.9</v>
      </c>
      <c r="U147" s="8">
        <f>'Model inputs'!U41*'Model inputs'!AA209</f>
        <v>383.9</v>
      </c>
      <c r="V147" s="8">
        <f>'Model inputs'!V41*'Model inputs'!AA209</f>
        <v>383.9</v>
      </c>
      <c r="W147" s="8">
        <f>'Model inputs'!W41*'Model inputs'!AA209</f>
        <v>383.9</v>
      </c>
      <c r="X147" s="8">
        <f>'Model inputs'!X41*'Model inputs'!AA209</f>
        <v>383.9</v>
      </c>
      <c r="Y147" s="8">
        <f>'Model inputs'!Y41*'Model inputs'!AA209</f>
        <v>383.9</v>
      </c>
      <c r="Z147" s="8">
        <f>'Model inputs'!Z41*'Model inputs'!AA209</f>
        <v>383.9</v>
      </c>
    </row>
    <row r="148">
      <c r="A148" t="inlineStr" s="14">
        <is>
          <t xml:space="preserve">Fixed costs · Plan Net cash burn · Growth · Growth</t>
        </is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f>'Model inputs'!AA226+'Model inputs'!AA262+'Model inputs'!AA206+'Model inputs'!AA212+'Model inputs'!AA260+IF(IF(IF(IF(ISERROR('Model inputs'!L84&gt;='Model inputs'!AA204),'Model inputs'!L84&gt;='Model inputs'!AA204,IF(OR('Model inputs'!L84="",'Model inputs'!AA204=""),"",'Model inputs'!L84&gt;='Model inputs'!AA204))="",FALSE,IF(ISERROR('Model inputs'!L84&gt;='Model inputs'!AA204),'Model inputs'!L84&gt;='Model inputs'!AA204,IF(OR('Model inputs'!L84="",'Model inputs'!AA204=""),"",'Model inputs'!L84&gt;='Model inputs'!AA204))),IF('Model inputs'!AA202="","",'Model inputs'!AA202),0)="",0,IF(IF(IF(ISERROR('Model inputs'!L84&gt;='Model inputs'!AA204),'Model inputs'!L84&gt;='Model inputs'!AA204,IF(OR('Model inputs'!L84="",'Model inputs'!AA204=""),"",'Model inputs'!L84&gt;='Model inputs'!AA204))="",FALSE,IF(ISERROR('Model inputs'!L84&gt;='Model inputs'!AA204),'Model inputs'!L84&gt;='Model inputs'!AA204,IF(OR('Model inputs'!L84="",'Model inputs'!AA204=""),"",'Model inputs'!L84&gt;='Model inputs'!AA204))),IF('Model inputs'!AA202="","",'Model inputs'!AA202),0))</f>
        <v>750</v>
      </c>
      <c r="M148" s="8">
        <f>'Model inputs'!AA226+'Model inputs'!AA262+'Model inputs'!AA206+'Model inputs'!AA212+'Model inputs'!AA260+IF(IF(IF(IF(ISERROR('Model inputs'!M84&gt;='Model inputs'!AA204),'Model inputs'!M84&gt;='Model inputs'!AA204,IF(OR('Model inputs'!M84="",'Model inputs'!AA204=""),"",'Model inputs'!M84&gt;='Model inputs'!AA204))="",FALSE,IF(ISERROR('Model inputs'!M84&gt;='Model inputs'!AA204),'Model inputs'!M84&gt;='Model inputs'!AA204,IF(OR('Model inputs'!M84="",'Model inputs'!AA204=""),"",'Model inputs'!M84&gt;='Model inputs'!AA204))),IF('Model inputs'!AA202="","",'Model inputs'!AA202),0)="",0,IF(IF(IF(ISERROR('Model inputs'!M84&gt;='Model inputs'!AA204),'Model inputs'!M84&gt;='Model inputs'!AA204,IF(OR('Model inputs'!M84="",'Model inputs'!AA204=""),"",'Model inputs'!M84&gt;='Model inputs'!AA204))="",FALSE,IF(ISERROR('Model inputs'!M84&gt;='Model inputs'!AA204),'Model inputs'!M84&gt;='Model inputs'!AA204,IF(OR('Model inputs'!M84="",'Model inputs'!AA204=""),"",'Model inputs'!M84&gt;='Model inputs'!AA204))),IF('Model inputs'!AA202="","",'Model inputs'!AA202),0))</f>
        <v>750</v>
      </c>
      <c r="N148" s="8">
        <f>'Model inputs'!AA226+'Model inputs'!AA262+'Model inputs'!AA206+'Model inputs'!AA212+'Model inputs'!AA260+IF(IF(IF(IF(ISERROR('Model inputs'!N84&gt;='Model inputs'!AA204),'Model inputs'!N84&gt;='Model inputs'!AA204,IF(OR('Model inputs'!N84="",'Model inputs'!AA204=""),"",'Model inputs'!N84&gt;='Model inputs'!AA204))="",FALSE,IF(ISERROR('Model inputs'!N84&gt;='Model inputs'!AA204),'Model inputs'!N84&gt;='Model inputs'!AA204,IF(OR('Model inputs'!N84="",'Model inputs'!AA204=""),"",'Model inputs'!N84&gt;='Model inputs'!AA204))),IF('Model inputs'!AA202="","",'Model inputs'!AA202),0)="",0,IF(IF(IF(ISERROR('Model inputs'!N84&gt;='Model inputs'!AA204),'Model inputs'!N84&gt;='Model inputs'!AA204,IF(OR('Model inputs'!N84="",'Model inputs'!AA204=""),"",'Model inputs'!N84&gt;='Model inputs'!AA204))="",FALSE,IF(ISERROR('Model inputs'!N84&gt;='Model inputs'!AA204),'Model inputs'!N84&gt;='Model inputs'!AA204,IF(OR('Model inputs'!N84="",'Model inputs'!AA204=""),"",'Model inputs'!N84&gt;='Model inputs'!AA204))),IF('Model inputs'!AA202="","",'Model inputs'!AA202),0))</f>
        <v>750</v>
      </c>
      <c r="O148" s="8">
        <f>'Model inputs'!AA226+'Model inputs'!AA262+'Model inputs'!AA206+'Model inputs'!AA212+'Model inputs'!AA260+IF(IF(IF(IF(ISERROR('Model inputs'!O84&gt;='Model inputs'!AA204),'Model inputs'!O84&gt;='Model inputs'!AA204,IF(OR('Model inputs'!O84="",'Model inputs'!AA204=""),"",'Model inputs'!O84&gt;='Model inputs'!AA204))="",FALSE,IF(ISERROR('Model inputs'!O84&gt;='Model inputs'!AA204),'Model inputs'!O84&gt;='Model inputs'!AA204,IF(OR('Model inputs'!O84="",'Model inputs'!AA204=""),"",'Model inputs'!O84&gt;='Model inputs'!AA204))),IF('Model inputs'!AA202="","",'Model inputs'!AA202),0)="",0,IF(IF(IF(ISERROR('Model inputs'!O84&gt;='Model inputs'!AA204),'Model inputs'!O84&gt;='Model inputs'!AA204,IF(OR('Model inputs'!O84="",'Model inputs'!AA204=""),"",'Model inputs'!O84&gt;='Model inputs'!AA204))="",FALSE,IF(ISERROR('Model inputs'!O84&gt;='Model inputs'!AA204),'Model inputs'!O84&gt;='Model inputs'!AA204,IF(OR('Model inputs'!O84="",'Model inputs'!AA204=""),"",'Model inputs'!O84&gt;='Model inputs'!AA204))),IF('Model inputs'!AA202="","",'Model inputs'!AA202),0))</f>
        <v>750</v>
      </c>
      <c r="P148" s="8">
        <f>'Model inputs'!AA226+'Model inputs'!AA262+'Model inputs'!AA206+'Model inputs'!AA212+'Model inputs'!AA260+IF(IF(IF(IF(ISERROR('Model inputs'!P84&gt;='Model inputs'!AA204),'Model inputs'!P84&gt;='Model inputs'!AA204,IF(OR('Model inputs'!P84="",'Model inputs'!AA204=""),"",'Model inputs'!P84&gt;='Model inputs'!AA204))="",FALSE,IF(ISERROR('Model inputs'!P84&gt;='Model inputs'!AA204),'Model inputs'!P84&gt;='Model inputs'!AA204,IF(OR('Model inputs'!P84="",'Model inputs'!AA204=""),"",'Model inputs'!P84&gt;='Model inputs'!AA204))),IF('Model inputs'!AA202="","",'Model inputs'!AA202),0)="",0,IF(IF(IF(ISERROR('Model inputs'!P84&gt;='Model inputs'!AA204),'Model inputs'!P84&gt;='Model inputs'!AA204,IF(OR('Model inputs'!P84="",'Model inputs'!AA204=""),"",'Model inputs'!P84&gt;='Model inputs'!AA204))="",FALSE,IF(ISERROR('Model inputs'!P84&gt;='Model inputs'!AA204),'Model inputs'!P84&gt;='Model inputs'!AA204,IF(OR('Model inputs'!P84="",'Model inputs'!AA204=""),"",'Model inputs'!P84&gt;='Model inputs'!AA204))),IF('Model inputs'!AA202="","",'Model inputs'!AA202),0))</f>
        <v>750</v>
      </c>
      <c r="Q148" s="8">
        <f>'Model inputs'!AA226+'Model inputs'!AA262+'Model inputs'!AA206+'Model inputs'!AA212+'Model inputs'!AA260+IF(IF(IF(IF(ISERROR('Model inputs'!Q84&gt;='Model inputs'!AA204),'Model inputs'!Q84&gt;='Model inputs'!AA204,IF(OR('Model inputs'!Q84="",'Model inputs'!AA204=""),"",'Model inputs'!Q84&gt;='Model inputs'!AA204))="",FALSE,IF(ISERROR('Model inputs'!Q84&gt;='Model inputs'!AA204),'Model inputs'!Q84&gt;='Model inputs'!AA204,IF(OR('Model inputs'!Q84="",'Model inputs'!AA204=""),"",'Model inputs'!Q84&gt;='Model inputs'!AA204))),IF('Model inputs'!AA202="","",'Model inputs'!AA202),0)="",0,IF(IF(IF(ISERROR('Model inputs'!Q84&gt;='Model inputs'!AA204),'Model inputs'!Q84&gt;='Model inputs'!AA204,IF(OR('Model inputs'!Q84="",'Model inputs'!AA204=""),"",'Model inputs'!Q84&gt;='Model inputs'!AA204))="",FALSE,IF(ISERROR('Model inputs'!Q84&gt;='Model inputs'!AA204),'Model inputs'!Q84&gt;='Model inputs'!AA204,IF(OR('Model inputs'!Q84="",'Model inputs'!AA204=""),"",'Model inputs'!Q84&gt;='Model inputs'!AA204))),IF('Model inputs'!AA202="","",'Model inputs'!AA202),0))</f>
        <v>1250</v>
      </c>
      <c r="R148" s="8">
        <f>'Model inputs'!AA226+'Model inputs'!AA262+'Model inputs'!AA206+'Model inputs'!AA212+'Model inputs'!AA260+IF(IF(IF(IF(ISERROR('Model inputs'!R84&gt;='Model inputs'!AA204),'Model inputs'!R84&gt;='Model inputs'!AA204,IF(OR('Model inputs'!R84="",'Model inputs'!AA204=""),"",'Model inputs'!R84&gt;='Model inputs'!AA204))="",FALSE,IF(ISERROR('Model inputs'!R84&gt;='Model inputs'!AA204),'Model inputs'!R84&gt;='Model inputs'!AA204,IF(OR('Model inputs'!R84="",'Model inputs'!AA204=""),"",'Model inputs'!R84&gt;='Model inputs'!AA204))),IF('Model inputs'!AA202="","",'Model inputs'!AA202),0)="",0,IF(IF(IF(ISERROR('Model inputs'!R84&gt;='Model inputs'!AA204),'Model inputs'!R84&gt;='Model inputs'!AA204,IF(OR('Model inputs'!R84="",'Model inputs'!AA204=""),"",'Model inputs'!R84&gt;='Model inputs'!AA204))="",FALSE,IF(ISERROR('Model inputs'!R84&gt;='Model inputs'!AA204),'Model inputs'!R84&gt;='Model inputs'!AA204,IF(OR('Model inputs'!R84="",'Model inputs'!AA204=""),"",'Model inputs'!R84&gt;='Model inputs'!AA204))),IF('Model inputs'!AA202="","",'Model inputs'!AA202),0))</f>
        <v>1250</v>
      </c>
      <c r="S148" s="8">
        <f>'Model inputs'!AA226+'Model inputs'!AA262+'Model inputs'!AA206+'Model inputs'!AA212+'Model inputs'!AA260+IF(IF(IF(IF(ISERROR('Model inputs'!S84&gt;='Model inputs'!AA204),'Model inputs'!S84&gt;='Model inputs'!AA204,IF(OR('Model inputs'!S84="",'Model inputs'!AA204=""),"",'Model inputs'!S84&gt;='Model inputs'!AA204))="",FALSE,IF(ISERROR('Model inputs'!S84&gt;='Model inputs'!AA204),'Model inputs'!S84&gt;='Model inputs'!AA204,IF(OR('Model inputs'!S84="",'Model inputs'!AA204=""),"",'Model inputs'!S84&gt;='Model inputs'!AA204))),IF('Model inputs'!AA202="","",'Model inputs'!AA202),0)="",0,IF(IF(IF(ISERROR('Model inputs'!S84&gt;='Model inputs'!AA204),'Model inputs'!S84&gt;='Model inputs'!AA204,IF(OR('Model inputs'!S84="",'Model inputs'!AA204=""),"",'Model inputs'!S84&gt;='Model inputs'!AA204))="",FALSE,IF(ISERROR('Model inputs'!S84&gt;='Model inputs'!AA204),'Model inputs'!S84&gt;='Model inputs'!AA204,IF(OR('Model inputs'!S84="",'Model inputs'!AA204=""),"",'Model inputs'!S84&gt;='Model inputs'!AA204))),IF('Model inputs'!AA202="","",'Model inputs'!AA202),0))</f>
        <v>1250</v>
      </c>
      <c r="T148" s="8">
        <f>'Model inputs'!AA226+'Model inputs'!AA262+'Model inputs'!AA206+'Model inputs'!AA212+'Model inputs'!AA260+IF(IF(IF(IF(ISERROR('Model inputs'!T84&gt;='Model inputs'!AA204),'Model inputs'!T84&gt;='Model inputs'!AA204,IF(OR('Model inputs'!T84="",'Model inputs'!AA204=""),"",'Model inputs'!T84&gt;='Model inputs'!AA204))="",FALSE,IF(ISERROR('Model inputs'!T84&gt;='Model inputs'!AA204),'Model inputs'!T84&gt;='Model inputs'!AA204,IF(OR('Model inputs'!T84="",'Model inputs'!AA204=""),"",'Model inputs'!T84&gt;='Model inputs'!AA204))),IF('Model inputs'!AA202="","",'Model inputs'!AA202),0)="",0,IF(IF(IF(ISERROR('Model inputs'!T84&gt;='Model inputs'!AA204),'Model inputs'!T84&gt;='Model inputs'!AA204,IF(OR('Model inputs'!T84="",'Model inputs'!AA204=""),"",'Model inputs'!T84&gt;='Model inputs'!AA204))="",FALSE,IF(ISERROR('Model inputs'!T84&gt;='Model inputs'!AA204),'Model inputs'!T84&gt;='Model inputs'!AA204,IF(OR('Model inputs'!T84="",'Model inputs'!AA204=""),"",'Model inputs'!T84&gt;='Model inputs'!AA204))),IF('Model inputs'!AA202="","",'Model inputs'!AA202),0))</f>
        <v>1250</v>
      </c>
      <c r="U148" s="8">
        <f>'Model inputs'!AA226+'Model inputs'!AA262+'Model inputs'!AA206+'Model inputs'!AA212+'Model inputs'!AA260+IF(IF(IF(IF(ISERROR('Model inputs'!U84&gt;='Model inputs'!AA204),'Model inputs'!U84&gt;='Model inputs'!AA204,IF(OR('Model inputs'!U84="",'Model inputs'!AA204=""),"",'Model inputs'!U84&gt;='Model inputs'!AA204))="",FALSE,IF(ISERROR('Model inputs'!U84&gt;='Model inputs'!AA204),'Model inputs'!U84&gt;='Model inputs'!AA204,IF(OR('Model inputs'!U84="",'Model inputs'!AA204=""),"",'Model inputs'!U84&gt;='Model inputs'!AA204))),IF('Model inputs'!AA202="","",'Model inputs'!AA202),0)="",0,IF(IF(IF(ISERROR('Model inputs'!U84&gt;='Model inputs'!AA204),'Model inputs'!U84&gt;='Model inputs'!AA204,IF(OR('Model inputs'!U84="",'Model inputs'!AA204=""),"",'Model inputs'!U84&gt;='Model inputs'!AA204))="",FALSE,IF(ISERROR('Model inputs'!U84&gt;='Model inputs'!AA204),'Model inputs'!U84&gt;='Model inputs'!AA204,IF(OR('Model inputs'!U84="",'Model inputs'!AA204=""),"",'Model inputs'!U84&gt;='Model inputs'!AA204))),IF('Model inputs'!AA202="","",'Model inputs'!AA202),0))</f>
        <v>1250</v>
      </c>
      <c r="V148" s="8">
        <f>'Model inputs'!AA226+'Model inputs'!AA262+'Model inputs'!AA206+'Model inputs'!AA212+'Model inputs'!AA260+IF(IF(IF(IF(ISERROR('Model inputs'!V84&gt;='Model inputs'!AA204),'Model inputs'!V84&gt;='Model inputs'!AA204,IF(OR('Model inputs'!V84="",'Model inputs'!AA204=""),"",'Model inputs'!V84&gt;='Model inputs'!AA204))="",FALSE,IF(ISERROR('Model inputs'!V84&gt;='Model inputs'!AA204),'Model inputs'!V84&gt;='Model inputs'!AA204,IF(OR('Model inputs'!V84="",'Model inputs'!AA204=""),"",'Model inputs'!V84&gt;='Model inputs'!AA204))),IF('Model inputs'!AA202="","",'Model inputs'!AA202),0)="",0,IF(IF(IF(ISERROR('Model inputs'!V84&gt;='Model inputs'!AA204),'Model inputs'!V84&gt;='Model inputs'!AA204,IF(OR('Model inputs'!V84="",'Model inputs'!AA204=""),"",'Model inputs'!V84&gt;='Model inputs'!AA204))="",FALSE,IF(ISERROR('Model inputs'!V84&gt;='Model inputs'!AA204),'Model inputs'!V84&gt;='Model inputs'!AA204,IF(OR('Model inputs'!V84="",'Model inputs'!AA204=""),"",'Model inputs'!V84&gt;='Model inputs'!AA204))),IF('Model inputs'!AA202="","",'Model inputs'!AA202),0))</f>
        <v>1250</v>
      </c>
      <c r="W148" s="8">
        <f>'Model inputs'!AA226+'Model inputs'!AA262+'Model inputs'!AA206+'Model inputs'!AA212+'Model inputs'!AA260+IF(IF(IF(IF(ISERROR('Model inputs'!W84&gt;='Model inputs'!AA204),'Model inputs'!W84&gt;='Model inputs'!AA204,IF(OR('Model inputs'!W84="",'Model inputs'!AA204=""),"",'Model inputs'!W84&gt;='Model inputs'!AA204))="",FALSE,IF(ISERROR('Model inputs'!W84&gt;='Model inputs'!AA204),'Model inputs'!W84&gt;='Model inputs'!AA204,IF(OR('Model inputs'!W84="",'Model inputs'!AA204=""),"",'Model inputs'!W84&gt;='Model inputs'!AA204))),IF('Model inputs'!AA202="","",'Model inputs'!AA202),0)="",0,IF(IF(IF(ISERROR('Model inputs'!W84&gt;='Model inputs'!AA204),'Model inputs'!W84&gt;='Model inputs'!AA204,IF(OR('Model inputs'!W84="",'Model inputs'!AA204=""),"",'Model inputs'!W84&gt;='Model inputs'!AA204))="",FALSE,IF(ISERROR('Model inputs'!W84&gt;='Model inputs'!AA204),'Model inputs'!W84&gt;='Model inputs'!AA204,IF(OR('Model inputs'!W84="",'Model inputs'!AA204=""),"",'Model inputs'!W84&gt;='Model inputs'!AA204))),IF('Model inputs'!AA202="","",'Model inputs'!AA202),0))</f>
        <v>1250</v>
      </c>
      <c r="X148" s="8">
        <f>'Model inputs'!AA226+'Model inputs'!AA262+'Model inputs'!AA206+'Model inputs'!AA212+'Model inputs'!AA260+IF(IF(IF(IF(ISERROR('Model inputs'!X84&gt;='Model inputs'!AA204),'Model inputs'!X84&gt;='Model inputs'!AA204,IF(OR('Model inputs'!X84="",'Model inputs'!AA204=""),"",'Model inputs'!X84&gt;='Model inputs'!AA204))="",FALSE,IF(ISERROR('Model inputs'!X84&gt;='Model inputs'!AA204),'Model inputs'!X84&gt;='Model inputs'!AA204,IF(OR('Model inputs'!X84="",'Model inputs'!AA204=""),"",'Model inputs'!X84&gt;='Model inputs'!AA204))),IF('Model inputs'!AA202="","",'Model inputs'!AA202),0)="",0,IF(IF(IF(ISERROR('Model inputs'!X84&gt;='Model inputs'!AA204),'Model inputs'!X84&gt;='Model inputs'!AA204,IF(OR('Model inputs'!X84="",'Model inputs'!AA204=""),"",'Model inputs'!X84&gt;='Model inputs'!AA204))="",FALSE,IF(ISERROR('Model inputs'!X84&gt;='Model inputs'!AA204),'Model inputs'!X84&gt;='Model inputs'!AA204,IF(OR('Model inputs'!X84="",'Model inputs'!AA204=""),"",'Model inputs'!X84&gt;='Model inputs'!AA204))),IF('Model inputs'!AA202="","",'Model inputs'!AA202),0))</f>
        <v>1250</v>
      </c>
      <c r="Y148" s="8">
        <f>'Model inputs'!AA226+'Model inputs'!AA262+'Model inputs'!AA206+'Model inputs'!AA212+'Model inputs'!AA260+IF(IF(IF(IF(ISERROR('Model inputs'!Y84&gt;='Model inputs'!AA204),'Model inputs'!Y84&gt;='Model inputs'!AA204,IF(OR('Model inputs'!Y84="",'Model inputs'!AA204=""),"",'Model inputs'!Y84&gt;='Model inputs'!AA204))="",FALSE,IF(ISERROR('Model inputs'!Y84&gt;='Model inputs'!AA204),'Model inputs'!Y84&gt;='Model inputs'!AA204,IF(OR('Model inputs'!Y84="",'Model inputs'!AA204=""),"",'Model inputs'!Y84&gt;='Model inputs'!AA204))),IF('Model inputs'!AA202="","",'Model inputs'!AA202),0)="",0,IF(IF(IF(ISERROR('Model inputs'!Y84&gt;='Model inputs'!AA204),'Model inputs'!Y84&gt;='Model inputs'!AA204,IF(OR('Model inputs'!Y84="",'Model inputs'!AA204=""),"",'Model inputs'!Y84&gt;='Model inputs'!AA204))="",FALSE,IF(ISERROR('Model inputs'!Y84&gt;='Model inputs'!AA204),'Model inputs'!Y84&gt;='Model inputs'!AA204,IF(OR('Model inputs'!Y84="",'Model inputs'!AA204=""),"",'Model inputs'!Y84&gt;='Model inputs'!AA204))),IF('Model inputs'!AA202="","",'Model inputs'!AA202),0))</f>
        <v>1250</v>
      </c>
      <c r="Z148" s="8">
        <f>'Model inputs'!AA226+'Model inputs'!AA262+'Model inputs'!AA206+'Model inputs'!AA212+'Model inputs'!AA260+IF(IF(IF(IF(ISERROR('Model inputs'!Z84&gt;='Model inputs'!AA204),'Model inputs'!Z84&gt;='Model inputs'!AA204,IF(OR('Model inputs'!Z84="",'Model inputs'!AA204=""),"",'Model inputs'!Z84&gt;='Model inputs'!AA204))="",FALSE,IF(ISERROR('Model inputs'!Z84&gt;='Model inputs'!AA204),'Model inputs'!Z84&gt;='Model inputs'!AA204,IF(OR('Model inputs'!Z84="",'Model inputs'!AA204=""),"",'Model inputs'!Z84&gt;='Model inputs'!AA204))),IF('Model inputs'!AA202="","",'Model inputs'!AA202),0)="",0,IF(IF(IF(ISERROR('Model inputs'!Z84&gt;='Model inputs'!AA204),'Model inputs'!Z84&gt;='Model inputs'!AA204,IF(OR('Model inputs'!Z84="",'Model inputs'!AA204=""),"",'Model inputs'!Z84&gt;='Model inputs'!AA204))="",FALSE,IF(ISERROR('Model inputs'!Z84&gt;='Model inputs'!AA204),'Model inputs'!Z84&gt;='Model inputs'!AA204,IF(OR('Model inputs'!Z84="",'Model inputs'!AA204=""),"",'Model inputs'!Z84&gt;='Model inputs'!AA204))),IF('Model inputs'!AA202="","",'Model inputs'!AA202),0))</f>
        <v>1250</v>
      </c>
    </row>
    <row r="149">
      <c r="A149" t="inlineStr" s="14">
        <is>
          <t xml:space="preserve">Fixed costs · Plan Net cash burn · Conservative · Conservative</t>
        </is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f>'Model inputs'!AA227+'Model inputs'!AA263+'Model inputs'!AA207+'Model inputs'!AA213+'Model inputs'!AA261+IF(IF(IF(IF(ISERROR('Model inputs'!L85&gt;='Model inputs'!AA205),'Model inputs'!L85&gt;='Model inputs'!AA205,IF(OR('Model inputs'!L85="",'Model inputs'!AA205=""),"",'Model inputs'!L85&gt;='Model inputs'!AA205))="",FALSE,IF(ISERROR('Model inputs'!L85&gt;='Model inputs'!AA205),'Model inputs'!L85&gt;='Model inputs'!AA205,IF(OR('Model inputs'!L85="",'Model inputs'!AA205=""),"",'Model inputs'!L85&gt;='Model inputs'!AA205))),IF('Model inputs'!AA203="","",'Model inputs'!AA203),0)="",0,IF(IF(IF(ISERROR('Model inputs'!L85&gt;='Model inputs'!AA205),'Model inputs'!L85&gt;='Model inputs'!AA205,IF(OR('Model inputs'!L85="",'Model inputs'!AA205=""),"",'Model inputs'!L85&gt;='Model inputs'!AA205))="",FALSE,IF(ISERROR('Model inputs'!L85&gt;='Model inputs'!AA205),'Model inputs'!L85&gt;='Model inputs'!AA205,IF(OR('Model inputs'!L85="",'Model inputs'!AA205=""),"",'Model inputs'!L85&gt;='Model inputs'!AA205))),IF('Model inputs'!AA203="","",'Model inputs'!AA203),0))</f>
        <v>750</v>
      </c>
      <c r="M149" s="8">
        <f>'Model inputs'!AA227+'Model inputs'!AA263+'Model inputs'!AA207+'Model inputs'!AA213+'Model inputs'!AA261+IF(IF(IF(IF(ISERROR('Model inputs'!M85&gt;='Model inputs'!AA205),'Model inputs'!M85&gt;='Model inputs'!AA205,IF(OR('Model inputs'!M85="",'Model inputs'!AA205=""),"",'Model inputs'!M85&gt;='Model inputs'!AA205))="",FALSE,IF(ISERROR('Model inputs'!M85&gt;='Model inputs'!AA205),'Model inputs'!M85&gt;='Model inputs'!AA205,IF(OR('Model inputs'!M85="",'Model inputs'!AA205=""),"",'Model inputs'!M85&gt;='Model inputs'!AA205))),IF('Model inputs'!AA203="","",'Model inputs'!AA203),0)="",0,IF(IF(IF(ISERROR('Model inputs'!M85&gt;='Model inputs'!AA205),'Model inputs'!M85&gt;='Model inputs'!AA205,IF(OR('Model inputs'!M85="",'Model inputs'!AA205=""),"",'Model inputs'!M85&gt;='Model inputs'!AA205))="",FALSE,IF(ISERROR('Model inputs'!M85&gt;='Model inputs'!AA205),'Model inputs'!M85&gt;='Model inputs'!AA205,IF(OR('Model inputs'!M85="",'Model inputs'!AA205=""),"",'Model inputs'!M85&gt;='Model inputs'!AA205))),IF('Model inputs'!AA203="","",'Model inputs'!AA203),0))</f>
        <v>750</v>
      </c>
      <c r="N149" s="8">
        <f>'Model inputs'!AA227+'Model inputs'!AA263+'Model inputs'!AA207+'Model inputs'!AA213+'Model inputs'!AA261+IF(IF(IF(IF(ISERROR('Model inputs'!N85&gt;='Model inputs'!AA205),'Model inputs'!N85&gt;='Model inputs'!AA205,IF(OR('Model inputs'!N85="",'Model inputs'!AA205=""),"",'Model inputs'!N85&gt;='Model inputs'!AA205))="",FALSE,IF(ISERROR('Model inputs'!N85&gt;='Model inputs'!AA205),'Model inputs'!N85&gt;='Model inputs'!AA205,IF(OR('Model inputs'!N85="",'Model inputs'!AA205=""),"",'Model inputs'!N85&gt;='Model inputs'!AA205))),IF('Model inputs'!AA203="","",'Model inputs'!AA203),0)="",0,IF(IF(IF(ISERROR('Model inputs'!N85&gt;='Model inputs'!AA205),'Model inputs'!N85&gt;='Model inputs'!AA205,IF(OR('Model inputs'!N85="",'Model inputs'!AA205=""),"",'Model inputs'!N85&gt;='Model inputs'!AA205))="",FALSE,IF(ISERROR('Model inputs'!N85&gt;='Model inputs'!AA205),'Model inputs'!N85&gt;='Model inputs'!AA205,IF(OR('Model inputs'!N85="",'Model inputs'!AA205=""),"",'Model inputs'!N85&gt;='Model inputs'!AA205))),IF('Model inputs'!AA203="","",'Model inputs'!AA203),0))</f>
        <v>750</v>
      </c>
      <c r="O149" s="8">
        <f>'Model inputs'!AA227+'Model inputs'!AA263+'Model inputs'!AA207+'Model inputs'!AA213+'Model inputs'!AA261+IF(IF(IF(IF(ISERROR('Model inputs'!O85&gt;='Model inputs'!AA205),'Model inputs'!O85&gt;='Model inputs'!AA205,IF(OR('Model inputs'!O85="",'Model inputs'!AA205=""),"",'Model inputs'!O85&gt;='Model inputs'!AA205))="",FALSE,IF(ISERROR('Model inputs'!O85&gt;='Model inputs'!AA205),'Model inputs'!O85&gt;='Model inputs'!AA205,IF(OR('Model inputs'!O85="",'Model inputs'!AA205=""),"",'Model inputs'!O85&gt;='Model inputs'!AA205))),IF('Model inputs'!AA203="","",'Model inputs'!AA203),0)="",0,IF(IF(IF(ISERROR('Model inputs'!O85&gt;='Model inputs'!AA205),'Model inputs'!O85&gt;='Model inputs'!AA205,IF(OR('Model inputs'!O85="",'Model inputs'!AA205=""),"",'Model inputs'!O85&gt;='Model inputs'!AA205))="",FALSE,IF(ISERROR('Model inputs'!O85&gt;='Model inputs'!AA205),'Model inputs'!O85&gt;='Model inputs'!AA205,IF(OR('Model inputs'!O85="",'Model inputs'!AA205=""),"",'Model inputs'!O85&gt;='Model inputs'!AA205))),IF('Model inputs'!AA203="","",'Model inputs'!AA203),0))</f>
        <v>750</v>
      </c>
      <c r="P149" s="8">
        <f>'Model inputs'!AA227+'Model inputs'!AA263+'Model inputs'!AA207+'Model inputs'!AA213+'Model inputs'!AA261+IF(IF(IF(IF(ISERROR('Model inputs'!P85&gt;='Model inputs'!AA205),'Model inputs'!P85&gt;='Model inputs'!AA205,IF(OR('Model inputs'!P85="",'Model inputs'!AA205=""),"",'Model inputs'!P85&gt;='Model inputs'!AA205))="",FALSE,IF(ISERROR('Model inputs'!P85&gt;='Model inputs'!AA205),'Model inputs'!P85&gt;='Model inputs'!AA205,IF(OR('Model inputs'!P85="",'Model inputs'!AA205=""),"",'Model inputs'!P85&gt;='Model inputs'!AA205))),IF('Model inputs'!AA203="","",'Model inputs'!AA203),0)="",0,IF(IF(IF(ISERROR('Model inputs'!P85&gt;='Model inputs'!AA205),'Model inputs'!P85&gt;='Model inputs'!AA205,IF(OR('Model inputs'!P85="",'Model inputs'!AA205=""),"",'Model inputs'!P85&gt;='Model inputs'!AA205))="",FALSE,IF(ISERROR('Model inputs'!P85&gt;='Model inputs'!AA205),'Model inputs'!P85&gt;='Model inputs'!AA205,IF(OR('Model inputs'!P85="",'Model inputs'!AA205=""),"",'Model inputs'!P85&gt;='Model inputs'!AA205))),IF('Model inputs'!AA203="","",'Model inputs'!AA203),0))</f>
        <v>750</v>
      </c>
      <c r="Q149" s="8">
        <f>'Model inputs'!AA227+'Model inputs'!AA263+'Model inputs'!AA207+'Model inputs'!AA213+'Model inputs'!AA261+IF(IF(IF(IF(ISERROR('Model inputs'!Q85&gt;='Model inputs'!AA205),'Model inputs'!Q85&gt;='Model inputs'!AA205,IF(OR('Model inputs'!Q85="",'Model inputs'!AA205=""),"",'Model inputs'!Q85&gt;='Model inputs'!AA205))="",FALSE,IF(ISERROR('Model inputs'!Q85&gt;='Model inputs'!AA205),'Model inputs'!Q85&gt;='Model inputs'!AA205,IF(OR('Model inputs'!Q85="",'Model inputs'!AA205=""),"",'Model inputs'!Q85&gt;='Model inputs'!AA205))),IF('Model inputs'!AA203="","",'Model inputs'!AA203),0)="",0,IF(IF(IF(ISERROR('Model inputs'!Q85&gt;='Model inputs'!AA205),'Model inputs'!Q85&gt;='Model inputs'!AA205,IF(OR('Model inputs'!Q85="",'Model inputs'!AA205=""),"",'Model inputs'!Q85&gt;='Model inputs'!AA205))="",FALSE,IF(ISERROR('Model inputs'!Q85&gt;='Model inputs'!AA205),'Model inputs'!Q85&gt;='Model inputs'!AA205,IF(OR('Model inputs'!Q85="",'Model inputs'!AA205=""),"",'Model inputs'!Q85&gt;='Model inputs'!AA205))),IF('Model inputs'!AA203="","",'Model inputs'!AA203),0))</f>
        <v>1250</v>
      </c>
      <c r="R149" s="8">
        <f>'Model inputs'!AA227+'Model inputs'!AA263+'Model inputs'!AA207+'Model inputs'!AA213+'Model inputs'!AA261+IF(IF(IF(IF(ISERROR('Model inputs'!R85&gt;='Model inputs'!AA205),'Model inputs'!R85&gt;='Model inputs'!AA205,IF(OR('Model inputs'!R85="",'Model inputs'!AA205=""),"",'Model inputs'!R85&gt;='Model inputs'!AA205))="",FALSE,IF(ISERROR('Model inputs'!R85&gt;='Model inputs'!AA205),'Model inputs'!R85&gt;='Model inputs'!AA205,IF(OR('Model inputs'!R85="",'Model inputs'!AA205=""),"",'Model inputs'!R85&gt;='Model inputs'!AA205))),IF('Model inputs'!AA203="","",'Model inputs'!AA203),0)="",0,IF(IF(IF(ISERROR('Model inputs'!R85&gt;='Model inputs'!AA205),'Model inputs'!R85&gt;='Model inputs'!AA205,IF(OR('Model inputs'!R85="",'Model inputs'!AA205=""),"",'Model inputs'!R85&gt;='Model inputs'!AA205))="",FALSE,IF(ISERROR('Model inputs'!R85&gt;='Model inputs'!AA205),'Model inputs'!R85&gt;='Model inputs'!AA205,IF(OR('Model inputs'!R85="",'Model inputs'!AA205=""),"",'Model inputs'!R85&gt;='Model inputs'!AA205))),IF('Model inputs'!AA203="","",'Model inputs'!AA203),0))</f>
        <v>1250</v>
      </c>
      <c r="S149" s="8">
        <f>'Model inputs'!AA227+'Model inputs'!AA263+'Model inputs'!AA207+'Model inputs'!AA213+'Model inputs'!AA261+IF(IF(IF(IF(ISERROR('Model inputs'!S85&gt;='Model inputs'!AA205),'Model inputs'!S85&gt;='Model inputs'!AA205,IF(OR('Model inputs'!S85="",'Model inputs'!AA205=""),"",'Model inputs'!S85&gt;='Model inputs'!AA205))="",FALSE,IF(ISERROR('Model inputs'!S85&gt;='Model inputs'!AA205),'Model inputs'!S85&gt;='Model inputs'!AA205,IF(OR('Model inputs'!S85="",'Model inputs'!AA205=""),"",'Model inputs'!S85&gt;='Model inputs'!AA205))),IF('Model inputs'!AA203="","",'Model inputs'!AA203),0)="",0,IF(IF(IF(ISERROR('Model inputs'!S85&gt;='Model inputs'!AA205),'Model inputs'!S85&gt;='Model inputs'!AA205,IF(OR('Model inputs'!S85="",'Model inputs'!AA205=""),"",'Model inputs'!S85&gt;='Model inputs'!AA205))="",FALSE,IF(ISERROR('Model inputs'!S85&gt;='Model inputs'!AA205),'Model inputs'!S85&gt;='Model inputs'!AA205,IF(OR('Model inputs'!S85="",'Model inputs'!AA205=""),"",'Model inputs'!S85&gt;='Model inputs'!AA205))),IF('Model inputs'!AA203="","",'Model inputs'!AA203),0))</f>
        <v>1250</v>
      </c>
      <c r="T149" s="8">
        <f>'Model inputs'!AA227+'Model inputs'!AA263+'Model inputs'!AA207+'Model inputs'!AA213+'Model inputs'!AA261+IF(IF(IF(IF(ISERROR('Model inputs'!T85&gt;='Model inputs'!AA205),'Model inputs'!T85&gt;='Model inputs'!AA205,IF(OR('Model inputs'!T85="",'Model inputs'!AA205=""),"",'Model inputs'!T85&gt;='Model inputs'!AA205))="",FALSE,IF(ISERROR('Model inputs'!T85&gt;='Model inputs'!AA205),'Model inputs'!T85&gt;='Model inputs'!AA205,IF(OR('Model inputs'!T85="",'Model inputs'!AA205=""),"",'Model inputs'!T85&gt;='Model inputs'!AA205))),IF('Model inputs'!AA203="","",'Model inputs'!AA203),0)="",0,IF(IF(IF(ISERROR('Model inputs'!T85&gt;='Model inputs'!AA205),'Model inputs'!T85&gt;='Model inputs'!AA205,IF(OR('Model inputs'!T85="",'Model inputs'!AA205=""),"",'Model inputs'!T85&gt;='Model inputs'!AA205))="",FALSE,IF(ISERROR('Model inputs'!T85&gt;='Model inputs'!AA205),'Model inputs'!T85&gt;='Model inputs'!AA205,IF(OR('Model inputs'!T85="",'Model inputs'!AA205=""),"",'Model inputs'!T85&gt;='Model inputs'!AA205))),IF('Model inputs'!AA203="","",'Model inputs'!AA203),0))</f>
        <v>1250</v>
      </c>
      <c r="U149" s="8">
        <f>'Model inputs'!AA227+'Model inputs'!AA263+'Model inputs'!AA207+'Model inputs'!AA213+'Model inputs'!AA261+IF(IF(IF(IF(ISERROR('Model inputs'!U85&gt;='Model inputs'!AA205),'Model inputs'!U85&gt;='Model inputs'!AA205,IF(OR('Model inputs'!U85="",'Model inputs'!AA205=""),"",'Model inputs'!U85&gt;='Model inputs'!AA205))="",FALSE,IF(ISERROR('Model inputs'!U85&gt;='Model inputs'!AA205),'Model inputs'!U85&gt;='Model inputs'!AA205,IF(OR('Model inputs'!U85="",'Model inputs'!AA205=""),"",'Model inputs'!U85&gt;='Model inputs'!AA205))),IF('Model inputs'!AA203="","",'Model inputs'!AA203),0)="",0,IF(IF(IF(ISERROR('Model inputs'!U85&gt;='Model inputs'!AA205),'Model inputs'!U85&gt;='Model inputs'!AA205,IF(OR('Model inputs'!U85="",'Model inputs'!AA205=""),"",'Model inputs'!U85&gt;='Model inputs'!AA205))="",FALSE,IF(ISERROR('Model inputs'!U85&gt;='Model inputs'!AA205),'Model inputs'!U85&gt;='Model inputs'!AA205,IF(OR('Model inputs'!U85="",'Model inputs'!AA205=""),"",'Model inputs'!U85&gt;='Model inputs'!AA205))),IF('Model inputs'!AA203="","",'Model inputs'!AA203),0))</f>
        <v>1250</v>
      </c>
      <c r="V149" s="8">
        <f>'Model inputs'!AA227+'Model inputs'!AA263+'Model inputs'!AA207+'Model inputs'!AA213+'Model inputs'!AA261+IF(IF(IF(IF(ISERROR('Model inputs'!V85&gt;='Model inputs'!AA205),'Model inputs'!V85&gt;='Model inputs'!AA205,IF(OR('Model inputs'!V85="",'Model inputs'!AA205=""),"",'Model inputs'!V85&gt;='Model inputs'!AA205))="",FALSE,IF(ISERROR('Model inputs'!V85&gt;='Model inputs'!AA205),'Model inputs'!V85&gt;='Model inputs'!AA205,IF(OR('Model inputs'!V85="",'Model inputs'!AA205=""),"",'Model inputs'!V85&gt;='Model inputs'!AA205))),IF('Model inputs'!AA203="","",'Model inputs'!AA203),0)="",0,IF(IF(IF(ISERROR('Model inputs'!V85&gt;='Model inputs'!AA205),'Model inputs'!V85&gt;='Model inputs'!AA205,IF(OR('Model inputs'!V85="",'Model inputs'!AA205=""),"",'Model inputs'!V85&gt;='Model inputs'!AA205))="",FALSE,IF(ISERROR('Model inputs'!V85&gt;='Model inputs'!AA205),'Model inputs'!V85&gt;='Model inputs'!AA205,IF(OR('Model inputs'!V85="",'Model inputs'!AA205=""),"",'Model inputs'!V85&gt;='Model inputs'!AA205))),IF('Model inputs'!AA203="","",'Model inputs'!AA203),0))</f>
        <v>1250</v>
      </c>
      <c r="W149" s="8">
        <f>'Model inputs'!AA227+'Model inputs'!AA263+'Model inputs'!AA207+'Model inputs'!AA213+'Model inputs'!AA261+IF(IF(IF(IF(ISERROR('Model inputs'!W85&gt;='Model inputs'!AA205),'Model inputs'!W85&gt;='Model inputs'!AA205,IF(OR('Model inputs'!W85="",'Model inputs'!AA205=""),"",'Model inputs'!W85&gt;='Model inputs'!AA205))="",FALSE,IF(ISERROR('Model inputs'!W85&gt;='Model inputs'!AA205),'Model inputs'!W85&gt;='Model inputs'!AA205,IF(OR('Model inputs'!W85="",'Model inputs'!AA205=""),"",'Model inputs'!W85&gt;='Model inputs'!AA205))),IF('Model inputs'!AA203="","",'Model inputs'!AA203),0)="",0,IF(IF(IF(ISERROR('Model inputs'!W85&gt;='Model inputs'!AA205),'Model inputs'!W85&gt;='Model inputs'!AA205,IF(OR('Model inputs'!W85="",'Model inputs'!AA205=""),"",'Model inputs'!W85&gt;='Model inputs'!AA205))="",FALSE,IF(ISERROR('Model inputs'!W85&gt;='Model inputs'!AA205),'Model inputs'!W85&gt;='Model inputs'!AA205,IF(OR('Model inputs'!W85="",'Model inputs'!AA205=""),"",'Model inputs'!W85&gt;='Model inputs'!AA205))),IF('Model inputs'!AA203="","",'Model inputs'!AA203),0))</f>
        <v>1250</v>
      </c>
      <c r="X149" s="8">
        <f>'Model inputs'!AA227+'Model inputs'!AA263+'Model inputs'!AA207+'Model inputs'!AA213+'Model inputs'!AA261+IF(IF(IF(IF(ISERROR('Model inputs'!X85&gt;='Model inputs'!AA205),'Model inputs'!X85&gt;='Model inputs'!AA205,IF(OR('Model inputs'!X85="",'Model inputs'!AA205=""),"",'Model inputs'!X85&gt;='Model inputs'!AA205))="",FALSE,IF(ISERROR('Model inputs'!X85&gt;='Model inputs'!AA205),'Model inputs'!X85&gt;='Model inputs'!AA205,IF(OR('Model inputs'!X85="",'Model inputs'!AA205=""),"",'Model inputs'!X85&gt;='Model inputs'!AA205))),IF('Model inputs'!AA203="","",'Model inputs'!AA203),0)="",0,IF(IF(IF(ISERROR('Model inputs'!X85&gt;='Model inputs'!AA205),'Model inputs'!X85&gt;='Model inputs'!AA205,IF(OR('Model inputs'!X85="",'Model inputs'!AA205=""),"",'Model inputs'!X85&gt;='Model inputs'!AA205))="",FALSE,IF(ISERROR('Model inputs'!X85&gt;='Model inputs'!AA205),'Model inputs'!X85&gt;='Model inputs'!AA205,IF(OR('Model inputs'!X85="",'Model inputs'!AA205=""),"",'Model inputs'!X85&gt;='Model inputs'!AA205))),IF('Model inputs'!AA203="","",'Model inputs'!AA203),0))</f>
        <v>1250</v>
      </c>
      <c r="Y149" s="8">
        <f>'Model inputs'!AA227+'Model inputs'!AA263+'Model inputs'!AA207+'Model inputs'!AA213+'Model inputs'!AA261+IF(IF(IF(IF(ISERROR('Model inputs'!Y85&gt;='Model inputs'!AA205),'Model inputs'!Y85&gt;='Model inputs'!AA205,IF(OR('Model inputs'!Y85="",'Model inputs'!AA205=""),"",'Model inputs'!Y85&gt;='Model inputs'!AA205))="",FALSE,IF(ISERROR('Model inputs'!Y85&gt;='Model inputs'!AA205),'Model inputs'!Y85&gt;='Model inputs'!AA205,IF(OR('Model inputs'!Y85="",'Model inputs'!AA205=""),"",'Model inputs'!Y85&gt;='Model inputs'!AA205))),IF('Model inputs'!AA203="","",'Model inputs'!AA203),0)="",0,IF(IF(IF(ISERROR('Model inputs'!Y85&gt;='Model inputs'!AA205),'Model inputs'!Y85&gt;='Model inputs'!AA205,IF(OR('Model inputs'!Y85="",'Model inputs'!AA205=""),"",'Model inputs'!Y85&gt;='Model inputs'!AA205))="",FALSE,IF(ISERROR('Model inputs'!Y85&gt;='Model inputs'!AA205),'Model inputs'!Y85&gt;='Model inputs'!AA205,IF(OR('Model inputs'!Y85="",'Model inputs'!AA205=""),"",'Model inputs'!Y85&gt;='Model inputs'!AA205))),IF('Model inputs'!AA203="","",'Model inputs'!AA203),0))</f>
        <v>1250</v>
      </c>
      <c r="Z149" s="8">
        <f>'Model inputs'!AA227+'Model inputs'!AA263+'Model inputs'!AA207+'Model inputs'!AA213+'Model inputs'!AA261+IF(IF(IF(IF(ISERROR('Model inputs'!Z85&gt;='Model inputs'!AA205),'Model inputs'!Z85&gt;='Model inputs'!AA205,IF(OR('Model inputs'!Z85="",'Model inputs'!AA205=""),"",'Model inputs'!Z85&gt;='Model inputs'!AA205))="",FALSE,IF(ISERROR('Model inputs'!Z85&gt;='Model inputs'!AA205),'Model inputs'!Z85&gt;='Model inputs'!AA205,IF(OR('Model inputs'!Z85="",'Model inputs'!AA205=""),"",'Model inputs'!Z85&gt;='Model inputs'!AA205))),IF('Model inputs'!AA203="","",'Model inputs'!AA203),0)="",0,IF(IF(IF(ISERROR('Model inputs'!Z85&gt;='Model inputs'!AA205),'Model inputs'!Z85&gt;='Model inputs'!AA205,IF(OR('Model inputs'!Z85="",'Model inputs'!AA205=""),"",'Model inputs'!Z85&gt;='Model inputs'!AA205))="",FALSE,IF(ISERROR('Model inputs'!Z85&gt;='Model inputs'!AA205),'Model inputs'!Z85&gt;='Model inputs'!AA205,IF(OR('Model inputs'!Z85="",'Model inputs'!AA205=""),"",'Model inputs'!Z85&gt;='Model inputs'!AA205))),IF('Model inputs'!AA203="","",'Model inputs'!AA203),0))</f>
        <v>1250</v>
      </c>
    </row>
    <row r="150">
      <c r="A150" t="inlineStr" s="14">
        <is>
          <t xml:space="preserve">Forecast start date · Projection month · Cumulative funding gap · Growth · Growth · Growth</t>
        </is>
      </c>
      <c r="AA150" s="15">
        <f>DATE(2026,10,1)</f>
        <v>46296</v>
      </c>
    </row>
    <row r="151">
      <c r="A151" t="inlineStr" s="14">
        <is>
          <t xml:space="preserve">Forecast start date · Projection month · Cumulative funding gap · Conservative · Conservative · Conservative</t>
        </is>
      </c>
      <c r="AA151" s="15">
        <f>DATE(2026,10,1)</f>
        <v>46296</v>
      </c>
    </row>
    <row r="152">
      <c r="A152" t="inlineStr" s="14">
        <is>
          <t xml:space="preserve">New customer equivalents · Plan Cash collections · Growth · Growth</t>
        </is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f>MAX('Model inputs'!L154-IF(IF(IF(IF(ISERROR('Model inputs'!L84=1),'Model inputs'!L84=1,IF('Model inputs'!L84="","",'Model inputs'!L84=1))="",FALSE,IF(ISERROR('Model inputs'!L84=1),'Model inputs'!L84=1,IF('Model inputs'!L84="","",'Model inputs'!L84=1))),0,IF('Model inputs'!K154="","",'Model inputs'!K154))="",0,IF(IF(IF(ISERROR('Model inputs'!L84=1),'Model inputs'!L84=1,IF('Model inputs'!L84="","",'Model inputs'!L84=1))="",FALSE,IF(ISERROR('Model inputs'!L84=1),'Model inputs'!L84=1,IF('Model inputs'!L84="","",'Model inputs'!L84=1))),0,IF('Model inputs'!K154="","",'Model inputs'!K154))),0)</f>
        <v>1.25</v>
      </c>
      <c r="M152" s="9">
        <f>MAX('Model inputs'!M154-IF(IF(IF(IF(ISERROR('Model inputs'!M84=1),'Model inputs'!M84=1,IF('Model inputs'!M84="","",'Model inputs'!M84=1))="",FALSE,IF(ISERROR('Model inputs'!M84=1),'Model inputs'!M84=1,IF('Model inputs'!M84="","",'Model inputs'!M84=1))),0,IF('Model inputs'!L154="","",'Model inputs'!L154))="",0,IF(IF(IF(ISERROR('Model inputs'!M84=1),'Model inputs'!M84=1,IF('Model inputs'!M84="","",'Model inputs'!M84=1))="",FALSE,IF(ISERROR('Model inputs'!M84=1),'Model inputs'!M84=1,IF('Model inputs'!M84="","",'Model inputs'!M84=1))),0,IF('Model inputs'!L154="","",'Model inputs'!L154))),0)</f>
        <v>1.25</v>
      </c>
      <c r="N152" s="9">
        <f>MAX('Model inputs'!N154-IF(IF(IF(IF(ISERROR('Model inputs'!N84=1),'Model inputs'!N84=1,IF('Model inputs'!N84="","",'Model inputs'!N84=1))="",FALSE,IF(ISERROR('Model inputs'!N84=1),'Model inputs'!N84=1,IF('Model inputs'!N84="","",'Model inputs'!N84=1))),0,IF('Model inputs'!M154="","",'Model inputs'!M154))="",0,IF(IF(IF(ISERROR('Model inputs'!N84=1),'Model inputs'!N84=1,IF('Model inputs'!N84="","",'Model inputs'!N84=1))="",FALSE,IF(ISERROR('Model inputs'!N84=1),'Model inputs'!N84=1,IF('Model inputs'!N84="","",'Model inputs'!N84=1))),0,IF('Model inputs'!M154="","",'Model inputs'!M154))),0)</f>
        <v>1.25</v>
      </c>
      <c r="O152" s="9">
        <f>MAX('Model inputs'!O154-IF(IF(IF(IF(ISERROR('Model inputs'!O84=1),'Model inputs'!O84=1,IF('Model inputs'!O84="","",'Model inputs'!O84=1))="",FALSE,IF(ISERROR('Model inputs'!O84=1),'Model inputs'!O84=1,IF('Model inputs'!O84="","",'Model inputs'!O84=1))),0,IF('Model inputs'!N154="","",'Model inputs'!N154))="",0,IF(IF(IF(ISERROR('Model inputs'!O84=1),'Model inputs'!O84=1,IF('Model inputs'!O84="","",'Model inputs'!O84=1))="",FALSE,IF(ISERROR('Model inputs'!O84=1),'Model inputs'!O84=1,IF('Model inputs'!O84="","",'Model inputs'!O84=1))),0,IF('Model inputs'!N154="","",'Model inputs'!N154))),0)</f>
        <v>1.25</v>
      </c>
      <c r="P152" s="9">
        <f>MAX('Model inputs'!P154-IF(IF(IF(IF(ISERROR('Model inputs'!P84=1),'Model inputs'!P84=1,IF('Model inputs'!P84="","",'Model inputs'!P84=1))="",FALSE,IF(ISERROR('Model inputs'!P84=1),'Model inputs'!P84=1,IF('Model inputs'!P84="","",'Model inputs'!P84=1))),0,IF('Model inputs'!O154="","",'Model inputs'!O154))="",0,IF(IF(IF(ISERROR('Model inputs'!P84=1),'Model inputs'!P84=1,IF('Model inputs'!P84="","",'Model inputs'!P84=1))="",FALSE,IF(ISERROR('Model inputs'!P84=1),'Model inputs'!P84=1,IF('Model inputs'!P84="","",'Model inputs'!P84=1))),0,IF('Model inputs'!O154="","",'Model inputs'!O154))),0)</f>
        <v>1.25</v>
      </c>
      <c r="Q152" s="9">
        <f>MAX('Model inputs'!Q154-IF(IF(IF(IF(ISERROR('Model inputs'!Q84=1),'Model inputs'!Q84=1,IF('Model inputs'!Q84="","",'Model inputs'!Q84=1))="",FALSE,IF(ISERROR('Model inputs'!Q84=1),'Model inputs'!Q84=1,IF('Model inputs'!Q84="","",'Model inputs'!Q84=1))),0,IF('Model inputs'!P154="","",'Model inputs'!P154))="",0,IF(IF(IF(ISERROR('Model inputs'!Q84=1),'Model inputs'!Q84=1,IF('Model inputs'!Q84="","",'Model inputs'!Q84=1))="",FALSE,IF(ISERROR('Model inputs'!Q84=1),'Model inputs'!Q84=1,IF('Model inputs'!Q84="","",'Model inputs'!Q84=1))),0,IF('Model inputs'!P154="","",'Model inputs'!P154))),0)</f>
        <v>1.25</v>
      </c>
      <c r="R152" s="9">
        <f>MAX('Model inputs'!R154-IF(IF(IF(IF(ISERROR('Model inputs'!R84=1),'Model inputs'!R84=1,IF('Model inputs'!R84="","",'Model inputs'!R84=1))="",FALSE,IF(ISERROR('Model inputs'!R84=1),'Model inputs'!R84=1,IF('Model inputs'!R84="","",'Model inputs'!R84=1))),0,IF('Model inputs'!Q154="","",'Model inputs'!Q154))="",0,IF(IF(IF(ISERROR('Model inputs'!R84=1),'Model inputs'!R84=1,IF('Model inputs'!R84="","",'Model inputs'!R84=1))="",FALSE,IF(ISERROR('Model inputs'!R84=1),'Model inputs'!R84=1,IF('Model inputs'!R84="","",'Model inputs'!R84=1))),0,IF('Model inputs'!Q154="","",'Model inputs'!Q154))),0)</f>
        <v>1.25</v>
      </c>
      <c r="S152" s="9">
        <f>MAX('Model inputs'!S154-IF(IF(IF(IF(ISERROR('Model inputs'!S84=1),'Model inputs'!S84=1,IF('Model inputs'!S84="","",'Model inputs'!S84=1))="",FALSE,IF(ISERROR('Model inputs'!S84=1),'Model inputs'!S84=1,IF('Model inputs'!S84="","",'Model inputs'!S84=1))),0,IF('Model inputs'!R154="","",'Model inputs'!R154))="",0,IF(IF(IF(ISERROR('Model inputs'!S84=1),'Model inputs'!S84=1,IF('Model inputs'!S84="","",'Model inputs'!S84=1))="",FALSE,IF(ISERROR('Model inputs'!S84=1),'Model inputs'!S84=1,IF('Model inputs'!S84="","",'Model inputs'!S84=1))),0,IF('Model inputs'!R154="","",'Model inputs'!R154))),0)</f>
        <v>1.25</v>
      </c>
      <c r="T152" s="9">
        <f>MAX('Model inputs'!T154-IF(IF(IF(IF(ISERROR('Model inputs'!T84=1),'Model inputs'!T84=1,IF('Model inputs'!T84="","",'Model inputs'!T84=1))="",FALSE,IF(ISERROR('Model inputs'!T84=1),'Model inputs'!T84=1,IF('Model inputs'!T84="","",'Model inputs'!T84=1))),0,IF('Model inputs'!S154="","",'Model inputs'!S154))="",0,IF(IF(IF(ISERROR('Model inputs'!T84=1),'Model inputs'!T84=1,IF('Model inputs'!T84="","",'Model inputs'!T84=1))="",FALSE,IF(ISERROR('Model inputs'!T84=1),'Model inputs'!T84=1,IF('Model inputs'!T84="","",'Model inputs'!T84=1))),0,IF('Model inputs'!S154="","",'Model inputs'!S154))),0)</f>
        <v>1.25</v>
      </c>
      <c r="U152" s="9">
        <f>MAX('Model inputs'!U154-IF(IF(IF(IF(ISERROR('Model inputs'!U84=1),'Model inputs'!U84=1,IF('Model inputs'!U84="","",'Model inputs'!U84=1))="",FALSE,IF(ISERROR('Model inputs'!U84=1),'Model inputs'!U84=1,IF('Model inputs'!U84="","",'Model inputs'!U84=1))),0,IF('Model inputs'!T154="","",'Model inputs'!T154))="",0,IF(IF(IF(ISERROR('Model inputs'!U84=1),'Model inputs'!U84=1,IF('Model inputs'!U84="","",'Model inputs'!U84=1))="",FALSE,IF(ISERROR('Model inputs'!U84=1),'Model inputs'!U84=1,IF('Model inputs'!U84="","",'Model inputs'!U84=1))),0,IF('Model inputs'!T154="","",'Model inputs'!T154))),0)</f>
        <v>1.25</v>
      </c>
      <c r="V152" s="9">
        <f>MAX('Model inputs'!V154-IF(IF(IF(IF(ISERROR('Model inputs'!V84=1),'Model inputs'!V84=1,IF('Model inputs'!V84="","",'Model inputs'!V84=1))="",FALSE,IF(ISERROR('Model inputs'!V84=1),'Model inputs'!V84=1,IF('Model inputs'!V84="","",'Model inputs'!V84=1))),0,IF('Model inputs'!U154="","",'Model inputs'!U154))="",0,IF(IF(IF(ISERROR('Model inputs'!V84=1),'Model inputs'!V84=1,IF('Model inputs'!V84="","",'Model inputs'!V84=1))="",FALSE,IF(ISERROR('Model inputs'!V84=1),'Model inputs'!V84=1,IF('Model inputs'!V84="","",'Model inputs'!V84=1))),0,IF('Model inputs'!U154="","",'Model inputs'!U154))),0)</f>
        <v>1.25</v>
      </c>
      <c r="W152" s="9">
        <f>MAX('Model inputs'!W154-IF(IF(IF(IF(ISERROR('Model inputs'!W84=1),'Model inputs'!W84=1,IF('Model inputs'!W84="","",'Model inputs'!W84=1))="",FALSE,IF(ISERROR('Model inputs'!W84=1),'Model inputs'!W84=1,IF('Model inputs'!W84="","",'Model inputs'!W84=1))),0,IF('Model inputs'!V154="","",'Model inputs'!V154))="",0,IF(IF(IF(ISERROR('Model inputs'!W84=1),'Model inputs'!W84=1,IF('Model inputs'!W84="","",'Model inputs'!W84=1))="",FALSE,IF(ISERROR('Model inputs'!W84=1),'Model inputs'!W84=1,IF('Model inputs'!W84="","",'Model inputs'!W84=1))),0,IF('Model inputs'!V154="","",'Model inputs'!V154))),0)</f>
        <v>1.25</v>
      </c>
      <c r="X152" s="9">
        <f>MAX('Model inputs'!X154-IF(IF(IF(IF(ISERROR('Model inputs'!X84=1),'Model inputs'!X84=1,IF('Model inputs'!X84="","",'Model inputs'!X84=1))="",FALSE,IF(ISERROR('Model inputs'!X84=1),'Model inputs'!X84=1,IF('Model inputs'!X84="","",'Model inputs'!X84=1))),0,IF('Model inputs'!W154="","",'Model inputs'!W154))="",0,IF(IF(IF(ISERROR('Model inputs'!X84=1),'Model inputs'!X84=1,IF('Model inputs'!X84="","",'Model inputs'!X84=1))="",FALSE,IF(ISERROR('Model inputs'!X84=1),'Model inputs'!X84=1,IF('Model inputs'!X84="","",'Model inputs'!X84=1))),0,IF('Model inputs'!W154="","",'Model inputs'!W154))),0)</f>
        <v>0</v>
      </c>
      <c r="Y152" s="9">
        <f>MAX('Model inputs'!Y154-IF(IF(IF(IF(ISERROR('Model inputs'!Y84=1),'Model inputs'!Y84=1,IF('Model inputs'!Y84="","",'Model inputs'!Y84=1))="",FALSE,IF(ISERROR('Model inputs'!Y84=1),'Model inputs'!Y84=1,IF('Model inputs'!Y84="","",'Model inputs'!Y84=1))),0,IF('Model inputs'!X154="","",'Model inputs'!X154))="",0,IF(IF(IF(ISERROR('Model inputs'!Y84=1),'Model inputs'!Y84=1,IF('Model inputs'!Y84="","",'Model inputs'!Y84=1))="",FALSE,IF(ISERROR('Model inputs'!Y84=1),'Model inputs'!Y84=1,IF('Model inputs'!Y84="","",'Model inputs'!Y84=1))),0,IF('Model inputs'!X154="","",'Model inputs'!X154))),0)</f>
        <v>0</v>
      </c>
      <c r="Z152" s="9">
        <f>MAX('Model inputs'!Z154-IF(IF(IF(IF(ISERROR('Model inputs'!Z84=1),'Model inputs'!Z84=1,IF('Model inputs'!Z84="","",'Model inputs'!Z84=1))="",FALSE,IF(ISERROR('Model inputs'!Z84=1),'Model inputs'!Z84=1,IF('Model inputs'!Z84="","",'Model inputs'!Z84=1))),0,IF('Model inputs'!Y154="","",'Model inputs'!Y154))="",0,IF(IF(IF(ISERROR('Model inputs'!Z84=1),'Model inputs'!Z84=1,IF('Model inputs'!Z84="","",'Model inputs'!Z84=1))="",FALSE,IF(ISERROR('Model inputs'!Z84=1),'Model inputs'!Z84=1,IF('Model inputs'!Z84="","",'Model inputs'!Z84=1))),0,IF('Model inputs'!Y154="","",'Model inputs'!Y154))),0)</f>
        <v>0</v>
      </c>
    </row>
    <row r="153">
      <c r="A153" t="inlineStr" s="14">
        <is>
          <t xml:space="preserve">New customer equivalents · Plan Cash collections · Conservative · Conservative</t>
        </is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f>MAX('Model inputs'!L155-IF(IF(IF(IF(ISERROR('Model inputs'!L85=1),'Model inputs'!L85=1,IF('Model inputs'!L85="","",'Model inputs'!L85=1))="",FALSE,IF(ISERROR('Model inputs'!L85=1),'Model inputs'!L85=1,IF('Model inputs'!L85="","",'Model inputs'!L85=1))),0,IF('Model inputs'!K155="","",'Model inputs'!K155))="",0,IF(IF(IF(ISERROR('Model inputs'!L85=1),'Model inputs'!L85=1,IF('Model inputs'!L85="","",'Model inputs'!L85=1))="",FALSE,IF(ISERROR('Model inputs'!L85=1),'Model inputs'!L85=1,IF('Model inputs'!L85="","",'Model inputs'!L85=1))),0,IF('Model inputs'!K155="","",'Model inputs'!K155))),0)</f>
        <v>0</v>
      </c>
      <c r="M153" s="9">
        <f>MAX('Model inputs'!M155-IF(IF(IF(IF(ISERROR('Model inputs'!M85=1),'Model inputs'!M85=1,IF('Model inputs'!M85="","",'Model inputs'!M85=1))="",FALSE,IF(ISERROR('Model inputs'!M85=1),'Model inputs'!M85=1,IF('Model inputs'!M85="","",'Model inputs'!M85=1))),0,IF('Model inputs'!L155="","",'Model inputs'!L155))="",0,IF(IF(IF(ISERROR('Model inputs'!M85=1),'Model inputs'!M85=1,IF('Model inputs'!M85="","",'Model inputs'!M85=1))="",FALSE,IF(ISERROR('Model inputs'!M85=1),'Model inputs'!M85=1,IF('Model inputs'!M85="","",'Model inputs'!M85=1))),0,IF('Model inputs'!L155="","",'Model inputs'!L155))),0)</f>
        <v>0</v>
      </c>
      <c r="N153" s="9">
        <f>MAX('Model inputs'!N155-IF(IF(IF(IF(ISERROR('Model inputs'!N85=1),'Model inputs'!N85=1,IF('Model inputs'!N85="","",'Model inputs'!N85=1))="",FALSE,IF(ISERROR('Model inputs'!N85=1),'Model inputs'!N85=1,IF('Model inputs'!N85="","",'Model inputs'!N85=1))),0,IF('Model inputs'!M155="","",'Model inputs'!M155))="",0,IF(IF(IF(ISERROR('Model inputs'!N85=1),'Model inputs'!N85=1,IF('Model inputs'!N85="","",'Model inputs'!N85=1))="",FALSE,IF(ISERROR('Model inputs'!N85=1),'Model inputs'!N85=1,IF('Model inputs'!N85="","",'Model inputs'!N85=1))),0,IF('Model inputs'!M155="","",'Model inputs'!M155))),0)</f>
        <v>2</v>
      </c>
      <c r="O153" s="9">
        <f>MAX('Model inputs'!O155-IF(IF(IF(IF(ISERROR('Model inputs'!O85=1),'Model inputs'!O85=1,IF('Model inputs'!O85="","",'Model inputs'!O85=1))="",FALSE,IF(ISERROR('Model inputs'!O85=1),'Model inputs'!O85=1,IF('Model inputs'!O85="","",'Model inputs'!O85=1))),0,IF('Model inputs'!N155="","",'Model inputs'!N155))="",0,IF(IF(IF(ISERROR('Model inputs'!O85=1),'Model inputs'!O85=1,IF('Model inputs'!O85="","",'Model inputs'!O85=1))="",FALSE,IF(ISERROR('Model inputs'!O85=1),'Model inputs'!O85=1,IF('Model inputs'!O85="","",'Model inputs'!O85=1))),0,IF('Model inputs'!N155="","",'Model inputs'!N155))),0)</f>
        <v>0</v>
      </c>
      <c r="P153" s="9">
        <f>MAX('Model inputs'!P155-IF(IF(IF(IF(ISERROR('Model inputs'!P85=1),'Model inputs'!P85=1,IF('Model inputs'!P85="","",'Model inputs'!P85=1))="",FALSE,IF(ISERROR('Model inputs'!P85=1),'Model inputs'!P85=1,IF('Model inputs'!P85="","",'Model inputs'!P85=1))),0,IF('Model inputs'!O155="","",'Model inputs'!O155))="",0,IF(IF(IF(ISERROR('Model inputs'!P85=1),'Model inputs'!P85=1,IF('Model inputs'!P85="","",'Model inputs'!P85=1))="",FALSE,IF(ISERROR('Model inputs'!P85=1),'Model inputs'!P85=1,IF('Model inputs'!P85="","",'Model inputs'!P85=1))),0,IF('Model inputs'!O155="","",'Model inputs'!O155))),0)</f>
        <v>0</v>
      </c>
      <c r="Q153" s="9">
        <f>MAX('Model inputs'!Q155-IF(IF(IF(IF(ISERROR('Model inputs'!Q85=1),'Model inputs'!Q85=1,IF('Model inputs'!Q85="","",'Model inputs'!Q85=1))="",FALSE,IF(ISERROR('Model inputs'!Q85=1),'Model inputs'!Q85=1,IF('Model inputs'!Q85="","",'Model inputs'!Q85=1))),0,IF('Model inputs'!P155="","",'Model inputs'!P155))="",0,IF(IF(IF(ISERROR('Model inputs'!Q85=1),'Model inputs'!Q85=1,IF('Model inputs'!Q85="","",'Model inputs'!Q85=1))="",FALSE,IF(ISERROR('Model inputs'!Q85=1),'Model inputs'!Q85=1,IF('Model inputs'!Q85="","",'Model inputs'!Q85=1))),0,IF('Model inputs'!P155="","",'Model inputs'!P155))),0)</f>
        <v>0</v>
      </c>
      <c r="R153" s="9">
        <f>MAX('Model inputs'!R155-IF(IF(IF(IF(ISERROR('Model inputs'!R85=1),'Model inputs'!R85=1,IF('Model inputs'!R85="","",'Model inputs'!R85=1))="",FALSE,IF(ISERROR('Model inputs'!R85=1),'Model inputs'!R85=1,IF('Model inputs'!R85="","",'Model inputs'!R85=1))),0,IF('Model inputs'!Q155="","",'Model inputs'!Q155))="",0,IF(IF(IF(ISERROR('Model inputs'!R85=1),'Model inputs'!R85=1,IF('Model inputs'!R85="","",'Model inputs'!R85=1))="",FALSE,IF(ISERROR('Model inputs'!R85=1),'Model inputs'!R85=1,IF('Model inputs'!R85="","",'Model inputs'!R85=1))),0,IF('Model inputs'!Q155="","",'Model inputs'!Q155))),0)</f>
        <v>0</v>
      </c>
      <c r="S153" s="9">
        <f>MAX('Model inputs'!S155-IF(IF(IF(IF(ISERROR('Model inputs'!S85=1),'Model inputs'!S85=1,IF('Model inputs'!S85="","",'Model inputs'!S85=1))="",FALSE,IF(ISERROR('Model inputs'!S85=1),'Model inputs'!S85=1,IF('Model inputs'!S85="","",'Model inputs'!S85=1))),0,IF('Model inputs'!R155="","",'Model inputs'!R155))="",0,IF(IF(IF(ISERROR('Model inputs'!S85=1),'Model inputs'!S85=1,IF('Model inputs'!S85="","",'Model inputs'!S85=1))="",FALSE,IF(ISERROR('Model inputs'!S85=1),'Model inputs'!S85=1,IF('Model inputs'!S85="","",'Model inputs'!S85=1))),0,IF('Model inputs'!R155="","",'Model inputs'!R155))),0)</f>
        <v>0</v>
      </c>
      <c r="T153" s="9">
        <f>MAX('Model inputs'!T155-IF(IF(IF(IF(ISERROR('Model inputs'!T85=1),'Model inputs'!T85=1,IF('Model inputs'!T85="","",'Model inputs'!T85=1))="",FALSE,IF(ISERROR('Model inputs'!T85=1),'Model inputs'!T85=1,IF('Model inputs'!T85="","",'Model inputs'!T85=1))),0,IF('Model inputs'!S155="","",'Model inputs'!S155))="",0,IF(IF(IF(ISERROR('Model inputs'!T85=1),'Model inputs'!T85=1,IF('Model inputs'!T85="","",'Model inputs'!T85=1))="",FALSE,IF(ISERROR('Model inputs'!T85=1),'Model inputs'!T85=1,IF('Model inputs'!T85="","",'Model inputs'!T85=1))),0,IF('Model inputs'!S155="","",'Model inputs'!S155))),0)</f>
        <v>0</v>
      </c>
      <c r="U153" s="9">
        <f>MAX('Model inputs'!U155-IF(IF(IF(IF(ISERROR('Model inputs'!U85=1),'Model inputs'!U85=1,IF('Model inputs'!U85="","",'Model inputs'!U85=1))="",FALSE,IF(ISERROR('Model inputs'!U85=1),'Model inputs'!U85=1,IF('Model inputs'!U85="","",'Model inputs'!U85=1))),0,IF('Model inputs'!T155="","",'Model inputs'!T155))="",0,IF(IF(IF(ISERROR('Model inputs'!U85=1),'Model inputs'!U85=1,IF('Model inputs'!U85="","",'Model inputs'!U85=1))="",FALSE,IF(ISERROR('Model inputs'!U85=1),'Model inputs'!U85=1,IF('Model inputs'!U85="","",'Model inputs'!U85=1))),0,IF('Model inputs'!T155="","",'Model inputs'!T155))),0)</f>
        <v>0</v>
      </c>
      <c r="V153" s="9">
        <f>MAX('Model inputs'!V155-IF(IF(IF(IF(ISERROR('Model inputs'!V85=1),'Model inputs'!V85=1,IF('Model inputs'!V85="","",'Model inputs'!V85=1))="",FALSE,IF(ISERROR('Model inputs'!V85=1),'Model inputs'!V85=1,IF('Model inputs'!V85="","",'Model inputs'!V85=1))),0,IF('Model inputs'!U155="","",'Model inputs'!U155))="",0,IF(IF(IF(ISERROR('Model inputs'!V85=1),'Model inputs'!V85=1,IF('Model inputs'!V85="","",'Model inputs'!V85=1))="",FALSE,IF(ISERROR('Model inputs'!V85=1),'Model inputs'!V85=1,IF('Model inputs'!V85="","",'Model inputs'!V85=1))),0,IF('Model inputs'!U155="","",'Model inputs'!U155))),0)</f>
        <v>0</v>
      </c>
      <c r="W153" s="9">
        <f>MAX('Model inputs'!W155-IF(IF(IF(IF(ISERROR('Model inputs'!W85=1),'Model inputs'!W85=1,IF('Model inputs'!W85="","",'Model inputs'!W85=1))="",FALSE,IF(ISERROR('Model inputs'!W85=1),'Model inputs'!W85=1,IF('Model inputs'!W85="","",'Model inputs'!W85=1))),0,IF('Model inputs'!V155="","",'Model inputs'!V155))="",0,IF(IF(IF(ISERROR('Model inputs'!W85=1),'Model inputs'!W85=1,IF('Model inputs'!W85="","",'Model inputs'!W85=1))="",FALSE,IF(ISERROR('Model inputs'!W85=1),'Model inputs'!W85=1,IF('Model inputs'!W85="","",'Model inputs'!W85=1))),0,IF('Model inputs'!V155="","",'Model inputs'!V155))),0)</f>
        <v>0</v>
      </c>
      <c r="X153" s="9">
        <f>MAX('Model inputs'!X155-IF(IF(IF(IF(ISERROR('Model inputs'!X85=1),'Model inputs'!X85=1,IF('Model inputs'!X85="","",'Model inputs'!X85=1))="",FALSE,IF(ISERROR('Model inputs'!X85=1),'Model inputs'!X85=1,IF('Model inputs'!X85="","",'Model inputs'!X85=1))),0,IF('Model inputs'!W155="","",'Model inputs'!W155))="",0,IF(IF(IF(ISERROR('Model inputs'!X85=1),'Model inputs'!X85=1,IF('Model inputs'!X85="","",'Model inputs'!X85=1))="",FALSE,IF(ISERROR('Model inputs'!X85=1),'Model inputs'!X85=1,IF('Model inputs'!X85="","",'Model inputs'!X85=1))),0,IF('Model inputs'!W155="","",'Model inputs'!W155))),0)</f>
        <v>0</v>
      </c>
      <c r="Y153" s="9">
        <f>MAX('Model inputs'!Y155-IF(IF(IF(IF(ISERROR('Model inputs'!Y85=1),'Model inputs'!Y85=1,IF('Model inputs'!Y85="","",'Model inputs'!Y85=1))="",FALSE,IF(ISERROR('Model inputs'!Y85=1),'Model inputs'!Y85=1,IF('Model inputs'!Y85="","",'Model inputs'!Y85=1))),0,IF('Model inputs'!X155="","",'Model inputs'!X155))="",0,IF(IF(IF(ISERROR('Model inputs'!Y85=1),'Model inputs'!Y85=1,IF('Model inputs'!Y85="","",'Model inputs'!Y85=1))="",FALSE,IF(ISERROR('Model inputs'!Y85=1),'Model inputs'!Y85=1,IF('Model inputs'!Y85="","",'Model inputs'!Y85=1))),0,IF('Model inputs'!X155="","",'Model inputs'!X155))),0)</f>
        <v>0</v>
      </c>
      <c r="Z153" s="9">
        <f>MAX('Model inputs'!Z155-IF(IF(IF(IF(ISERROR('Model inputs'!Z85=1),'Model inputs'!Z85=1,IF('Model inputs'!Z85="","",'Model inputs'!Z85=1))="",FALSE,IF(ISERROR('Model inputs'!Z85=1),'Model inputs'!Z85=1,IF('Model inputs'!Z85="","",'Model inputs'!Z85=1))),0,IF('Model inputs'!Y155="","",'Model inputs'!Y155))="",0,IF(IF(IF(ISERROR('Model inputs'!Z85=1),'Model inputs'!Z85=1,IF('Model inputs'!Z85="","",'Model inputs'!Z85=1))="",FALSE,IF(ISERROR('Model inputs'!Z85=1),'Model inputs'!Z85=1,IF('Model inputs'!Z85="","",'Model inputs'!Z85=1))),0,IF('Model inputs'!Y155="","",'Model inputs'!Y155))),0)</f>
        <v>0</v>
      </c>
    </row>
    <row r="154">
      <c r="A154" t="inlineStr" s="14">
        <is>
          <t xml:space="preserve">Paying customer equivalents · Plan Audits delivered · Growth · Growth</t>
        </is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inputs'!L84-'Model inputs'!AA258)/'Model inputs'!B18,0),1),IF(IF(IF(ISERROR('Model inputs'!L84&gt;'Model inputs'!AA258),'Model inputs'!L84&gt;'Model inputs'!AA258,IF(OR('Model inputs'!L84="",'Model inputs'!AA258=""),"",'Model inputs'!L84&gt;'Model inputs'!AA258))="",FALSE,IF(ISERROR('Model inputs'!L84&gt;'Model inputs'!AA258),'Model inputs'!L84&gt;'Model inputs'!AA258,IF(OR('Model inputs'!L84="",'Model inputs'!AA258=""),"",'Model inputs'!L84&gt;'Model inputs'!AA258))),IF('Model inputs'!AA268="","",'Model inputs'!AA268),0))</f>
        <v>1.25</v>
      </c>
      <c r="M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inputs'!M84-'Model inputs'!AA258)/'Model inputs'!B18,0),1),IF(IF(IF(ISERROR('Model inputs'!M84&gt;'Model inputs'!AA258),'Model inputs'!M84&gt;'Model inputs'!AA258,IF(OR('Model inputs'!M84="",'Model inputs'!AA258=""),"",'Model inputs'!M84&gt;'Model inputs'!AA258))="",FALSE,IF(ISERROR('Model inputs'!M84&gt;'Model inputs'!AA258),'Model inputs'!M84&gt;'Model inputs'!AA258,IF(OR('Model inputs'!M84="",'Model inputs'!AA258=""),"",'Model inputs'!M84&gt;'Model inputs'!AA258))),IF('Model inputs'!AA268="","",'Model inputs'!AA268),0))</f>
        <v>2.5</v>
      </c>
      <c r="N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inputs'!N84-'Model inputs'!AA258)/'Model inputs'!B18,0),1),IF(IF(IF(ISERROR('Model inputs'!N84&gt;'Model inputs'!AA258),'Model inputs'!N84&gt;'Model inputs'!AA258,IF(OR('Model inputs'!N84="",'Model inputs'!AA258=""),"",'Model inputs'!N84&gt;'Model inputs'!AA258))="",FALSE,IF(ISERROR('Model inputs'!N84&gt;'Model inputs'!AA258),'Model inputs'!N84&gt;'Model inputs'!AA258,IF(OR('Model inputs'!N84="",'Model inputs'!AA258=""),"",'Model inputs'!N84&gt;'Model inputs'!AA258))),IF('Model inputs'!AA268="","",'Model inputs'!AA268),0))</f>
        <v>3.75</v>
      </c>
      <c r="O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inputs'!O84-'Model inputs'!AA258)/'Model inputs'!B18,0),1),IF(IF(IF(ISERROR('Model inputs'!O84&gt;'Model inputs'!AA258),'Model inputs'!O84&gt;'Model inputs'!AA258,IF(OR('Model inputs'!O84="",'Model inputs'!AA258=""),"",'Model inputs'!O84&gt;'Model inputs'!AA258))="",FALSE,IF(ISERROR('Model inputs'!O84&gt;'Model inputs'!AA258),'Model inputs'!O84&gt;'Model inputs'!AA258,IF(OR('Model inputs'!O84="",'Model inputs'!AA258=""),"",'Model inputs'!O84&gt;'Model inputs'!AA258))),IF('Model inputs'!AA268="","",'Model inputs'!AA268),0))</f>
        <v>5</v>
      </c>
      <c r="P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inputs'!P84-'Model inputs'!AA258)/'Model inputs'!B18,0),1),IF(IF(IF(ISERROR('Model inputs'!P84&gt;'Model inputs'!AA258),'Model inputs'!P84&gt;'Model inputs'!AA258,IF(OR('Model inputs'!P84="",'Model inputs'!AA258=""),"",'Model inputs'!P84&gt;'Model inputs'!AA258))="",FALSE,IF(ISERROR('Model inputs'!P84&gt;'Model inputs'!AA258),'Model inputs'!P84&gt;'Model inputs'!AA258,IF(OR('Model inputs'!P84="",'Model inputs'!AA258=""),"",'Model inputs'!P84&gt;'Model inputs'!AA258))),IF('Model inputs'!AA268="","",'Model inputs'!AA268),0))</f>
        <v>6.25</v>
      </c>
      <c r="Q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inputs'!Q84-'Model inputs'!AA258)/'Model inputs'!B18,0),1),IF(IF(IF(ISERROR('Model inputs'!Q84&gt;'Model inputs'!AA258),'Model inputs'!Q84&gt;'Model inputs'!AA258,IF(OR('Model inputs'!Q84="",'Model inputs'!AA258=""),"",'Model inputs'!Q84&gt;'Model inputs'!AA258))="",FALSE,IF(ISERROR('Model inputs'!Q84&gt;'Model inputs'!AA258),'Model inputs'!Q84&gt;'Model inputs'!AA258,IF(OR('Model inputs'!Q84="",'Model inputs'!AA258=""),"",'Model inputs'!Q84&gt;'Model inputs'!AA258))),IF('Model inputs'!AA268="","",'Model inputs'!AA268),0))</f>
        <v>7.5</v>
      </c>
      <c r="R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inputs'!R84-'Model inputs'!AA258)/'Model inputs'!B18,0),1),IF(IF(IF(ISERROR('Model inputs'!R84&gt;'Model inputs'!AA258),'Model inputs'!R84&gt;'Model inputs'!AA258,IF(OR('Model inputs'!R84="",'Model inputs'!AA258=""),"",'Model inputs'!R84&gt;'Model inputs'!AA258))="",FALSE,IF(ISERROR('Model inputs'!R84&gt;'Model inputs'!AA258),'Model inputs'!R84&gt;'Model inputs'!AA258,IF(OR('Model inputs'!R84="",'Model inputs'!AA258=""),"",'Model inputs'!R84&gt;'Model inputs'!AA258))),IF('Model inputs'!AA268="","",'Model inputs'!AA268),0))</f>
        <v>8.75</v>
      </c>
      <c r="S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inputs'!S84-'Model inputs'!AA258)/'Model inputs'!B18,0),1),IF(IF(IF(ISERROR('Model inputs'!S84&gt;'Model inputs'!AA258),'Model inputs'!S84&gt;'Model inputs'!AA258,IF(OR('Model inputs'!S84="",'Model inputs'!AA258=""),"",'Model inputs'!S84&gt;'Model inputs'!AA258))="",FALSE,IF(ISERROR('Model inputs'!S84&gt;'Model inputs'!AA258),'Model inputs'!S84&gt;'Model inputs'!AA258,IF(OR('Model inputs'!S84="",'Model inputs'!AA258=""),"",'Model inputs'!S84&gt;'Model inputs'!AA258))),IF('Model inputs'!AA268="","",'Model inputs'!AA268),0))</f>
        <v>10</v>
      </c>
      <c r="T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inputs'!T84-'Model inputs'!AA258)/'Model inputs'!B18,0),1),IF(IF(IF(ISERROR('Model inputs'!T84&gt;'Model inputs'!AA258),'Model inputs'!T84&gt;'Model inputs'!AA258,IF(OR('Model inputs'!T84="",'Model inputs'!AA258=""),"",'Model inputs'!T84&gt;'Model inputs'!AA258))="",FALSE,IF(ISERROR('Model inputs'!T84&gt;'Model inputs'!AA258),'Model inputs'!T84&gt;'Model inputs'!AA258,IF(OR('Model inputs'!T84="",'Model inputs'!AA258=""),"",'Model inputs'!T84&gt;'Model inputs'!AA258))),IF('Model inputs'!AA268="","",'Model inputs'!AA268),0))</f>
        <v>11.25</v>
      </c>
      <c r="U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inputs'!U84-'Model inputs'!AA258)/'Model inputs'!B18,0),1),IF(IF(IF(ISERROR('Model inputs'!U84&gt;'Model inputs'!AA258),'Model inputs'!U84&gt;'Model inputs'!AA258,IF(OR('Model inputs'!U84="",'Model inputs'!AA258=""),"",'Model inputs'!U84&gt;'Model inputs'!AA258))="",FALSE,IF(ISERROR('Model inputs'!U84&gt;'Model inputs'!AA258),'Model inputs'!U84&gt;'Model inputs'!AA258,IF(OR('Model inputs'!U84="",'Model inputs'!AA258=""),"",'Model inputs'!U84&gt;'Model inputs'!AA258))),IF('Model inputs'!AA268="","",'Model inputs'!AA268),0))</f>
        <v>12.5</v>
      </c>
      <c r="V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inputs'!V84-'Model inputs'!AA258)/'Model inputs'!B18,0),1),IF(IF(IF(ISERROR('Model inputs'!V84&gt;'Model inputs'!AA258),'Model inputs'!V84&gt;'Model inputs'!AA258,IF(OR('Model inputs'!V84="",'Model inputs'!AA258=""),"",'Model inputs'!V84&gt;'Model inputs'!AA258))="",FALSE,IF(ISERROR('Model inputs'!V84&gt;'Model inputs'!AA258),'Model inputs'!V84&gt;'Model inputs'!AA258,IF(OR('Model inputs'!V84="",'Model inputs'!AA258=""),"",'Model inputs'!V84&gt;'Model inputs'!AA258))),IF('Model inputs'!AA268="","",'Model inputs'!AA268),0))</f>
        <v>13.75</v>
      </c>
      <c r="W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inputs'!W84-'Model inputs'!AA258)/'Model inputs'!B18,0),1),IF(IF(IF(ISERROR('Model inputs'!W84&gt;'Model inputs'!AA258),'Model inputs'!W84&gt;'Model inputs'!AA258,IF(OR('Model inputs'!W84="",'Model inputs'!AA258=""),"",'Model inputs'!W84&gt;'Model inputs'!AA258))="",FALSE,IF(ISERROR('Model inputs'!W84&gt;'Model inputs'!AA258),'Model inputs'!W84&gt;'Model inputs'!AA258,IF(OR('Model inputs'!W84="",'Model inputs'!AA258=""),"",'Model inputs'!W84&gt;'Model inputs'!AA258))),IF('Model inputs'!AA268="","",'Model inputs'!AA268),0))</f>
        <v>15</v>
      </c>
      <c r="X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inputs'!X84-'Model inputs'!AA258)/'Model inputs'!B18,0),1),IF(IF(IF(ISERROR('Model inputs'!X84&gt;'Model inputs'!AA258),'Model inputs'!X84&gt;'Model inputs'!AA258,IF(OR('Model inputs'!X84="",'Model inputs'!AA258=""),"",'Model inputs'!X84&gt;'Model inputs'!AA258))="",FALSE,IF(ISERROR('Model inputs'!X84&gt;'Model inputs'!AA258),'Model inputs'!X84&gt;'Model inputs'!AA258,IF(OR('Model inputs'!X84="",'Model inputs'!AA258=""),"",'Model inputs'!X84&gt;'Model inputs'!AA258))),IF('Model inputs'!AA268="","",'Model inputs'!AA268),0))</f>
        <v>15</v>
      </c>
      <c r="Y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inputs'!Y84-'Model inputs'!AA258)/'Model inputs'!B18,0),1),IF(IF(IF(ISERROR('Model inputs'!Y84&gt;'Model inputs'!AA258),'Model inputs'!Y84&gt;'Model inputs'!AA258,IF(OR('Model inputs'!Y84="",'Model inputs'!AA258=""),"",'Model inputs'!Y84&gt;'Model inputs'!AA258))="",FALSE,IF(ISERROR('Model inputs'!Y84&gt;'Model inputs'!AA258),'Model inputs'!Y84&gt;'Model inputs'!AA258,IF(OR('Model inputs'!Y84="",'Model inputs'!AA258=""),"",'Model inputs'!Y84&gt;'Model inputs'!AA258))),IF('Model inputs'!AA268="","",'Model inputs'!AA268),0))</f>
        <v>15</v>
      </c>
      <c r="Z154" s="9">
        <f>IF(IF(IF(ISERROR('Model inputs'!AA242=1),'Model inputs'!AA242=1,IF('Model inputs'!AA242="","",'Model inputs'!AA242=1))="",FALSE,IF(ISERROR('Model inputs'!AA242=1),'Model inputs'!AA242=1,IF('Model inputs'!AA242="","",'Model inputs'!AA242=1))),'Model inputs'!AA268*MIN(MAX(('Model inputs'!Z84-'Model inputs'!AA258)/'Model inputs'!B18,0),1),IF(IF(IF(ISERROR('Model inputs'!Z84&gt;'Model inputs'!AA258),'Model inputs'!Z84&gt;'Model inputs'!AA258,IF(OR('Model inputs'!Z84="",'Model inputs'!AA258=""),"",'Model inputs'!Z84&gt;'Model inputs'!AA258))="",FALSE,IF(ISERROR('Model inputs'!Z84&gt;'Model inputs'!AA258),'Model inputs'!Z84&gt;'Model inputs'!AA258,IF(OR('Model inputs'!Z84="",'Model inputs'!AA258=""),"",'Model inputs'!Z84&gt;'Model inputs'!AA258))),IF('Model inputs'!AA268="","",'Model inputs'!AA268),0))</f>
        <v>15</v>
      </c>
    </row>
    <row r="155">
      <c r="A155" t="inlineStr" s="14">
        <is>
          <t xml:space="preserve">Paying customer equivalents · Plan Audits delivered · Conservative · Conservative</t>
        </is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inputs'!L85-'Model inputs'!AA259)/'Model inputs'!B19,0),1),IF(IF(IF(ISERROR('Model inputs'!L85&gt;'Model inputs'!AA259),'Model inputs'!L85&gt;'Model inputs'!AA259,IF(OR('Model inputs'!L85="",'Model inputs'!AA259=""),"",'Model inputs'!L85&gt;'Model inputs'!AA259))="",FALSE,IF(ISERROR('Model inputs'!L85&gt;'Model inputs'!AA259),'Model inputs'!L85&gt;'Model inputs'!AA259,IF(OR('Model inputs'!L85="",'Model inputs'!AA259=""),"",'Model inputs'!L85&gt;'Model inputs'!AA259))),IF('Model inputs'!AA269="","",'Model inputs'!AA269),0))</f>
        <v>0</v>
      </c>
      <c r="M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inputs'!M85-'Model inputs'!AA259)/'Model inputs'!B19,0),1),IF(IF(IF(ISERROR('Model inputs'!M85&gt;'Model inputs'!AA259),'Model inputs'!M85&gt;'Model inputs'!AA259,IF(OR('Model inputs'!M85="",'Model inputs'!AA259=""),"",'Model inputs'!M85&gt;'Model inputs'!AA259))="",FALSE,IF(ISERROR('Model inputs'!M85&gt;'Model inputs'!AA259),'Model inputs'!M85&gt;'Model inputs'!AA259,IF(OR('Model inputs'!M85="",'Model inputs'!AA259=""),"",'Model inputs'!M85&gt;'Model inputs'!AA259))),IF('Model inputs'!AA269="","",'Model inputs'!AA269),0))</f>
        <v>0</v>
      </c>
      <c r="N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inputs'!N85-'Model inputs'!AA259)/'Model inputs'!B19,0),1),IF(IF(IF(ISERROR('Model inputs'!N85&gt;'Model inputs'!AA259),'Model inputs'!N85&gt;'Model inputs'!AA259,IF(OR('Model inputs'!N85="",'Model inputs'!AA259=""),"",'Model inputs'!N85&gt;'Model inputs'!AA259))="",FALSE,IF(ISERROR('Model inputs'!N85&gt;'Model inputs'!AA259),'Model inputs'!N85&gt;'Model inputs'!AA259,IF(OR('Model inputs'!N85="",'Model inputs'!AA259=""),"",'Model inputs'!N85&gt;'Model inputs'!AA259))),IF('Model inputs'!AA269="","",'Model inputs'!AA269),0))</f>
        <v>2</v>
      </c>
      <c r="O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inputs'!O85-'Model inputs'!AA259)/'Model inputs'!B19,0),1),IF(IF(IF(ISERROR('Model inputs'!O85&gt;'Model inputs'!AA259),'Model inputs'!O85&gt;'Model inputs'!AA259,IF(OR('Model inputs'!O85="",'Model inputs'!AA259=""),"",'Model inputs'!O85&gt;'Model inputs'!AA259))="",FALSE,IF(ISERROR('Model inputs'!O85&gt;'Model inputs'!AA259),'Model inputs'!O85&gt;'Model inputs'!AA259,IF(OR('Model inputs'!O85="",'Model inputs'!AA259=""),"",'Model inputs'!O85&gt;'Model inputs'!AA259))),IF('Model inputs'!AA269="","",'Model inputs'!AA269),0))</f>
        <v>2</v>
      </c>
      <c r="P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inputs'!P85-'Model inputs'!AA259)/'Model inputs'!B19,0),1),IF(IF(IF(ISERROR('Model inputs'!P85&gt;'Model inputs'!AA259),'Model inputs'!P85&gt;'Model inputs'!AA259,IF(OR('Model inputs'!P85="",'Model inputs'!AA259=""),"",'Model inputs'!P85&gt;'Model inputs'!AA259))="",FALSE,IF(ISERROR('Model inputs'!P85&gt;'Model inputs'!AA259),'Model inputs'!P85&gt;'Model inputs'!AA259,IF(OR('Model inputs'!P85="",'Model inputs'!AA259=""),"",'Model inputs'!P85&gt;'Model inputs'!AA259))),IF('Model inputs'!AA269="","",'Model inputs'!AA269),0))</f>
        <v>2</v>
      </c>
      <c r="Q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inputs'!Q85-'Model inputs'!AA259)/'Model inputs'!B19,0),1),IF(IF(IF(ISERROR('Model inputs'!Q85&gt;'Model inputs'!AA259),'Model inputs'!Q85&gt;'Model inputs'!AA259,IF(OR('Model inputs'!Q85="",'Model inputs'!AA259=""),"",'Model inputs'!Q85&gt;'Model inputs'!AA259))="",FALSE,IF(ISERROR('Model inputs'!Q85&gt;'Model inputs'!AA259),'Model inputs'!Q85&gt;'Model inputs'!AA259,IF(OR('Model inputs'!Q85="",'Model inputs'!AA259=""),"",'Model inputs'!Q85&gt;'Model inputs'!AA259))),IF('Model inputs'!AA269="","",'Model inputs'!AA269),0))</f>
        <v>2</v>
      </c>
      <c r="R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inputs'!R85-'Model inputs'!AA259)/'Model inputs'!B19,0),1),IF(IF(IF(ISERROR('Model inputs'!R85&gt;'Model inputs'!AA259),'Model inputs'!R85&gt;'Model inputs'!AA259,IF(OR('Model inputs'!R85="",'Model inputs'!AA259=""),"",'Model inputs'!R85&gt;'Model inputs'!AA259))="",FALSE,IF(ISERROR('Model inputs'!R85&gt;'Model inputs'!AA259),'Model inputs'!R85&gt;'Model inputs'!AA259,IF(OR('Model inputs'!R85="",'Model inputs'!AA259=""),"",'Model inputs'!R85&gt;'Model inputs'!AA259))),IF('Model inputs'!AA269="","",'Model inputs'!AA269),0))</f>
        <v>2</v>
      </c>
      <c r="S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inputs'!S85-'Model inputs'!AA259)/'Model inputs'!B19,0),1),IF(IF(IF(ISERROR('Model inputs'!S85&gt;'Model inputs'!AA259),'Model inputs'!S85&gt;'Model inputs'!AA259,IF(OR('Model inputs'!S85="",'Model inputs'!AA259=""),"",'Model inputs'!S85&gt;'Model inputs'!AA259))="",FALSE,IF(ISERROR('Model inputs'!S85&gt;'Model inputs'!AA259),'Model inputs'!S85&gt;'Model inputs'!AA259,IF(OR('Model inputs'!S85="",'Model inputs'!AA259=""),"",'Model inputs'!S85&gt;'Model inputs'!AA259))),IF('Model inputs'!AA269="","",'Model inputs'!AA269),0))</f>
        <v>2</v>
      </c>
      <c r="T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inputs'!T85-'Model inputs'!AA259)/'Model inputs'!B19,0),1),IF(IF(IF(ISERROR('Model inputs'!T85&gt;'Model inputs'!AA259),'Model inputs'!T85&gt;'Model inputs'!AA259,IF(OR('Model inputs'!T85="",'Model inputs'!AA259=""),"",'Model inputs'!T85&gt;'Model inputs'!AA259))="",FALSE,IF(ISERROR('Model inputs'!T85&gt;'Model inputs'!AA259),'Model inputs'!T85&gt;'Model inputs'!AA259,IF(OR('Model inputs'!T85="",'Model inputs'!AA259=""),"",'Model inputs'!T85&gt;'Model inputs'!AA259))),IF('Model inputs'!AA269="","",'Model inputs'!AA269),0))</f>
        <v>2</v>
      </c>
      <c r="U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inputs'!U85-'Model inputs'!AA259)/'Model inputs'!B19,0),1),IF(IF(IF(ISERROR('Model inputs'!U85&gt;'Model inputs'!AA259),'Model inputs'!U85&gt;'Model inputs'!AA259,IF(OR('Model inputs'!U85="",'Model inputs'!AA259=""),"",'Model inputs'!U85&gt;'Model inputs'!AA259))="",FALSE,IF(ISERROR('Model inputs'!U85&gt;'Model inputs'!AA259),'Model inputs'!U85&gt;'Model inputs'!AA259,IF(OR('Model inputs'!U85="",'Model inputs'!AA259=""),"",'Model inputs'!U85&gt;'Model inputs'!AA259))),IF('Model inputs'!AA269="","",'Model inputs'!AA269),0))</f>
        <v>2</v>
      </c>
      <c r="V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inputs'!V85-'Model inputs'!AA259)/'Model inputs'!B19,0),1),IF(IF(IF(ISERROR('Model inputs'!V85&gt;'Model inputs'!AA259),'Model inputs'!V85&gt;'Model inputs'!AA259,IF(OR('Model inputs'!V85="",'Model inputs'!AA259=""),"",'Model inputs'!V85&gt;'Model inputs'!AA259))="",FALSE,IF(ISERROR('Model inputs'!V85&gt;'Model inputs'!AA259),'Model inputs'!V85&gt;'Model inputs'!AA259,IF(OR('Model inputs'!V85="",'Model inputs'!AA259=""),"",'Model inputs'!V85&gt;'Model inputs'!AA259))),IF('Model inputs'!AA269="","",'Model inputs'!AA269),0))</f>
        <v>2</v>
      </c>
      <c r="W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inputs'!W85-'Model inputs'!AA259)/'Model inputs'!B19,0),1),IF(IF(IF(ISERROR('Model inputs'!W85&gt;'Model inputs'!AA259),'Model inputs'!W85&gt;'Model inputs'!AA259,IF(OR('Model inputs'!W85="",'Model inputs'!AA259=""),"",'Model inputs'!W85&gt;'Model inputs'!AA259))="",FALSE,IF(ISERROR('Model inputs'!W85&gt;'Model inputs'!AA259),'Model inputs'!W85&gt;'Model inputs'!AA259,IF(OR('Model inputs'!W85="",'Model inputs'!AA259=""),"",'Model inputs'!W85&gt;'Model inputs'!AA259))),IF('Model inputs'!AA269="","",'Model inputs'!AA269),0))</f>
        <v>2</v>
      </c>
      <c r="X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inputs'!X85-'Model inputs'!AA259)/'Model inputs'!B19,0),1),IF(IF(IF(ISERROR('Model inputs'!X85&gt;'Model inputs'!AA259),'Model inputs'!X85&gt;'Model inputs'!AA259,IF(OR('Model inputs'!X85="",'Model inputs'!AA259=""),"",'Model inputs'!X85&gt;'Model inputs'!AA259))="",FALSE,IF(ISERROR('Model inputs'!X85&gt;'Model inputs'!AA259),'Model inputs'!X85&gt;'Model inputs'!AA259,IF(OR('Model inputs'!X85="",'Model inputs'!AA259=""),"",'Model inputs'!X85&gt;'Model inputs'!AA259))),IF('Model inputs'!AA269="","",'Model inputs'!AA269),0))</f>
        <v>2</v>
      </c>
      <c r="Y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inputs'!Y85-'Model inputs'!AA259)/'Model inputs'!B19,0),1),IF(IF(IF(ISERROR('Model inputs'!Y85&gt;'Model inputs'!AA259),'Model inputs'!Y85&gt;'Model inputs'!AA259,IF(OR('Model inputs'!Y85="",'Model inputs'!AA259=""),"",'Model inputs'!Y85&gt;'Model inputs'!AA259))="",FALSE,IF(ISERROR('Model inputs'!Y85&gt;'Model inputs'!AA259),'Model inputs'!Y85&gt;'Model inputs'!AA259,IF(OR('Model inputs'!Y85="",'Model inputs'!AA259=""),"",'Model inputs'!Y85&gt;'Model inputs'!AA259))),IF('Model inputs'!AA269="","",'Model inputs'!AA269),0))</f>
        <v>2</v>
      </c>
      <c r="Z155" s="9">
        <f>IF(IF(IF(ISERROR('Model inputs'!AA243=1),'Model inputs'!AA243=1,IF('Model inputs'!AA243="","",'Model inputs'!AA243=1))="",FALSE,IF(ISERROR('Model inputs'!AA243=1),'Model inputs'!AA243=1,IF('Model inputs'!AA243="","",'Model inputs'!AA243=1))),'Model inputs'!AA269*MIN(MAX(('Model inputs'!Z85-'Model inputs'!AA259)/'Model inputs'!B19,0),1),IF(IF(IF(ISERROR('Model inputs'!Z85&gt;'Model inputs'!AA259),'Model inputs'!Z85&gt;'Model inputs'!AA259,IF(OR('Model inputs'!Z85="",'Model inputs'!AA259=""),"",'Model inputs'!Z85&gt;'Model inputs'!AA259))="",FALSE,IF(ISERROR('Model inputs'!Z85&gt;'Model inputs'!AA259),'Model inputs'!Z85&gt;'Model inputs'!AA259,IF(OR('Model inputs'!Z85="",'Model inputs'!AA259=""),"",'Model inputs'!Z85&gt;'Model inputs'!AA259))),IF('Model inputs'!AA269="","",'Model inputs'!AA269),0))</f>
        <v>2</v>
      </c>
    </row>
    <row r="156">
      <c r="A156" t="inlineStr" s="14">
        <is>
          <t xml:space="preserve">Payment fees</t>
        </is>
      </c>
      <c r="C156" s="6">
        <f>SUM('Model inputs'!C157,'Model inputs'!C158,'Model inputs'!C159,'Model inputs'!C160,'Model inputs'!C161)</f>
        <v>0</v>
      </c>
      <c r="D156" s="6">
        <f>SUM('Model inputs'!D157,'Model inputs'!D158,'Model inputs'!D159,'Model inputs'!D160,'Model inputs'!D161)</f>
        <v>0</v>
      </c>
      <c r="E156" s="6">
        <f>SUM('Model inputs'!E157,'Model inputs'!E158,'Model inputs'!E159,'Model inputs'!E160,'Model inputs'!E161)</f>
        <v>0</v>
      </c>
      <c r="F156" s="6">
        <f>SUM('Model inputs'!F157,'Model inputs'!F158,'Model inputs'!F159,'Model inputs'!F160,'Model inputs'!F161)</f>
        <v>0</v>
      </c>
      <c r="G156" s="6">
        <f>SUM('Model inputs'!G157,'Model inputs'!G158,'Model inputs'!G159,'Model inputs'!G160,'Model inputs'!G161)</f>
        <v>0</v>
      </c>
      <c r="H156" s="6">
        <f>SUM('Model inputs'!H157,'Model inputs'!H158,'Model inputs'!H159,'Model inputs'!H160,'Model inputs'!H161)</f>
        <v>0</v>
      </c>
      <c r="I156" s="6">
        <f>SUM('Model inputs'!I157,'Model inputs'!I158,'Model inputs'!I159,'Model inputs'!I160,'Model inputs'!I161)</f>
        <v>0</v>
      </c>
      <c r="J156" s="6">
        <f>SUM('Model inputs'!J157,'Model inputs'!J158,'Model inputs'!J159,'Model inputs'!J160,'Model inputs'!J161)</f>
        <v>0</v>
      </c>
      <c r="K156" s="6">
        <f>SUM('Model inputs'!K157,'Model inputs'!K158,'Model inputs'!K159,'Model inputs'!K160,'Model inputs'!K161)</f>
        <v>0</v>
      </c>
      <c r="L156" t="str" s="6">
        <f>""</f>
        <v/>
      </c>
      <c r="M156" t="str" s="6">
        <f>""</f>
        <v/>
      </c>
      <c r="N156" t="str" s="6">
        <f>""</f>
        <v/>
      </c>
      <c r="O156" t="str" s="6">
        <f>""</f>
        <v/>
      </c>
      <c r="P156" t="str" s="6">
        <f>""</f>
        <v/>
      </c>
      <c r="Q156" t="str" s="6">
        <f>""</f>
        <v/>
      </c>
      <c r="R156" t="str" s="6">
        <f>""</f>
        <v/>
      </c>
      <c r="S156" t="str" s="6">
        <f>""</f>
        <v/>
      </c>
      <c r="T156" t="str" s="6">
        <f>""</f>
        <v/>
      </c>
      <c r="U156" t="str" s="6">
        <f>""</f>
        <v/>
      </c>
      <c r="V156" t="str" s="6">
        <f>""</f>
        <v/>
      </c>
      <c r="W156" t="str" s="6">
        <f>""</f>
        <v/>
      </c>
      <c r="X156" t="str" s="6">
        <f>""</f>
        <v/>
      </c>
      <c r="Y156" t="str" s="6">
        <f>""</f>
        <v/>
      </c>
      <c r="Z156" t="str" s="6">
        <f>""</f>
        <v/>
      </c>
    </row>
    <row r="157" outlineLevel="1">
      <c r="A157" t="inlineStr" s="16">
        <is>
          <t xml:space="preserve">Payment fees &gt; Annual deal-team</t>
        </is>
      </c>
      <c r="C157" s="8">
        <f>0</f>
        <v>0</v>
      </c>
      <c r="D157" s="8">
        <f>0</f>
        <v>0</v>
      </c>
      <c r="E157" s="8">
        <f>0</f>
        <v>0</v>
      </c>
      <c r="F157" s="8">
        <f>0</f>
        <v>0</v>
      </c>
      <c r="G157" s="8">
        <f>0</f>
        <v>0</v>
      </c>
      <c r="H157" s="8">
        <f>0</f>
        <v>0</v>
      </c>
      <c r="I157" s="8">
        <f>0</f>
        <v>0</v>
      </c>
      <c r="J157" s="8">
        <f>0</f>
        <v>0</v>
      </c>
      <c r="K157" s="8">
        <f>0</f>
        <v>0</v>
      </c>
      <c r="L157" s="8">
        <f>'Model inputs'!L43*'Model inputs'!AA256</f>
        <v>975</v>
      </c>
      <c r="M157" s="8">
        <f>'Model inputs'!M43*'Model inputs'!AA256</f>
        <v>1050</v>
      </c>
      <c r="N157" s="8">
        <f>'Model inputs'!N43*'Model inputs'!AA256</f>
        <v>1125</v>
      </c>
      <c r="O157" s="8">
        <f>'Model inputs'!O43*'Model inputs'!AA256</f>
        <v>1200</v>
      </c>
      <c r="P157" s="8">
        <f>'Model inputs'!P43*'Model inputs'!AA256</f>
        <v>1275</v>
      </c>
      <c r="Q157" s="8">
        <f>'Model inputs'!Q43*'Model inputs'!AA256</f>
        <v>1350</v>
      </c>
      <c r="R157" s="8">
        <f>'Model inputs'!R43*'Model inputs'!AA256</f>
        <v>1425</v>
      </c>
      <c r="S157" s="8">
        <f>'Model inputs'!S43*'Model inputs'!AA256</f>
        <v>1500</v>
      </c>
      <c r="T157" s="8">
        <f>'Model inputs'!T43*'Model inputs'!AA256</f>
        <v>1575</v>
      </c>
      <c r="U157" s="8">
        <f>'Model inputs'!U43*'Model inputs'!AA256</f>
        <v>1650</v>
      </c>
      <c r="V157" s="8">
        <f>'Model inputs'!V43*'Model inputs'!AA256</f>
        <v>1725</v>
      </c>
      <c r="W157" s="8">
        <f>'Model inputs'!W43*'Model inputs'!AA256</f>
        <v>1800</v>
      </c>
      <c r="X157" s="8">
        <f>'Model inputs'!X43*'Model inputs'!AA256</f>
        <v>900</v>
      </c>
      <c r="Y157" s="8">
        <f>'Model inputs'!Y43*'Model inputs'!AA256</f>
        <v>900</v>
      </c>
      <c r="Z157" s="8">
        <f>'Model inputs'!Z43*'Model inputs'!AA256</f>
        <v>900</v>
      </c>
    </row>
    <row r="158" outlineLevel="1">
      <c r="A158" t="inlineStr" s="16">
        <is>
          <t xml:space="preserve">Payment fees &gt; Hybrid</t>
        </is>
      </c>
      <c r="C158" s="8">
        <f>0</f>
        <v>0</v>
      </c>
      <c r="D158" s="8">
        <f>0</f>
        <v>0</v>
      </c>
      <c r="E158" s="8">
        <f>0</f>
        <v>0</v>
      </c>
      <c r="F158" s="8">
        <f>0</f>
        <v>0</v>
      </c>
      <c r="G158" s="8">
        <f>0</f>
        <v>0</v>
      </c>
      <c r="H158" s="8">
        <f>0</f>
        <v>0</v>
      </c>
      <c r="I158" s="8">
        <f>0</f>
        <v>0</v>
      </c>
      <c r="J158" s="8">
        <f>0</f>
        <v>0</v>
      </c>
      <c r="K158" s="8">
        <f>0</f>
        <v>0</v>
      </c>
      <c r="L158" s="8">
        <f>'Model inputs'!L44*'Model inputs'!AA256</f>
        <v>375</v>
      </c>
      <c r="M158" s="8">
        <f>'Model inputs'!M44*'Model inputs'!AA256</f>
        <v>525</v>
      </c>
      <c r="N158" s="8">
        <f>'Model inputs'!N44*'Model inputs'!AA256</f>
        <v>675</v>
      </c>
      <c r="O158" s="8">
        <f>'Model inputs'!O44*'Model inputs'!AA256</f>
        <v>825</v>
      </c>
      <c r="P158" s="8">
        <f>'Model inputs'!P44*'Model inputs'!AA256</f>
        <v>975</v>
      </c>
      <c r="Q158" s="8">
        <f>'Model inputs'!Q44*'Model inputs'!AA256</f>
        <v>1125</v>
      </c>
      <c r="R158" s="8">
        <f>'Model inputs'!R44*'Model inputs'!AA256</f>
        <v>1275</v>
      </c>
      <c r="S158" s="8">
        <f>'Model inputs'!S44*'Model inputs'!AA256</f>
        <v>1425</v>
      </c>
      <c r="T158" s="8">
        <f>'Model inputs'!T44*'Model inputs'!AA256</f>
        <v>1575</v>
      </c>
      <c r="U158" s="8">
        <f>'Model inputs'!U44*'Model inputs'!AA256</f>
        <v>1725</v>
      </c>
      <c r="V158" s="8">
        <f>'Model inputs'!V44*'Model inputs'!AA256</f>
        <v>1875</v>
      </c>
      <c r="W158" s="8">
        <f>'Model inputs'!W44*'Model inputs'!AA256</f>
        <v>2025</v>
      </c>
      <c r="X158" s="8">
        <f>'Model inputs'!X44*'Model inputs'!AA256</f>
        <v>1800</v>
      </c>
      <c r="Y158" s="8">
        <f>'Model inputs'!Y44*'Model inputs'!AA256</f>
        <v>1800</v>
      </c>
      <c r="Z158" s="8">
        <f>'Model inputs'!Z44*'Model inputs'!AA256</f>
        <v>1800</v>
      </c>
    </row>
    <row r="159" outlineLevel="1">
      <c r="A159" t="inlineStr" s="16">
        <is>
          <t xml:space="preserve">Payment fees &gt; Per audit — base</t>
        </is>
      </c>
      <c r="C159" s="8">
        <f>0</f>
        <v>0</v>
      </c>
      <c r="D159" s="8">
        <f>0</f>
        <v>0</v>
      </c>
      <c r="E159" s="8">
        <f>0</f>
        <v>0</v>
      </c>
      <c r="F159" s="8">
        <f>0</f>
        <v>0</v>
      </c>
      <c r="G159" s="8">
        <f>0</f>
        <v>0</v>
      </c>
      <c r="H159" s="8">
        <f>0</f>
        <v>0</v>
      </c>
      <c r="I159" s="8">
        <f>0</f>
        <v>0</v>
      </c>
      <c r="J159" s="8">
        <f>0</f>
        <v>0</v>
      </c>
      <c r="K159" s="8">
        <f>0</f>
        <v>0</v>
      </c>
      <c r="L159" s="8">
        <f>'Model inputs'!L45*'Model inputs'!AA256</f>
        <v>225</v>
      </c>
      <c r="M159" s="8">
        <f>'Model inputs'!M45*'Model inputs'!AA256</f>
        <v>450</v>
      </c>
      <c r="N159" s="8">
        <f>'Model inputs'!N45*'Model inputs'!AA256</f>
        <v>675</v>
      </c>
      <c r="O159" s="8">
        <f>'Model inputs'!O45*'Model inputs'!AA256</f>
        <v>900</v>
      </c>
      <c r="P159" s="8">
        <f>'Model inputs'!P45*'Model inputs'!AA256</f>
        <v>1125</v>
      </c>
      <c r="Q159" s="8">
        <f>'Model inputs'!Q45*'Model inputs'!AA256</f>
        <v>1350</v>
      </c>
      <c r="R159" s="8">
        <f>'Model inputs'!R45*'Model inputs'!AA256</f>
        <v>1575</v>
      </c>
      <c r="S159" s="8">
        <f>'Model inputs'!S45*'Model inputs'!AA256</f>
        <v>1800</v>
      </c>
      <c r="T159" s="8">
        <f>'Model inputs'!T45*'Model inputs'!AA256</f>
        <v>2025</v>
      </c>
      <c r="U159" s="8">
        <f>'Model inputs'!U45*'Model inputs'!AA256</f>
        <v>2250</v>
      </c>
      <c r="V159" s="8">
        <f>'Model inputs'!V45*'Model inputs'!AA256</f>
        <v>2475</v>
      </c>
      <c r="W159" s="8">
        <f>'Model inputs'!W45*'Model inputs'!AA256</f>
        <v>2700</v>
      </c>
      <c r="X159" s="8">
        <f>'Model inputs'!X45*'Model inputs'!AA256</f>
        <v>2700</v>
      </c>
      <c r="Y159" s="8">
        <f>'Model inputs'!Y45*'Model inputs'!AA256</f>
        <v>2700</v>
      </c>
      <c r="Z159" s="8">
        <f>'Model inputs'!Z45*'Model inputs'!AA256</f>
        <v>2700</v>
      </c>
    </row>
    <row r="160" outlineLevel="1">
      <c r="A160" t="inlineStr" s="16">
        <is>
          <t xml:space="preserve">Payment fees &gt; Per audit — high</t>
        </is>
      </c>
      <c r="C160" s="8">
        <f>0</f>
        <v>0</v>
      </c>
      <c r="D160" s="8">
        <f>0</f>
        <v>0</v>
      </c>
      <c r="E160" s="8">
        <f>0</f>
        <v>0</v>
      </c>
      <c r="F160" s="8">
        <f>0</f>
        <v>0</v>
      </c>
      <c r="G160" s="8">
        <f>0</f>
        <v>0</v>
      </c>
      <c r="H160" s="8">
        <f>0</f>
        <v>0</v>
      </c>
      <c r="I160" s="8">
        <f>0</f>
        <v>0</v>
      </c>
      <c r="J160" s="8">
        <f>0</f>
        <v>0</v>
      </c>
      <c r="K160" s="8">
        <f>0</f>
        <v>0</v>
      </c>
      <c r="L160" s="8">
        <f>'Model inputs'!L46*'Model inputs'!AA256</f>
        <v>450</v>
      </c>
      <c r="M160" s="8">
        <f>'Model inputs'!M46*'Model inputs'!AA256</f>
        <v>900</v>
      </c>
      <c r="N160" s="8">
        <f>'Model inputs'!N46*'Model inputs'!AA256</f>
        <v>1350</v>
      </c>
      <c r="O160" s="8">
        <f>'Model inputs'!O46*'Model inputs'!AA256</f>
        <v>1800</v>
      </c>
      <c r="P160" s="8">
        <f>'Model inputs'!P46*'Model inputs'!AA256</f>
        <v>2250</v>
      </c>
      <c r="Q160" s="8">
        <f>'Model inputs'!Q46*'Model inputs'!AA256</f>
        <v>2700</v>
      </c>
      <c r="R160" s="8">
        <f>'Model inputs'!R46*'Model inputs'!AA256</f>
        <v>3150</v>
      </c>
      <c r="S160" s="8">
        <f>'Model inputs'!S46*'Model inputs'!AA256</f>
        <v>3600</v>
      </c>
      <c r="T160" s="8">
        <f>'Model inputs'!T46*'Model inputs'!AA256</f>
        <v>4050</v>
      </c>
      <c r="U160" s="8">
        <f>'Model inputs'!U46*'Model inputs'!AA256</f>
        <v>4500</v>
      </c>
      <c r="V160" s="8">
        <f>'Model inputs'!V46*'Model inputs'!AA256</f>
        <v>4950</v>
      </c>
      <c r="W160" s="8">
        <f>'Model inputs'!W46*'Model inputs'!AA256</f>
        <v>5400</v>
      </c>
      <c r="X160" s="8">
        <f>'Model inputs'!X46*'Model inputs'!AA256</f>
        <v>5400</v>
      </c>
      <c r="Y160" s="8">
        <f>'Model inputs'!Y46*'Model inputs'!AA256</f>
        <v>5400</v>
      </c>
      <c r="Z160" s="8">
        <f>'Model inputs'!Z46*'Model inputs'!AA256</f>
        <v>5400</v>
      </c>
    </row>
    <row r="161" outlineLevel="1">
      <c r="A161" t="inlineStr" s="16">
        <is>
          <t xml:space="preserve">Payment fees &gt; Per audit — low</t>
        </is>
      </c>
      <c r="C161" s="8">
        <f>0</f>
        <v>0</v>
      </c>
      <c r="D161" s="8">
        <f>0</f>
        <v>0</v>
      </c>
      <c r="E161" s="8">
        <f>0</f>
        <v>0</v>
      </c>
      <c r="F161" s="8">
        <f>0</f>
        <v>0</v>
      </c>
      <c r="G161" s="8">
        <f>0</f>
        <v>0</v>
      </c>
      <c r="H161" s="8">
        <f>0</f>
        <v>0</v>
      </c>
      <c r="I161" s="8">
        <f>0</f>
        <v>0</v>
      </c>
      <c r="J161" s="8">
        <f>0</f>
        <v>0</v>
      </c>
      <c r="K161" s="8">
        <f>0</f>
        <v>0</v>
      </c>
      <c r="L161" s="8">
        <f>'Model inputs'!L47*'Model inputs'!AA256</f>
        <v>112.5</v>
      </c>
      <c r="M161" s="8">
        <f>'Model inputs'!M47*'Model inputs'!AA256</f>
        <v>225</v>
      </c>
      <c r="N161" s="8">
        <f>'Model inputs'!N47*'Model inputs'!AA256</f>
        <v>337.5</v>
      </c>
      <c r="O161" s="8">
        <f>'Model inputs'!O47*'Model inputs'!AA256</f>
        <v>450</v>
      </c>
      <c r="P161" s="8">
        <f>'Model inputs'!P47*'Model inputs'!AA256</f>
        <v>562.5</v>
      </c>
      <c r="Q161" s="8">
        <f>'Model inputs'!Q47*'Model inputs'!AA256</f>
        <v>675</v>
      </c>
      <c r="R161" s="8">
        <f>'Model inputs'!R47*'Model inputs'!AA256</f>
        <v>787.5</v>
      </c>
      <c r="S161" s="8">
        <f>'Model inputs'!S47*'Model inputs'!AA256</f>
        <v>900</v>
      </c>
      <c r="T161" s="8">
        <f>'Model inputs'!T47*'Model inputs'!AA256</f>
        <v>1012.5</v>
      </c>
      <c r="U161" s="8">
        <f>'Model inputs'!U47*'Model inputs'!AA256</f>
        <v>1125</v>
      </c>
      <c r="V161" s="8">
        <f>'Model inputs'!V47*'Model inputs'!AA256</f>
        <v>1237.5</v>
      </c>
      <c r="W161" s="8">
        <f>'Model inputs'!W47*'Model inputs'!AA256</f>
        <v>1350</v>
      </c>
      <c r="X161" s="8">
        <f>'Model inputs'!X47*'Model inputs'!AA256</f>
        <v>1350</v>
      </c>
      <c r="Y161" s="8">
        <f>'Model inputs'!Y47*'Model inputs'!AA256</f>
        <v>1350</v>
      </c>
      <c r="Z161" s="8">
        <f>'Model inputs'!Z47*'Model inputs'!AA256</f>
        <v>1350</v>
      </c>
    </row>
    <row r="162">
      <c r="A162" t="inlineStr" s="14">
        <is>
          <t xml:space="preserve">Payment fees</t>
        </is>
      </c>
      <c r="C162" s="6">
        <f>SUM('Model inputs'!C163,'Model inputs'!C164,'Model inputs'!C165,'Model inputs'!C166,'Model inputs'!C167)</f>
        <v>0</v>
      </c>
      <c r="D162" s="6">
        <f>SUM('Model inputs'!D163,'Model inputs'!D164,'Model inputs'!D165,'Model inputs'!D166,'Model inputs'!D167)</f>
        <v>0</v>
      </c>
      <c r="E162" s="6">
        <f>SUM('Model inputs'!E163,'Model inputs'!E164,'Model inputs'!E165,'Model inputs'!E166,'Model inputs'!E167)</f>
        <v>0</v>
      </c>
      <c r="F162" s="6">
        <f>SUM('Model inputs'!F163,'Model inputs'!F164,'Model inputs'!F165,'Model inputs'!F166,'Model inputs'!F167)</f>
        <v>0</v>
      </c>
      <c r="G162" s="6">
        <f>SUM('Model inputs'!G163,'Model inputs'!G164,'Model inputs'!G165,'Model inputs'!G166,'Model inputs'!G167)</f>
        <v>0</v>
      </c>
      <c r="H162" s="6">
        <f>SUM('Model inputs'!H163,'Model inputs'!H164,'Model inputs'!H165,'Model inputs'!H166,'Model inputs'!H167)</f>
        <v>0</v>
      </c>
      <c r="I162" s="6">
        <f>SUM('Model inputs'!I163,'Model inputs'!I164,'Model inputs'!I165,'Model inputs'!I166,'Model inputs'!I167)</f>
        <v>0</v>
      </c>
      <c r="J162" s="6">
        <f>SUM('Model inputs'!J163,'Model inputs'!J164,'Model inputs'!J165,'Model inputs'!J166,'Model inputs'!J167)</f>
        <v>0</v>
      </c>
      <c r="K162" s="6">
        <f>SUM('Model inputs'!K163,'Model inputs'!K164,'Model inputs'!K165,'Model inputs'!K166,'Model inputs'!K167)</f>
        <v>0</v>
      </c>
      <c r="L162" t="str" s="6">
        <f>""</f>
        <v/>
      </c>
      <c r="M162" t="str" s="6">
        <f>""</f>
        <v/>
      </c>
      <c r="N162" t="str" s="6">
        <f>""</f>
        <v/>
      </c>
      <c r="O162" t="str" s="6">
        <f>""</f>
        <v/>
      </c>
      <c r="P162" t="str" s="6">
        <f>""</f>
        <v/>
      </c>
      <c r="Q162" t="str" s="6">
        <f>""</f>
        <v/>
      </c>
      <c r="R162" t="str" s="6">
        <f>""</f>
        <v/>
      </c>
      <c r="S162" t="str" s="6">
        <f>""</f>
        <v/>
      </c>
      <c r="T162" t="str" s="6">
        <f>""</f>
        <v/>
      </c>
      <c r="U162" t="str" s="6">
        <f>""</f>
        <v/>
      </c>
      <c r="V162" t="str" s="6">
        <f>""</f>
        <v/>
      </c>
      <c r="W162" t="str" s="6">
        <f>""</f>
        <v/>
      </c>
      <c r="X162" t="str" s="6">
        <f>""</f>
        <v/>
      </c>
      <c r="Y162" t="str" s="6">
        <f>""</f>
        <v/>
      </c>
      <c r="Z162" t="str" s="6">
        <f>""</f>
        <v/>
      </c>
    </row>
    <row r="163" outlineLevel="1">
      <c r="A163" t="inlineStr" s="16">
        <is>
          <t xml:space="preserve">Payment fees &gt; Annual deal-team</t>
        </is>
      </c>
      <c r="C163" s="8">
        <f>0</f>
        <v>0</v>
      </c>
      <c r="D163" s="8">
        <f>0</f>
        <v>0</v>
      </c>
      <c r="E163" s="8">
        <f>0</f>
        <v>0</v>
      </c>
      <c r="F163" s="8">
        <f>0</f>
        <v>0</v>
      </c>
      <c r="G163" s="8">
        <f>0</f>
        <v>0</v>
      </c>
      <c r="H163" s="8">
        <f>0</f>
        <v>0</v>
      </c>
      <c r="I163" s="8">
        <f>0</f>
        <v>0</v>
      </c>
      <c r="J163" s="8">
        <f>0</f>
        <v>0</v>
      </c>
      <c r="K163" s="8">
        <f>0</f>
        <v>0</v>
      </c>
      <c r="L163" s="8">
        <f>'Model inputs'!L49*'Model inputs'!AA257</f>
        <v>0</v>
      </c>
      <c r="M163" s="8">
        <f>'Model inputs'!M49*'Model inputs'!AA257</f>
        <v>0</v>
      </c>
      <c r="N163" s="8">
        <f>'Model inputs'!N49*'Model inputs'!AA257</f>
        <v>1440</v>
      </c>
      <c r="O163" s="8">
        <f>'Model inputs'!O49*'Model inputs'!AA257</f>
        <v>0</v>
      </c>
      <c r="P163" s="8">
        <f>'Model inputs'!P49*'Model inputs'!AA257</f>
        <v>0</v>
      </c>
      <c r="Q163" s="8">
        <f>'Model inputs'!Q49*'Model inputs'!AA257</f>
        <v>0</v>
      </c>
      <c r="R163" s="8">
        <f>'Model inputs'!R49*'Model inputs'!AA257</f>
        <v>0</v>
      </c>
      <c r="S163" s="8">
        <f>'Model inputs'!S49*'Model inputs'!AA257</f>
        <v>0</v>
      </c>
      <c r="T163" s="8">
        <f>'Model inputs'!T49*'Model inputs'!AA257</f>
        <v>0</v>
      </c>
      <c r="U163" s="8">
        <f>'Model inputs'!U49*'Model inputs'!AA257</f>
        <v>0</v>
      </c>
      <c r="V163" s="8">
        <f>'Model inputs'!V49*'Model inputs'!AA257</f>
        <v>0</v>
      </c>
      <c r="W163" s="8">
        <f>'Model inputs'!W49*'Model inputs'!AA257</f>
        <v>0</v>
      </c>
      <c r="X163" s="8">
        <f>'Model inputs'!X49*'Model inputs'!AA257</f>
        <v>0</v>
      </c>
      <c r="Y163" s="8">
        <f>'Model inputs'!Y49*'Model inputs'!AA257</f>
        <v>0</v>
      </c>
      <c r="Z163" s="8">
        <f>'Model inputs'!Z49*'Model inputs'!AA257</f>
        <v>0</v>
      </c>
    </row>
    <row r="164" outlineLevel="1">
      <c r="A164" t="inlineStr" s="16">
        <is>
          <t xml:space="preserve">Payment fees &gt; Hybrid</t>
        </is>
      </c>
      <c r="C164" s="8">
        <f>0</f>
        <v>0</v>
      </c>
      <c r="D164" s="8">
        <f>0</f>
        <v>0</v>
      </c>
      <c r="E164" s="8">
        <f>0</f>
        <v>0</v>
      </c>
      <c r="F164" s="8">
        <f>0</f>
        <v>0</v>
      </c>
      <c r="G164" s="8">
        <f>0</f>
        <v>0</v>
      </c>
      <c r="H164" s="8">
        <f>0</f>
        <v>0</v>
      </c>
      <c r="I164" s="8">
        <f>0</f>
        <v>0</v>
      </c>
      <c r="J164" s="8">
        <f>0</f>
        <v>0</v>
      </c>
      <c r="K164" s="8">
        <f>0</f>
        <v>0</v>
      </c>
      <c r="L164" s="8">
        <f>'Model inputs'!L50*'Model inputs'!AA257</f>
        <v>0</v>
      </c>
      <c r="M164" s="8">
        <f>'Model inputs'!M50*'Model inputs'!AA257</f>
        <v>0</v>
      </c>
      <c r="N164" s="8">
        <f>'Model inputs'!N50*'Model inputs'!AA257</f>
        <v>480</v>
      </c>
      <c r="O164" s="8">
        <f>'Model inputs'!O50*'Model inputs'!AA257</f>
        <v>120</v>
      </c>
      <c r="P164" s="8">
        <f>'Model inputs'!P50*'Model inputs'!AA257</f>
        <v>120</v>
      </c>
      <c r="Q164" s="8">
        <f>'Model inputs'!Q50*'Model inputs'!AA257</f>
        <v>120</v>
      </c>
      <c r="R164" s="8">
        <f>'Model inputs'!R50*'Model inputs'!AA257</f>
        <v>120</v>
      </c>
      <c r="S164" s="8">
        <f>'Model inputs'!S50*'Model inputs'!AA257</f>
        <v>120</v>
      </c>
      <c r="T164" s="8">
        <f>'Model inputs'!T50*'Model inputs'!AA257</f>
        <v>120</v>
      </c>
      <c r="U164" s="8">
        <f>'Model inputs'!U50*'Model inputs'!AA257</f>
        <v>120</v>
      </c>
      <c r="V164" s="8">
        <f>'Model inputs'!V50*'Model inputs'!AA257</f>
        <v>120</v>
      </c>
      <c r="W164" s="8">
        <f>'Model inputs'!W50*'Model inputs'!AA257</f>
        <v>120</v>
      </c>
      <c r="X164" s="8">
        <f>'Model inputs'!X50*'Model inputs'!AA257</f>
        <v>120</v>
      </c>
      <c r="Y164" s="8">
        <f>'Model inputs'!Y50*'Model inputs'!AA257</f>
        <v>120</v>
      </c>
      <c r="Z164" s="8">
        <f>'Model inputs'!Z50*'Model inputs'!AA257</f>
        <v>120</v>
      </c>
    </row>
    <row r="165" outlineLevel="1">
      <c r="A165" t="inlineStr" s="16">
        <is>
          <t xml:space="preserve">Payment fees &gt; Per audit — base</t>
        </is>
      </c>
      <c r="C165" s="8">
        <f>0</f>
        <v>0</v>
      </c>
      <c r="D165" s="8">
        <f>0</f>
        <v>0</v>
      </c>
      <c r="E165" s="8">
        <f>0</f>
        <v>0</v>
      </c>
      <c r="F165" s="8">
        <f>0</f>
        <v>0</v>
      </c>
      <c r="G165" s="8">
        <f>0</f>
        <v>0</v>
      </c>
      <c r="H165" s="8">
        <f>0</f>
        <v>0</v>
      </c>
      <c r="I165" s="8">
        <f>0</f>
        <v>0</v>
      </c>
      <c r="J165" s="8">
        <f>0</f>
        <v>0</v>
      </c>
      <c r="K165" s="8">
        <f>0</f>
        <v>0</v>
      </c>
      <c r="L165" s="8">
        <f>'Model inputs'!L51*'Model inputs'!AA257</f>
        <v>0</v>
      </c>
      <c r="M165" s="8">
        <f>'Model inputs'!M51*'Model inputs'!AA257</f>
        <v>0</v>
      </c>
      <c r="N165" s="8">
        <f>'Model inputs'!N51*'Model inputs'!AA257</f>
        <v>180</v>
      </c>
      <c r="O165" s="8">
        <f>'Model inputs'!O51*'Model inputs'!AA257</f>
        <v>180</v>
      </c>
      <c r="P165" s="8">
        <f>'Model inputs'!P51*'Model inputs'!AA257</f>
        <v>180</v>
      </c>
      <c r="Q165" s="8">
        <f>'Model inputs'!Q51*'Model inputs'!AA257</f>
        <v>180</v>
      </c>
      <c r="R165" s="8">
        <f>'Model inputs'!R51*'Model inputs'!AA257</f>
        <v>180</v>
      </c>
      <c r="S165" s="8">
        <f>'Model inputs'!S51*'Model inputs'!AA257</f>
        <v>180</v>
      </c>
      <c r="T165" s="8">
        <f>'Model inputs'!T51*'Model inputs'!AA257</f>
        <v>180</v>
      </c>
      <c r="U165" s="8">
        <f>'Model inputs'!U51*'Model inputs'!AA257</f>
        <v>180</v>
      </c>
      <c r="V165" s="8">
        <f>'Model inputs'!V51*'Model inputs'!AA257</f>
        <v>180</v>
      </c>
      <c r="W165" s="8">
        <f>'Model inputs'!W51*'Model inputs'!AA257</f>
        <v>180</v>
      </c>
      <c r="X165" s="8">
        <f>'Model inputs'!X51*'Model inputs'!AA257</f>
        <v>180</v>
      </c>
      <c r="Y165" s="8">
        <f>'Model inputs'!Y51*'Model inputs'!AA257</f>
        <v>180</v>
      </c>
      <c r="Z165" s="8">
        <f>'Model inputs'!Z51*'Model inputs'!AA257</f>
        <v>180</v>
      </c>
    </row>
    <row r="166" outlineLevel="1">
      <c r="A166" t="inlineStr" s="16">
        <is>
          <t xml:space="preserve">Payment fees &gt; Per audit — high</t>
        </is>
      </c>
      <c r="C166" s="8">
        <f>0</f>
        <v>0</v>
      </c>
      <c r="D166" s="8">
        <f>0</f>
        <v>0</v>
      </c>
      <c r="E166" s="8">
        <f>0</f>
        <v>0</v>
      </c>
      <c r="F166" s="8">
        <f>0</f>
        <v>0</v>
      </c>
      <c r="G166" s="8">
        <f>0</f>
        <v>0</v>
      </c>
      <c r="H166" s="8">
        <f>0</f>
        <v>0</v>
      </c>
      <c r="I166" s="8">
        <f>0</f>
        <v>0</v>
      </c>
      <c r="J166" s="8">
        <f>0</f>
        <v>0</v>
      </c>
      <c r="K166" s="8">
        <f>0</f>
        <v>0</v>
      </c>
      <c r="L166" s="8">
        <f>'Model inputs'!L52*'Model inputs'!AA257</f>
        <v>0</v>
      </c>
      <c r="M166" s="8">
        <f>'Model inputs'!M52*'Model inputs'!AA257</f>
        <v>0</v>
      </c>
      <c r="N166" s="8">
        <f>'Model inputs'!N52*'Model inputs'!AA257</f>
        <v>360</v>
      </c>
      <c r="O166" s="8">
        <f>'Model inputs'!O52*'Model inputs'!AA257</f>
        <v>360</v>
      </c>
      <c r="P166" s="8">
        <f>'Model inputs'!P52*'Model inputs'!AA257</f>
        <v>360</v>
      </c>
      <c r="Q166" s="8">
        <f>'Model inputs'!Q52*'Model inputs'!AA257</f>
        <v>360</v>
      </c>
      <c r="R166" s="8">
        <f>'Model inputs'!R52*'Model inputs'!AA257</f>
        <v>360</v>
      </c>
      <c r="S166" s="8">
        <f>'Model inputs'!S52*'Model inputs'!AA257</f>
        <v>360</v>
      </c>
      <c r="T166" s="8">
        <f>'Model inputs'!T52*'Model inputs'!AA257</f>
        <v>360</v>
      </c>
      <c r="U166" s="8">
        <f>'Model inputs'!U52*'Model inputs'!AA257</f>
        <v>360</v>
      </c>
      <c r="V166" s="8">
        <f>'Model inputs'!V52*'Model inputs'!AA257</f>
        <v>360</v>
      </c>
      <c r="W166" s="8">
        <f>'Model inputs'!W52*'Model inputs'!AA257</f>
        <v>360</v>
      </c>
      <c r="X166" s="8">
        <f>'Model inputs'!X52*'Model inputs'!AA257</f>
        <v>360</v>
      </c>
      <c r="Y166" s="8">
        <f>'Model inputs'!Y52*'Model inputs'!AA257</f>
        <v>360</v>
      </c>
      <c r="Z166" s="8">
        <f>'Model inputs'!Z52*'Model inputs'!AA257</f>
        <v>360</v>
      </c>
    </row>
    <row r="167" outlineLevel="1">
      <c r="A167" t="inlineStr" s="16">
        <is>
          <t xml:space="preserve">Payment fees &gt; Per audit — low</t>
        </is>
      </c>
      <c r="C167" s="8">
        <f>0</f>
        <v>0</v>
      </c>
      <c r="D167" s="8">
        <f>0</f>
        <v>0</v>
      </c>
      <c r="E167" s="8">
        <f>0</f>
        <v>0</v>
      </c>
      <c r="F167" s="8">
        <f>0</f>
        <v>0</v>
      </c>
      <c r="G167" s="8">
        <f>0</f>
        <v>0</v>
      </c>
      <c r="H167" s="8">
        <f>0</f>
        <v>0</v>
      </c>
      <c r="I167" s="8">
        <f>0</f>
        <v>0</v>
      </c>
      <c r="J167" s="8">
        <f>0</f>
        <v>0</v>
      </c>
      <c r="K167" s="8">
        <f>0</f>
        <v>0</v>
      </c>
      <c r="L167" s="8">
        <f>'Model inputs'!L53*'Model inputs'!AA257</f>
        <v>0</v>
      </c>
      <c r="M167" s="8">
        <f>'Model inputs'!M53*'Model inputs'!AA257</f>
        <v>0</v>
      </c>
      <c r="N167" s="8">
        <f>'Model inputs'!N53*'Model inputs'!AA257</f>
        <v>90</v>
      </c>
      <c r="O167" s="8">
        <f>'Model inputs'!O53*'Model inputs'!AA257</f>
        <v>90</v>
      </c>
      <c r="P167" s="8">
        <f>'Model inputs'!P53*'Model inputs'!AA257</f>
        <v>90</v>
      </c>
      <c r="Q167" s="8">
        <f>'Model inputs'!Q53*'Model inputs'!AA257</f>
        <v>90</v>
      </c>
      <c r="R167" s="8">
        <f>'Model inputs'!R53*'Model inputs'!AA257</f>
        <v>90</v>
      </c>
      <c r="S167" s="8">
        <f>'Model inputs'!S53*'Model inputs'!AA257</f>
        <v>90</v>
      </c>
      <c r="T167" s="8">
        <f>'Model inputs'!T53*'Model inputs'!AA257</f>
        <v>90</v>
      </c>
      <c r="U167" s="8">
        <f>'Model inputs'!U53*'Model inputs'!AA257</f>
        <v>90</v>
      </c>
      <c r="V167" s="8">
        <f>'Model inputs'!V53*'Model inputs'!AA257</f>
        <v>90</v>
      </c>
      <c r="W167" s="8">
        <f>'Model inputs'!W53*'Model inputs'!AA257</f>
        <v>90</v>
      </c>
      <c r="X167" s="8">
        <f>'Model inputs'!X53*'Model inputs'!AA257</f>
        <v>90</v>
      </c>
      <c r="Y167" s="8">
        <f>'Model inputs'!Y53*'Model inputs'!AA257</f>
        <v>90</v>
      </c>
      <c r="Z167" s="8">
        <f>'Model inputs'!Z53*'Model inputs'!AA257</f>
        <v>90</v>
      </c>
    </row>
    <row r="168">
      <c r="A168" t="inlineStr" s="14">
        <is>
          <t xml:space="preserve">Plan Delivery COGS · Forecast delivery cost · Growth · Growth</t>
        </is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f>IF(SUM(IF(IF('Model inputs'!B1079="",0,1)="",0,IF('Model inputs'!B1079="",0,1)),IF(IF('Model inputs'!B1080="",0,1)="",0,IF('Model inputs'!B1080="",0,1)),IF(IF('Model inputs'!B1081="",0,1)="",0,IF('Model inputs'!B1081="",0,1)),IF(IF('Model inputs'!B1082="",0,1)="",0,IF('Model inputs'!B1082="",0,1)),IF(IF('Model inputs'!B1083="",0,1)="",0,IF('Model inputs'!B1083="",0,1)))=0,"",SUM('Model inputs'!B1079,'Model inputs'!B1080,'Model inputs'!B1081,'Model inputs'!B1082,'Model inputs'!B1083))</f>
        <v>473.25</v>
      </c>
      <c r="M168" s="8">
        <f>IF(SUM(IF(IF('Model inputs'!B1084="",0,1)="",0,IF('Model inputs'!B1084="",0,1)),IF(IF('Model inputs'!B1085="",0,1)="",0,IF('Model inputs'!B1085="",0,1)),IF(IF('Model inputs'!B1086="",0,1)="",0,IF('Model inputs'!B1086="",0,1)),IF(IF('Model inputs'!B1087="",0,1)="",0,IF('Model inputs'!B1087="",0,1)),IF(IF('Model inputs'!B1088="",0,1)="",0,IF('Model inputs'!B1088="",0,1)))=0,"",SUM('Model inputs'!B1084,'Model inputs'!B1085,'Model inputs'!B1086,'Model inputs'!B1087,'Model inputs'!B1088))</f>
        <v>946.5</v>
      </c>
      <c r="N168" s="8">
        <f>IF(SUM(IF(IF('Model inputs'!B1089="",0,1)="",0,IF('Model inputs'!B1089="",0,1)),IF(IF('Model inputs'!B1090="",0,1)="",0,IF('Model inputs'!B1090="",0,1)),IF(IF('Model inputs'!B1091="",0,1)="",0,IF('Model inputs'!B1091="",0,1)),IF(IF('Model inputs'!B1092="",0,1)="",0,IF('Model inputs'!B1092="",0,1)),IF(IF('Model inputs'!B1093="",0,1)="",0,IF('Model inputs'!B1093="",0,1)))=0,"",SUM('Model inputs'!B1089,'Model inputs'!B1090,'Model inputs'!B1091,'Model inputs'!B1092,'Model inputs'!B1093))</f>
        <v>1419.75</v>
      </c>
      <c r="O168" s="8">
        <f>IF(SUM(IF(IF('Model inputs'!B1094="",0,1)="",0,IF('Model inputs'!B1094="",0,1)),IF(IF('Model inputs'!B1095="",0,1)="",0,IF('Model inputs'!B1095="",0,1)),IF(IF('Model inputs'!B1096="",0,1)="",0,IF('Model inputs'!B1096="",0,1)),IF(IF('Model inputs'!B1097="",0,1)="",0,IF('Model inputs'!B1097="",0,1)),IF(IF('Model inputs'!B1098="",0,1)="",0,IF('Model inputs'!B1098="",0,1)))=0,"",SUM('Model inputs'!B1094,'Model inputs'!B1095,'Model inputs'!B1096,'Model inputs'!B1097,'Model inputs'!B1098))</f>
        <v>1893</v>
      </c>
      <c r="P168" s="8">
        <f>IF(SUM(IF(IF('Model inputs'!B1099="",0,1)="",0,IF('Model inputs'!B1099="",0,1)),IF(IF('Model inputs'!B1100="",0,1)="",0,IF('Model inputs'!B1100="",0,1)),IF(IF('Model inputs'!B1101="",0,1)="",0,IF('Model inputs'!B1101="",0,1)),IF(IF('Model inputs'!B1102="",0,1)="",0,IF('Model inputs'!B1102="",0,1)),IF(IF('Model inputs'!B1103="",0,1)="",0,IF('Model inputs'!B1103="",0,1)))=0,"",SUM('Model inputs'!B1099,'Model inputs'!B1100,'Model inputs'!B1101,'Model inputs'!B1102,'Model inputs'!B1103))</f>
        <v>2366.25</v>
      </c>
      <c r="Q168" s="8">
        <f>IF(SUM(IF(IF('Model inputs'!B1104="",0,1)="",0,IF('Model inputs'!B1104="",0,1)),IF(IF('Model inputs'!B1105="",0,1)="",0,IF('Model inputs'!B1105="",0,1)),IF(IF('Model inputs'!B1106="",0,1)="",0,IF('Model inputs'!B1106="",0,1)),IF(IF('Model inputs'!B1107="",0,1)="",0,IF('Model inputs'!B1107="",0,1)),IF(IF('Model inputs'!B1108="",0,1)="",0,IF('Model inputs'!B1108="",0,1)))=0,"",SUM('Model inputs'!B1104,'Model inputs'!B1105,'Model inputs'!B1106,'Model inputs'!B1107,'Model inputs'!B1108))</f>
        <v>2839.5</v>
      </c>
      <c r="R168" s="8">
        <f>IF(SUM(IF(IF('Model inputs'!B1109="",0,1)="",0,IF('Model inputs'!B1109="",0,1)),IF(IF('Model inputs'!B1110="",0,1)="",0,IF('Model inputs'!B1110="",0,1)),IF(IF('Model inputs'!B1111="",0,1)="",0,IF('Model inputs'!B1111="",0,1)),IF(IF('Model inputs'!B1112="",0,1)="",0,IF('Model inputs'!B1112="",0,1)),IF(IF('Model inputs'!B1113="",0,1)="",0,IF('Model inputs'!B1113="",0,1)))=0,"",SUM('Model inputs'!B1109,'Model inputs'!B1110,'Model inputs'!B1111,'Model inputs'!B1112,'Model inputs'!B1113))</f>
        <v>3312.75</v>
      </c>
      <c r="S168" s="8">
        <f>IF(SUM(IF(IF('Model inputs'!B1114="",0,1)="",0,IF('Model inputs'!B1114="",0,1)),IF(IF('Model inputs'!B1115="",0,1)="",0,IF('Model inputs'!B1115="",0,1)),IF(IF('Model inputs'!B1116="",0,1)="",0,IF('Model inputs'!B1116="",0,1)),IF(IF('Model inputs'!B1117="",0,1)="",0,IF('Model inputs'!B1117="",0,1)),IF(IF('Model inputs'!B1118="",0,1)="",0,IF('Model inputs'!B1118="",0,1)))=0,"",SUM('Model inputs'!B1114,'Model inputs'!B1115,'Model inputs'!B1116,'Model inputs'!B1117,'Model inputs'!B1118))</f>
        <v>3786</v>
      </c>
      <c r="T168" s="8">
        <f>IF(SUM(IF(IF('Model inputs'!B1119="",0,1)="",0,IF('Model inputs'!B1119="",0,1)),IF(IF('Model inputs'!B1120="",0,1)="",0,IF('Model inputs'!B1120="",0,1)),IF(IF('Model inputs'!B1121="",0,1)="",0,IF('Model inputs'!B1121="",0,1)),IF(IF('Model inputs'!B1122="",0,1)="",0,IF('Model inputs'!B1122="",0,1)),IF(IF('Model inputs'!B1123="",0,1)="",0,IF('Model inputs'!B1123="",0,1)))=0,"",SUM('Model inputs'!B1119,'Model inputs'!B1120,'Model inputs'!B1121,'Model inputs'!B1122,'Model inputs'!B1123))</f>
        <v>4259.25</v>
      </c>
      <c r="U168" s="8">
        <f>IF(SUM(IF(IF('Model inputs'!B1124="",0,1)="",0,IF('Model inputs'!B1124="",0,1)),IF(IF('Model inputs'!B1125="",0,1)="",0,IF('Model inputs'!B1125="",0,1)),IF(IF('Model inputs'!B1126="",0,1)="",0,IF('Model inputs'!B1126="",0,1)),IF(IF('Model inputs'!B1127="",0,1)="",0,IF('Model inputs'!B1127="",0,1)),IF(IF('Model inputs'!B1128="",0,1)="",0,IF('Model inputs'!B1128="",0,1)))=0,"",SUM('Model inputs'!B1124,'Model inputs'!B1125,'Model inputs'!B1126,'Model inputs'!B1127,'Model inputs'!B1128))</f>
        <v>4732.5</v>
      </c>
      <c r="V168" s="8">
        <f>IF(SUM(IF(IF('Model inputs'!B1129="",0,1)="",0,IF('Model inputs'!B1129="",0,1)),IF(IF('Model inputs'!B1130="",0,1)="",0,IF('Model inputs'!B1130="",0,1)),IF(IF('Model inputs'!B1131="",0,1)="",0,IF('Model inputs'!B1131="",0,1)),IF(IF('Model inputs'!B1132="",0,1)="",0,IF('Model inputs'!B1132="",0,1)),IF(IF('Model inputs'!B1133="",0,1)="",0,IF('Model inputs'!B1133="",0,1)))=0,"",SUM('Model inputs'!B1129,'Model inputs'!B1130,'Model inputs'!B1131,'Model inputs'!B1132,'Model inputs'!B1133))</f>
        <v>5205.75</v>
      </c>
      <c r="W168" s="8">
        <f>IF(SUM(IF(IF('Model inputs'!B1134="",0,1)="",0,IF('Model inputs'!B1134="",0,1)),IF(IF('Model inputs'!B1135="",0,1)="",0,IF('Model inputs'!B1135="",0,1)),IF(IF('Model inputs'!B1136="",0,1)="",0,IF('Model inputs'!B1136="",0,1)),IF(IF('Model inputs'!B1137="",0,1)="",0,IF('Model inputs'!B1137="",0,1)),IF(IF('Model inputs'!B1138="",0,1)="",0,IF('Model inputs'!B1138="",0,1)))=0,"",SUM('Model inputs'!B1134,'Model inputs'!B1135,'Model inputs'!B1136,'Model inputs'!B1137,'Model inputs'!B1138))</f>
        <v>5679</v>
      </c>
      <c r="X168" s="8">
        <f>IF(SUM(IF(IF('Model inputs'!B1139="",0,1)="",0,IF('Model inputs'!B1139="",0,1)),IF(IF('Model inputs'!B1140="",0,1)="",0,IF('Model inputs'!B1140="",0,1)),IF(IF('Model inputs'!B1141="",0,1)="",0,IF('Model inputs'!B1141="",0,1)),IF(IF('Model inputs'!B1142="",0,1)="",0,IF('Model inputs'!B1142="",0,1)),IF(IF('Model inputs'!B1143="",0,1)="",0,IF('Model inputs'!B1143="",0,1)))=0,"",SUM('Model inputs'!B1139,'Model inputs'!B1140,'Model inputs'!B1141,'Model inputs'!B1142,'Model inputs'!B1143))</f>
        <v>5679</v>
      </c>
      <c r="Y168" s="8">
        <f>IF(SUM(IF(IF('Model inputs'!B1144="",0,1)="",0,IF('Model inputs'!B1144="",0,1)),IF(IF('Model inputs'!B1145="",0,1)="",0,IF('Model inputs'!B1145="",0,1)),IF(IF('Model inputs'!B1146="",0,1)="",0,IF('Model inputs'!B1146="",0,1)),IF(IF('Model inputs'!B1147="",0,1)="",0,IF('Model inputs'!B1147="",0,1)),IF(IF('Model inputs'!B1148="",0,1)="",0,IF('Model inputs'!B1148="",0,1)))=0,"",SUM('Model inputs'!B1144,'Model inputs'!B1145,'Model inputs'!B1146,'Model inputs'!B1147,'Model inputs'!B1148))</f>
        <v>5679</v>
      </c>
      <c r="Z168" s="8">
        <f>IF(SUM(IF(IF('Model inputs'!B1149="",0,1)="",0,IF('Model inputs'!B1149="",0,1)),IF(IF('Model inputs'!B1150="",0,1)="",0,IF('Model inputs'!B1150="",0,1)),IF(IF('Model inputs'!B1151="",0,1)="",0,IF('Model inputs'!B1151="",0,1)),IF(IF('Model inputs'!B1152="",0,1)="",0,IF('Model inputs'!B1152="",0,1)),IF(IF('Model inputs'!B1153="",0,1)="",0,IF('Model inputs'!B1153="",0,1)))=0,"",SUM('Model inputs'!B1149,'Model inputs'!B1150,'Model inputs'!B1151,'Model inputs'!B1152,'Model inputs'!B1153))</f>
        <v>5679</v>
      </c>
    </row>
    <row r="169">
      <c r="A169" t="inlineStr" s="14">
        <is>
          <t xml:space="preserve">Plan Delivery COGS · Forecast delivery cost · Conservative · Conservative</t>
        </is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f>IF(SUM(IF(IF('Model inputs'!B1154="",0,1)="",0,IF('Model inputs'!B1154="",0,1)),IF(IF('Model inputs'!B1155="",0,1)="",0,IF('Model inputs'!B1155="",0,1)),IF(IF('Model inputs'!B1156="",0,1)="",0,IF('Model inputs'!B1156="",0,1)),IF(IF('Model inputs'!B1157="",0,1)="",0,IF('Model inputs'!B1157="",0,1)),IF(IF('Model inputs'!B1158="",0,1)="",0,IF('Model inputs'!B1158="",0,1)))=0,"",SUM('Model inputs'!B1154,'Model inputs'!B1155,'Model inputs'!B1156,'Model inputs'!B1157,'Model inputs'!B1158))</f>
        <v>0</v>
      </c>
      <c r="M169" s="8">
        <f>IF(SUM(IF(IF('Model inputs'!B1159="",0,1)="",0,IF('Model inputs'!B1159="",0,1)),IF(IF('Model inputs'!B1160="",0,1)="",0,IF('Model inputs'!B1160="",0,1)),IF(IF('Model inputs'!B1161="",0,1)="",0,IF('Model inputs'!B1161="",0,1)),IF(IF('Model inputs'!B1162="",0,1)="",0,IF('Model inputs'!B1162="",0,1)),IF(IF('Model inputs'!B1163="",0,1)="",0,IF('Model inputs'!B1163="",0,1)))=0,"",SUM('Model inputs'!B1159,'Model inputs'!B1160,'Model inputs'!B1161,'Model inputs'!B1162,'Model inputs'!B1163))</f>
        <v>0</v>
      </c>
      <c r="N169" s="8">
        <f>IF(SUM(IF(IF('Model inputs'!B1164="",0,1)="",0,IF('Model inputs'!B1164="",0,1)),IF(IF('Model inputs'!B1165="",0,1)="",0,IF('Model inputs'!B1165="",0,1)),IF(IF('Model inputs'!B1166="",0,1)="",0,IF('Model inputs'!B1166="",0,1)),IF(IF('Model inputs'!B1167="",0,1)="",0,IF('Model inputs'!B1167="",0,1)),IF(IF('Model inputs'!B1168="",0,1)="",0,IF('Model inputs'!B1168="",0,1)))=0,"",SUM('Model inputs'!B1164,'Model inputs'!B1165,'Model inputs'!B1166,'Model inputs'!B1167,'Model inputs'!B1168))</f>
        <v>383.9</v>
      </c>
      <c r="O169" s="8">
        <f>IF(SUM(IF(IF('Model inputs'!B1169="",0,1)="",0,IF('Model inputs'!B1169="",0,1)),IF(IF('Model inputs'!B1170="",0,1)="",0,IF('Model inputs'!B1170="",0,1)),IF(IF('Model inputs'!B1171="",0,1)="",0,IF('Model inputs'!B1171="",0,1)),IF(IF('Model inputs'!B1172="",0,1)="",0,IF('Model inputs'!B1172="",0,1)),IF(IF('Model inputs'!B1173="",0,1)="",0,IF('Model inputs'!B1173="",0,1)))=0,"",SUM('Model inputs'!B1169,'Model inputs'!B1170,'Model inputs'!B1171,'Model inputs'!B1172,'Model inputs'!B1173))</f>
        <v>383.9</v>
      </c>
      <c r="P169" s="8">
        <f>IF(SUM(IF(IF('Model inputs'!B1174="",0,1)="",0,IF('Model inputs'!B1174="",0,1)),IF(IF('Model inputs'!B1175="",0,1)="",0,IF('Model inputs'!B1175="",0,1)),IF(IF('Model inputs'!B1176="",0,1)="",0,IF('Model inputs'!B1176="",0,1)),IF(IF('Model inputs'!B1177="",0,1)="",0,IF('Model inputs'!B1177="",0,1)),IF(IF('Model inputs'!B1178="",0,1)="",0,IF('Model inputs'!B1178="",0,1)))=0,"",SUM('Model inputs'!B1174,'Model inputs'!B1175,'Model inputs'!B1176,'Model inputs'!B1177,'Model inputs'!B1178))</f>
        <v>383.9</v>
      </c>
      <c r="Q169" s="8">
        <f>IF(SUM(IF(IF('Model inputs'!B1179="",0,1)="",0,IF('Model inputs'!B1179="",0,1)),IF(IF('Model inputs'!B1180="",0,1)="",0,IF('Model inputs'!B1180="",0,1)),IF(IF('Model inputs'!B1181="",0,1)="",0,IF('Model inputs'!B1181="",0,1)),IF(IF('Model inputs'!B1182="",0,1)="",0,IF('Model inputs'!B1182="",0,1)),IF(IF('Model inputs'!B1183="",0,1)="",0,IF('Model inputs'!B1183="",0,1)))=0,"",SUM('Model inputs'!B1179,'Model inputs'!B1180,'Model inputs'!B1181,'Model inputs'!B1182,'Model inputs'!B1183))</f>
        <v>383.9</v>
      </c>
      <c r="R169" s="8">
        <f>IF(SUM(IF(IF('Model inputs'!B1184="",0,1)="",0,IF('Model inputs'!B1184="",0,1)),IF(IF('Model inputs'!B1185="",0,1)="",0,IF('Model inputs'!B1185="",0,1)),IF(IF('Model inputs'!B1186="",0,1)="",0,IF('Model inputs'!B1186="",0,1)),IF(IF('Model inputs'!B1187="",0,1)="",0,IF('Model inputs'!B1187="",0,1)),IF(IF('Model inputs'!B1188="",0,1)="",0,IF('Model inputs'!B1188="",0,1)))=0,"",SUM('Model inputs'!B1184,'Model inputs'!B1185,'Model inputs'!B1186,'Model inputs'!B1187,'Model inputs'!B1188))</f>
        <v>383.9</v>
      </c>
      <c r="S169" s="8">
        <f>IF(SUM(IF(IF('Model inputs'!B1189="",0,1)="",0,IF('Model inputs'!B1189="",0,1)),IF(IF('Model inputs'!B1190="",0,1)="",0,IF('Model inputs'!B1190="",0,1)),IF(IF('Model inputs'!B1191="",0,1)="",0,IF('Model inputs'!B1191="",0,1)),IF(IF('Model inputs'!B1192="",0,1)="",0,IF('Model inputs'!B1192="",0,1)),IF(IF('Model inputs'!B1193="",0,1)="",0,IF('Model inputs'!B1193="",0,1)))=0,"",SUM('Model inputs'!B1189,'Model inputs'!B1190,'Model inputs'!B1191,'Model inputs'!B1192,'Model inputs'!B1193))</f>
        <v>383.9</v>
      </c>
      <c r="T169" s="8">
        <f>IF(SUM(IF(IF('Model inputs'!B1194="",0,1)="",0,IF('Model inputs'!B1194="",0,1)),IF(IF('Model inputs'!B1195="",0,1)="",0,IF('Model inputs'!B1195="",0,1)),IF(IF('Model inputs'!B1196="",0,1)="",0,IF('Model inputs'!B1196="",0,1)),IF(IF('Model inputs'!B1197="",0,1)="",0,IF('Model inputs'!B1197="",0,1)),IF(IF('Model inputs'!B1198="",0,1)="",0,IF('Model inputs'!B1198="",0,1)))=0,"",SUM('Model inputs'!B1194,'Model inputs'!B1195,'Model inputs'!B1196,'Model inputs'!B1197,'Model inputs'!B1198))</f>
        <v>383.9</v>
      </c>
      <c r="U169" s="8">
        <f>IF(SUM(IF(IF('Model inputs'!B1199="",0,1)="",0,IF('Model inputs'!B1199="",0,1)),IF(IF('Model inputs'!B1200="",0,1)="",0,IF('Model inputs'!B1200="",0,1)),IF(IF('Model inputs'!B1201="",0,1)="",0,IF('Model inputs'!B1201="",0,1)),IF(IF('Model inputs'!B1202="",0,1)="",0,IF('Model inputs'!B1202="",0,1)),IF(IF('Model inputs'!B1203="",0,1)="",0,IF('Model inputs'!B1203="",0,1)))=0,"",SUM('Model inputs'!B1199,'Model inputs'!B1200,'Model inputs'!B1201,'Model inputs'!B1202,'Model inputs'!B1203))</f>
        <v>383.9</v>
      </c>
      <c r="V169" s="8">
        <f>IF(SUM(IF(IF('Model inputs'!B1204="",0,1)="",0,IF('Model inputs'!B1204="",0,1)),IF(IF('Model inputs'!B1205="",0,1)="",0,IF('Model inputs'!B1205="",0,1)),IF(IF('Model inputs'!B1206="",0,1)="",0,IF('Model inputs'!B1206="",0,1)),IF(IF('Model inputs'!B1207="",0,1)="",0,IF('Model inputs'!B1207="",0,1)),IF(IF('Model inputs'!B1208="",0,1)="",0,IF('Model inputs'!B1208="",0,1)))=0,"",SUM('Model inputs'!B1204,'Model inputs'!B1205,'Model inputs'!B1206,'Model inputs'!B1207,'Model inputs'!B1208))</f>
        <v>383.9</v>
      </c>
      <c r="W169" s="8">
        <f>IF(SUM(IF(IF('Model inputs'!B1209="",0,1)="",0,IF('Model inputs'!B1209="",0,1)),IF(IF('Model inputs'!B1210="",0,1)="",0,IF('Model inputs'!B1210="",0,1)),IF(IF('Model inputs'!B1211="",0,1)="",0,IF('Model inputs'!B1211="",0,1)),IF(IF('Model inputs'!B1212="",0,1)="",0,IF('Model inputs'!B1212="",0,1)),IF(IF('Model inputs'!B1213="",0,1)="",0,IF('Model inputs'!B1213="",0,1)))=0,"",SUM('Model inputs'!B1209,'Model inputs'!B1210,'Model inputs'!B1211,'Model inputs'!B1212,'Model inputs'!B1213))</f>
        <v>383.9</v>
      </c>
      <c r="X169" s="8">
        <f>IF(SUM(IF(IF('Model inputs'!B1214="",0,1)="",0,IF('Model inputs'!B1214="",0,1)),IF(IF('Model inputs'!B1215="",0,1)="",0,IF('Model inputs'!B1215="",0,1)),IF(IF('Model inputs'!B1216="",0,1)="",0,IF('Model inputs'!B1216="",0,1)),IF(IF('Model inputs'!B1217="",0,1)="",0,IF('Model inputs'!B1217="",0,1)),IF(IF('Model inputs'!B1218="",0,1)="",0,IF('Model inputs'!B1218="",0,1)))=0,"",SUM('Model inputs'!B1214,'Model inputs'!B1215,'Model inputs'!B1216,'Model inputs'!B1217,'Model inputs'!B1218))</f>
        <v>383.9</v>
      </c>
      <c r="Y169" s="8">
        <f>IF(SUM(IF(IF('Model inputs'!B1219="",0,1)="",0,IF('Model inputs'!B1219="",0,1)),IF(IF('Model inputs'!B1220="",0,1)="",0,IF('Model inputs'!B1220="",0,1)),IF(IF('Model inputs'!B1221="",0,1)="",0,IF('Model inputs'!B1221="",0,1)),IF(IF('Model inputs'!B1222="",0,1)="",0,IF('Model inputs'!B1222="",0,1)),IF(IF('Model inputs'!B1223="",0,1)="",0,IF('Model inputs'!B1223="",0,1)))=0,"",SUM('Model inputs'!B1219,'Model inputs'!B1220,'Model inputs'!B1221,'Model inputs'!B1222,'Model inputs'!B1223))</f>
        <v>383.9</v>
      </c>
      <c r="Z169" s="8">
        <f>IF(SUM(IF(IF('Model inputs'!B1224="",0,1)="",0,IF('Model inputs'!B1224="",0,1)),IF(IF('Model inputs'!B1225="",0,1)="",0,IF('Model inputs'!B1225="",0,1)),IF(IF('Model inputs'!B1226="",0,1)="",0,IF('Model inputs'!B1226="",0,1)),IF(IF('Model inputs'!B1227="",0,1)="",0,IF('Model inputs'!B1227="",0,1)),IF(IF('Model inputs'!B1228="",0,1)="",0,IF('Model inputs'!B1228="",0,1)))=0,"",SUM('Model inputs'!B1224,'Model inputs'!B1225,'Model inputs'!B1226,'Model inputs'!B1227,'Model inputs'!B1228))</f>
        <v>383.9</v>
      </c>
    </row>
    <row r="170">
      <c r="A170" t="inlineStr" s="14">
        <is>
          <t xml:space="preserve">Price discount · Cash collections · Plan Cash collections · Growth · Growth · Growth</t>
        </is>
      </c>
      <c r="AA170" s="9">
        <f>0</f>
        <v>0</v>
      </c>
    </row>
    <row r="171">
      <c r="A171" t="inlineStr" s="14">
        <is>
          <t xml:space="preserve">Price discount · Cash collections · Plan Cash collections · Conservative · Conservative · Conservative</t>
        </is>
      </c>
      <c r="AA171" s="9">
        <f>0</f>
        <v>0</v>
      </c>
    </row>
    <row r="172">
      <c r="A172" t="inlineStr" s="14">
        <is>
          <t xml:space="preserve">Upfront subscription fee</t>
        </is>
      </c>
      <c r="AA172" s="6">
        <v>0</v>
      </c>
    </row>
    <row r="173" outlineLevel="1">
      <c r="A173" t="inlineStr" s="16">
        <is>
          <t xml:space="preserve">Upfront subscription fee &gt; Annual deal-team</t>
        </is>
      </c>
      <c r="AA173" s="8">
        <f>IF('Model inputs'!AA184="","",'Model inputs'!AA184)</f>
        <v>24000</v>
      </c>
    </row>
    <row r="174" outlineLevel="1">
      <c r="A174" t="inlineStr" s="16">
        <is>
          <t xml:space="preserve">Upfront subscription fee &gt; Hybrid</t>
        </is>
      </c>
      <c r="AA174" s="8">
        <f>IF('Model inputs'!AA228="","",'Model inputs'!AA228)</f>
        <v>6000</v>
      </c>
    </row>
    <row r="175" outlineLevel="1">
      <c r="A175" t="inlineStr" s="16">
        <is>
          <t xml:space="preserve">Upfront subscription fee &gt; Per audit — base</t>
        </is>
      </c>
      <c r="AA175" s="8">
        <f>0</f>
        <v>0</v>
      </c>
    </row>
    <row r="176" outlineLevel="1">
      <c r="A176" t="inlineStr" s="16">
        <is>
          <t xml:space="preserve">Upfront subscription fee &gt; Per audit — high</t>
        </is>
      </c>
      <c r="AA176" s="8">
        <f>0</f>
        <v>0</v>
      </c>
    </row>
    <row r="177" outlineLevel="1">
      <c r="A177" t="inlineStr" s="16">
        <is>
          <t xml:space="preserve">Upfront subscription fee &gt; Per audit — low</t>
        </is>
      </c>
      <c r="AA177" s="8">
        <f>0</f>
        <v>0</v>
      </c>
    </row>
    <row r="178">
      <c r="A178" t="inlineStr" s="14">
        <is>
          <t xml:space="preserve">Upfront subscription fee</t>
        </is>
      </c>
      <c r="AA178" s="6">
        <v>0</v>
      </c>
    </row>
    <row r="179" outlineLevel="1">
      <c r="A179" t="inlineStr" s="16">
        <is>
          <t xml:space="preserve">Upfront subscription fee &gt; Annual deal-team</t>
        </is>
      </c>
      <c r="AA179" s="8">
        <f>IF('Model inputs'!AA185="","",'Model inputs'!AA185)</f>
        <v>24000</v>
      </c>
    </row>
    <row r="180" outlineLevel="1">
      <c r="A180" t="inlineStr" s="16">
        <is>
          <t xml:space="preserve">Upfront subscription fee &gt; Hybrid</t>
        </is>
      </c>
      <c r="AA180" s="8">
        <f>IF('Model inputs'!AA229="","",'Model inputs'!AA229)</f>
        <v>6000</v>
      </c>
    </row>
    <row r="181" outlineLevel="1">
      <c r="A181" t="inlineStr" s="16">
        <is>
          <t xml:space="preserve">Upfront subscription fee &gt; Per audit — base</t>
        </is>
      </c>
      <c r="AA181" s="8">
        <f>0</f>
        <v>0</v>
      </c>
    </row>
    <row r="182" outlineLevel="1">
      <c r="A182" t="inlineStr" s="16">
        <is>
          <t xml:space="preserve">Upfront subscription fee &gt; Per audit — high</t>
        </is>
      </c>
      <c r="AA182" s="8">
        <f>0</f>
        <v>0</v>
      </c>
    </row>
    <row r="183" outlineLevel="1">
      <c r="A183" t="inlineStr" s="16">
        <is>
          <t xml:space="preserve">Upfront subscription fee &gt; Per audit — low</t>
        </is>
      </c>
      <c r="AA183" s="8">
        <f>0</f>
        <v>0</v>
      </c>
    </row>
    <row r="184">
      <c r="A184" t="inlineStr" s="14">
        <is>
          <t xml:space="preserve">Annual fee · Customer monthly earned revenue · Earned revenue · Plan Earned revenue · Growth · Growth · Growth · Growth</t>
        </is>
      </c>
      <c r="AA184" s="8">
        <f>24000</f>
        <v>24000</v>
      </c>
    </row>
    <row r="185">
      <c r="A185" t="inlineStr" s="14">
        <is>
          <t xml:space="preserve">Annual fee · Customer monthly earned revenue · Earned revenue · Plan Earned revenue · Conservative · Conservative · Conservative · Conservative</t>
        </is>
      </c>
      <c r="AA185" s="8">
        <f>24000</f>
        <v>24000</v>
      </c>
    </row>
    <row r="186">
      <c r="A186" t="inlineStr" s="14">
        <is>
          <t xml:space="preserve">Annual utilization · Customer monthly delivered audits · Audits delivered · Plan Audits delivered · Growth · Growth · Growth · Growth</t>
        </is>
      </c>
      <c r="AA186" s="9">
        <f>1</f>
        <v>1</v>
      </c>
    </row>
    <row r="187">
      <c r="A187" t="inlineStr" s="14">
        <is>
          <t xml:space="preserve">Annual utilization · Customer monthly delivered audits · Audits delivered · Plan Audits delivered · Conservative · Conservative · Conservative · Conservative</t>
        </is>
      </c>
      <c r="AA187" s="9">
        <f>1</f>
        <v>1</v>
      </c>
    </row>
    <row r="188">
      <c r="A188" t="inlineStr" s="14">
        <is>
          <t xml:space="preserve">Audit list price</t>
        </is>
      </c>
      <c r="AA188" s="6">
        <v>0</v>
      </c>
    </row>
    <row r="189" outlineLevel="1">
      <c r="A189" t="inlineStr" s="16">
        <is>
          <t xml:space="preserve">Audit list price &gt; Annual deal-team</t>
        </is>
      </c>
      <c r="AA189" s="8">
        <f>0</f>
        <v>0</v>
      </c>
    </row>
    <row r="190" outlineLevel="1">
      <c r="A190" t="inlineStr" s="16">
        <is>
          <t xml:space="preserve">Audit list price &gt; Hybrid</t>
        </is>
      </c>
      <c r="AA190" s="8">
        <f>IF('Model inputs'!AA278="","",'Model inputs'!AA278)</f>
        <v>1000</v>
      </c>
    </row>
    <row r="191" outlineLevel="1">
      <c r="A191" t="inlineStr" s="16">
        <is>
          <t xml:space="preserve">Audit list price &gt; Per audit — base</t>
        </is>
      </c>
      <c r="AA191" s="8">
        <f>1500</f>
        <v>1500</v>
      </c>
    </row>
    <row r="192" outlineLevel="1">
      <c r="A192" t="inlineStr" s="16">
        <is>
          <t xml:space="preserve">Audit list price &gt; Per audit — high</t>
        </is>
      </c>
      <c r="AA192" s="8">
        <f>3000</f>
        <v>3000</v>
      </c>
    </row>
    <row r="193" outlineLevel="1">
      <c r="A193" t="inlineStr" s="16">
        <is>
          <t xml:space="preserve">Audit list price &gt; Per audit — low</t>
        </is>
      </c>
      <c r="AA193" s="8">
        <f>750</f>
        <v>750</v>
      </c>
    </row>
    <row r="194">
      <c r="A194" t="inlineStr" s="14">
        <is>
          <t xml:space="preserve">Audit list price</t>
        </is>
      </c>
      <c r="AA194" s="6">
        <v>0</v>
      </c>
    </row>
    <row r="195" outlineLevel="1">
      <c r="A195" t="inlineStr" s="16">
        <is>
          <t xml:space="preserve">Audit list price &gt; Annual deal-team</t>
        </is>
      </c>
      <c r="AA195" s="8">
        <f>0</f>
        <v>0</v>
      </c>
    </row>
    <row r="196" outlineLevel="1">
      <c r="A196" t="inlineStr" s="16">
        <is>
          <t xml:space="preserve">Audit list price &gt; Hybrid</t>
        </is>
      </c>
      <c r="AA196" s="8">
        <f>IF('Model inputs'!AA279="","",'Model inputs'!AA279)</f>
        <v>1000</v>
      </c>
    </row>
    <row r="197" outlineLevel="1">
      <c r="A197" t="inlineStr" s="16">
        <is>
          <t xml:space="preserve">Audit list price &gt; Per audit — base</t>
        </is>
      </c>
      <c r="AA197" s="8">
        <f>1500</f>
        <v>1500</v>
      </c>
    </row>
    <row r="198" outlineLevel="1">
      <c r="A198" t="inlineStr" s="16">
        <is>
          <t xml:space="preserve">Audit list price &gt; Per audit — high</t>
        </is>
      </c>
      <c r="AA198" s="8">
        <f>3000</f>
        <v>3000</v>
      </c>
    </row>
    <row r="199" outlineLevel="1">
      <c r="A199" t="inlineStr" s="16">
        <is>
          <t xml:space="preserve">Audit list price &gt; Per audit — low</t>
        </is>
      </c>
      <c r="AA199" s="8">
        <f>750</f>
        <v>750</v>
      </c>
    </row>
    <row r="200">
      <c r="A200" t="inlineStr" s="14">
        <is>
          <t xml:space="preserve">Audits per customer per month · Customer monthly delivered audits · Audits delivered · Plan Audits delivered · Growth · Growth · Growth · Growth</t>
        </is>
      </c>
      <c r="AA200" s="9">
        <f>4</f>
        <v>4</v>
      </c>
    </row>
    <row r="201">
      <c r="A201" t="inlineStr" s="14">
        <is>
          <t xml:space="preserve">Audits per customer per month · Customer monthly delivered audits · Audits delivered · Plan Audits delivered · Conservative · Conservative · Conservative · Conservative</t>
        </is>
      </c>
      <c r="AA201" s="9">
        <f>2</f>
        <v>2</v>
      </c>
    </row>
    <row r="202">
      <c r="A202" t="inlineStr" s="14">
        <is>
          <t xml:space="preserve">Compliance monthly · Fixed costs · Plan Net cash burn · Growth · Growth · Growth</t>
        </is>
      </c>
      <c r="AA202" s="8">
        <f>500</f>
        <v>500</v>
      </c>
    </row>
    <row r="203">
      <c r="A203" t="inlineStr" s="14">
        <is>
          <t xml:space="preserve">Compliance monthly · Fixed costs · Plan Net cash burn · Conservative · Conservative · Conservative</t>
        </is>
      </c>
      <c r="AA203" s="8">
        <f>500</f>
        <v>500</v>
      </c>
    </row>
    <row r="204">
      <c r="A204" t="inlineStr" s="14">
        <is>
          <t xml:space="preserve">Compliance start month · Fixed costs · Plan Net cash burn · Growth · Growth · Growth</t>
        </is>
      </c>
      <c r="AA204" s="9">
        <f>6</f>
        <v>6</v>
      </c>
    </row>
    <row r="205">
      <c r="A205" t="inlineStr" s="14">
        <is>
          <t xml:space="preserve">Compliance start month · Fixed costs · Plan Net cash burn · Conservative · Conservative · Conservative</t>
        </is>
      </c>
      <c r="AA205" s="9">
        <f>6</f>
        <v>6</v>
      </c>
    </row>
    <row r="206">
      <c r="A206" t="inlineStr" s="14">
        <is>
          <t xml:space="preserve">Data minimum monthly · Fixed costs · Plan Net cash burn · Growth · Growth · Growth</t>
        </is>
      </c>
      <c r="AA206" s="8">
        <f>0</f>
        <v>0</v>
      </c>
    </row>
    <row r="207">
      <c r="A207" t="inlineStr" s="14">
        <is>
          <t xml:space="preserve">Data minimum monthly · Fixed costs · Plan Net cash burn · Conservative · Conservative · Conservative</t>
        </is>
      </c>
      <c r="AA207" s="8">
        <f>0</f>
        <v>0</v>
      </c>
    </row>
    <row r="208">
      <c r="A208" t="inlineStr" s="14">
        <is>
          <t xml:space="preserve">Delivery cost per audit · Delivery COGS · Plan Net cash burn · Growth · Growth · Growth</t>
        </is>
      </c>
      <c r="AA208" s="8">
        <f>'Model inputs'!AA274+'Model inputs'!AA280+'Model inputs'!AA282+'Model inputs'!AA276</f>
        <v>94.65</v>
      </c>
    </row>
    <row r="209">
      <c r="A209" t="inlineStr" s="14">
        <is>
          <t xml:space="preserve">Delivery cost per audit · Delivery COGS · Plan Net cash burn · Conservative · Conservative · Conservative</t>
        </is>
      </c>
      <c r="AA209" s="8">
        <f>'Model inputs'!AA275+'Model inputs'!AA281+'Model inputs'!AA283+'Model inputs'!AA277</f>
        <v>95.975</v>
      </c>
    </row>
    <row r="210">
      <c r="A210" t="inlineStr" s="14">
        <is>
          <t xml:space="preserve">Forecast months · Paying customer equivalents · Plan Audits delivered · Growth · Growth · Growth</t>
        </is>
      </c>
      <c r="AA210" s="9">
        <f>12</f>
        <v>12</v>
      </c>
    </row>
    <row r="211">
      <c r="A211" t="inlineStr" s="14">
        <is>
          <t xml:space="preserve">Forecast months · Paying customer equivalents · Plan Audits delivered · Conservative · Conservative · Conservative</t>
        </is>
      </c>
      <c r="AA211" s="9">
        <f>12</f>
        <v>12</v>
      </c>
    </row>
    <row r="212">
      <c r="A212" t="inlineStr" s="14">
        <is>
          <t xml:space="preserve">Founder salary monthly · Fixed costs · Plan Net cash burn · Growth · Growth · Growth</t>
        </is>
      </c>
      <c r="AA212" s="8">
        <f>0</f>
        <v>0</v>
      </c>
    </row>
    <row r="213">
      <c r="A213" t="inlineStr" s="14">
        <is>
          <t xml:space="preserve">Founder salary monthly · Fixed costs · Plan Net cash burn · Conservative · Conservative · Conservative</t>
        </is>
      </c>
      <c r="AA213" s="8">
        <f>0</f>
        <v>0</v>
      </c>
    </row>
    <row r="214">
      <c r="A214" t="inlineStr" s="14">
        <is>
          <t xml:space="preserve">Gross profit</t>
        </is>
      </c>
      <c r="C214" s="6">
        <f>SUM('Model inputs'!C215,'Model inputs'!C216,'Model inputs'!C217,'Model inputs'!C218,'Model inputs'!C219)</f>
        <v>0</v>
      </c>
      <c r="D214" s="6">
        <f>SUM('Model inputs'!D215,'Model inputs'!D216,'Model inputs'!D217,'Model inputs'!D218,'Model inputs'!D219)</f>
        <v>0</v>
      </c>
      <c r="E214" s="6">
        <f>SUM('Model inputs'!E215,'Model inputs'!E216,'Model inputs'!E217,'Model inputs'!E218,'Model inputs'!E219)</f>
        <v>0</v>
      </c>
      <c r="F214" s="6">
        <f>SUM('Model inputs'!F215,'Model inputs'!F216,'Model inputs'!F217,'Model inputs'!F218,'Model inputs'!F219)</f>
        <v>0</v>
      </c>
      <c r="G214" s="6">
        <f>SUM('Model inputs'!G215,'Model inputs'!G216,'Model inputs'!G217,'Model inputs'!G218,'Model inputs'!G219)</f>
        <v>0</v>
      </c>
      <c r="H214" s="6">
        <f>SUM('Model inputs'!H215,'Model inputs'!H216,'Model inputs'!H217,'Model inputs'!H218,'Model inputs'!H219)</f>
        <v>0</v>
      </c>
      <c r="I214" s="6">
        <f>SUM('Model inputs'!I215,'Model inputs'!I216,'Model inputs'!I217,'Model inputs'!I218,'Model inputs'!I219)</f>
        <v>0</v>
      </c>
      <c r="J214" s="6">
        <f>SUM('Model inputs'!J215,'Model inputs'!J216,'Model inputs'!J217,'Model inputs'!J218,'Model inputs'!J219)</f>
        <v>0</v>
      </c>
      <c r="K214" s="6">
        <f>SUM('Model inputs'!K215,'Model inputs'!K216,'Model inputs'!K217,'Model inputs'!K218,'Model inputs'!K219)</f>
        <v>0</v>
      </c>
      <c r="L214" t="str" s="6">
        <f>""</f>
        <v/>
      </c>
      <c r="M214" t="str" s="6">
        <f>""</f>
        <v/>
      </c>
      <c r="N214" t="str" s="6">
        <f>""</f>
        <v/>
      </c>
      <c r="O214" t="str" s="6">
        <f>""</f>
        <v/>
      </c>
      <c r="P214" t="str" s="6">
        <f>""</f>
        <v/>
      </c>
      <c r="Q214" t="str" s="6">
        <f>""</f>
        <v/>
      </c>
      <c r="R214" t="str" s="6">
        <f>""</f>
        <v/>
      </c>
      <c r="S214" t="str" s="6">
        <f>""</f>
        <v/>
      </c>
      <c r="T214" t="str" s="6">
        <f>""</f>
        <v/>
      </c>
      <c r="U214" t="str" s="6">
        <f>""</f>
        <v/>
      </c>
      <c r="V214" t="str" s="6">
        <f>""</f>
        <v/>
      </c>
      <c r="W214" t="str" s="6">
        <f>""</f>
        <v/>
      </c>
      <c r="X214" t="str" s="6">
        <f>""</f>
        <v/>
      </c>
      <c r="Y214" t="str" s="6">
        <f>""</f>
        <v/>
      </c>
      <c r="Z214" t="str" s="6">
        <f>""</f>
        <v/>
      </c>
    </row>
    <row r="215" outlineLevel="1">
      <c r="A215" t="inlineStr" s="16">
        <is>
          <t xml:space="preserve">Gross profit &gt; Annual deal-team</t>
        </is>
      </c>
      <c r="C215" s="8">
        <f>0</f>
        <v>0</v>
      </c>
      <c r="D215" s="8">
        <f>0</f>
        <v>0</v>
      </c>
      <c r="E215" s="8">
        <f>0</f>
        <v>0</v>
      </c>
      <c r="F215" s="8">
        <f>0</f>
        <v>0</v>
      </c>
      <c r="G215" s="8">
        <f>0</f>
        <v>0</v>
      </c>
      <c r="H215" s="8">
        <f>0</f>
        <v>0</v>
      </c>
      <c r="I215" s="8">
        <f>0</f>
        <v>0</v>
      </c>
      <c r="J215" s="8">
        <f>0</f>
        <v>0</v>
      </c>
      <c r="K215" s="8">
        <f>0</f>
        <v>0</v>
      </c>
      <c r="L215" s="8">
        <f>'Model inputs'!L57-'Model inputs'!L137</f>
        <v>4526.75</v>
      </c>
      <c r="M215" s="8">
        <f>'Model inputs'!M57-'Model inputs'!M137</f>
        <v>9053.5</v>
      </c>
      <c r="N215" s="8">
        <f>'Model inputs'!N57-'Model inputs'!N137</f>
        <v>13580.25</v>
      </c>
      <c r="O215" s="8">
        <f>'Model inputs'!O57-'Model inputs'!O137</f>
        <v>18107</v>
      </c>
      <c r="P215" s="8">
        <f>'Model inputs'!P57-'Model inputs'!P137</f>
        <v>22633.75</v>
      </c>
      <c r="Q215" s="8">
        <f>'Model inputs'!Q57-'Model inputs'!Q137</f>
        <v>27160.5</v>
      </c>
      <c r="R215" s="8">
        <f>'Model inputs'!R57-'Model inputs'!R137</f>
        <v>31687.25</v>
      </c>
      <c r="S215" s="8">
        <f>'Model inputs'!S57-'Model inputs'!S137</f>
        <v>36214</v>
      </c>
      <c r="T215" s="8">
        <f>'Model inputs'!T57-'Model inputs'!T137</f>
        <v>40740.75</v>
      </c>
      <c r="U215" s="8">
        <f>'Model inputs'!U57-'Model inputs'!U137</f>
        <v>45267.5</v>
      </c>
      <c r="V215" s="8">
        <f>'Model inputs'!V57-'Model inputs'!V137</f>
        <v>49794.25</v>
      </c>
      <c r="W215" s="8">
        <f>'Model inputs'!W57-'Model inputs'!W137</f>
        <v>54321</v>
      </c>
      <c r="X215" s="8">
        <f>'Model inputs'!X57-'Model inputs'!X137</f>
        <v>54321</v>
      </c>
      <c r="Y215" s="8">
        <f>'Model inputs'!Y57-'Model inputs'!Y137</f>
        <v>54321</v>
      </c>
      <c r="Z215" s="8">
        <f>'Model inputs'!Z57-'Model inputs'!Z137</f>
        <v>54321</v>
      </c>
    </row>
    <row r="216" outlineLevel="1">
      <c r="A216" t="inlineStr" s="16">
        <is>
          <t xml:space="preserve">Gross profit &gt; Hybrid</t>
        </is>
      </c>
      <c r="C216" s="8">
        <f>0</f>
        <v>0</v>
      </c>
      <c r="D216" s="8">
        <f>0</f>
        <v>0</v>
      </c>
      <c r="E216" s="8">
        <f>0</f>
        <v>0</v>
      </c>
      <c r="F216" s="8">
        <f>0</f>
        <v>0</v>
      </c>
      <c r="G216" s="8">
        <f>0</f>
        <v>0</v>
      </c>
      <c r="H216" s="8">
        <f>0</f>
        <v>0</v>
      </c>
      <c r="I216" s="8">
        <f>0</f>
        <v>0</v>
      </c>
      <c r="J216" s="8">
        <f>0</f>
        <v>0</v>
      </c>
      <c r="K216" s="8">
        <f>0</f>
        <v>0</v>
      </c>
      <c r="L216" s="8">
        <f>'Model inputs'!L58-'Model inputs'!L138</f>
        <v>5151.75</v>
      </c>
      <c r="M216" s="8">
        <f>'Model inputs'!M58-'Model inputs'!M138</f>
        <v>10303.5</v>
      </c>
      <c r="N216" s="8">
        <f>'Model inputs'!N58-'Model inputs'!N138</f>
        <v>15455.25</v>
      </c>
      <c r="O216" s="8">
        <f>'Model inputs'!O58-'Model inputs'!O138</f>
        <v>20607</v>
      </c>
      <c r="P216" s="8">
        <f>'Model inputs'!P58-'Model inputs'!P138</f>
        <v>25758.75</v>
      </c>
      <c r="Q216" s="8">
        <f>'Model inputs'!Q58-'Model inputs'!Q138</f>
        <v>30910.5</v>
      </c>
      <c r="R216" s="8">
        <f>'Model inputs'!R58-'Model inputs'!R138</f>
        <v>36062.25</v>
      </c>
      <c r="S216" s="8">
        <f>'Model inputs'!S58-'Model inputs'!S138</f>
        <v>41214</v>
      </c>
      <c r="T216" s="8">
        <f>'Model inputs'!T58-'Model inputs'!T138</f>
        <v>46365.75</v>
      </c>
      <c r="U216" s="8">
        <f>'Model inputs'!U58-'Model inputs'!U138</f>
        <v>51517.5</v>
      </c>
      <c r="V216" s="8">
        <f>'Model inputs'!V58-'Model inputs'!V138</f>
        <v>56669.25</v>
      </c>
      <c r="W216" s="8">
        <f>'Model inputs'!W58-'Model inputs'!W138</f>
        <v>61821</v>
      </c>
      <c r="X216" s="8">
        <f>'Model inputs'!X58-'Model inputs'!X138</f>
        <v>61821</v>
      </c>
      <c r="Y216" s="8">
        <f>'Model inputs'!Y58-'Model inputs'!Y138</f>
        <v>61821</v>
      </c>
      <c r="Z216" s="8">
        <f>'Model inputs'!Z58-'Model inputs'!Z138</f>
        <v>61821</v>
      </c>
    </row>
    <row r="217" outlineLevel="1">
      <c r="A217" t="inlineStr" s="16">
        <is>
          <t xml:space="preserve">Gross profit &gt; Per audit — base</t>
        </is>
      </c>
      <c r="C217" s="8">
        <f>0</f>
        <v>0</v>
      </c>
      <c r="D217" s="8">
        <f>0</f>
        <v>0</v>
      </c>
      <c r="E217" s="8">
        <f>0</f>
        <v>0</v>
      </c>
      <c r="F217" s="8">
        <f>0</f>
        <v>0</v>
      </c>
      <c r="G217" s="8">
        <f>0</f>
        <v>0</v>
      </c>
      <c r="H217" s="8">
        <f>0</f>
        <v>0</v>
      </c>
      <c r="I217" s="8">
        <f>0</f>
        <v>0</v>
      </c>
      <c r="J217" s="8">
        <f>0</f>
        <v>0</v>
      </c>
      <c r="K217" s="8">
        <f>0</f>
        <v>0</v>
      </c>
      <c r="L217" s="8">
        <f>'Model inputs'!L59-'Model inputs'!L139</f>
        <v>7026.75</v>
      </c>
      <c r="M217" s="8">
        <f>'Model inputs'!M59-'Model inputs'!M139</f>
        <v>14053.5</v>
      </c>
      <c r="N217" s="8">
        <f>'Model inputs'!N59-'Model inputs'!N139</f>
        <v>21080.25</v>
      </c>
      <c r="O217" s="8">
        <f>'Model inputs'!O59-'Model inputs'!O139</f>
        <v>28107</v>
      </c>
      <c r="P217" s="8">
        <f>'Model inputs'!P59-'Model inputs'!P139</f>
        <v>35133.75</v>
      </c>
      <c r="Q217" s="8">
        <f>'Model inputs'!Q59-'Model inputs'!Q139</f>
        <v>42160.5</v>
      </c>
      <c r="R217" s="8">
        <f>'Model inputs'!R59-'Model inputs'!R139</f>
        <v>49187.25</v>
      </c>
      <c r="S217" s="8">
        <f>'Model inputs'!S59-'Model inputs'!S139</f>
        <v>56214</v>
      </c>
      <c r="T217" s="8">
        <f>'Model inputs'!T59-'Model inputs'!T139</f>
        <v>63240.75</v>
      </c>
      <c r="U217" s="8">
        <f>'Model inputs'!U59-'Model inputs'!U139</f>
        <v>70267.5</v>
      </c>
      <c r="V217" s="8">
        <f>'Model inputs'!V59-'Model inputs'!V139</f>
        <v>77294.25</v>
      </c>
      <c r="W217" s="8">
        <f>'Model inputs'!W59-'Model inputs'!W139</f>
        <v>84321</v>
      </c>
      <c r="X217" s="8">
        <f>'Model inputs'!X59-'Model inputs'!X139</f>
        <v>84321</v>
      </c>
      <c r="Y217" s="8">
        <f>'Model inputs'!Y59-'Model inputs'!Y139</f>
        <v>84321</v>
      </c>
      <c r="Z217" s="8">
        <f>'Model inputs'!Z59-'Model inputs'!Z139</f>
        <v>84321</v>
      </c>
    </row>
    <row r="218" outlineLevel="1">
      <c r="A218" t="inlineStr" s="16">
        <is>
          <t xml:space="preserve">Gross profit &gt; Per audit — high</t>
        </is>
      </c>
      <c r="C218" s="8">
        <f>0</f>
        <v>0</v>
      </c>
      <c r="D218" s="8">
        <f>0</f>
        <v>0</v>
      </c>
      <c r="E218" s="8">
        <f>0</f>
        <v>0</v>
      </c>
      <c r="F218" s="8">
        <f>0</f>
        <v>0</v>
      </c>
      <c r="G218" s="8">
        <f>0</f>
        <v>0</v>
      </c>
      <c r="H218" s="8">
        <f>0</f>
        <v>0</v>
      </c>
      <c r="I218" s="8">
        <f>0</f>
        <v>0</v>
      </c>
      <c r="J218" s="8">
        <f>0</f>
        <v>0</v>
      </c>
      <c r="K218" s="8">
        <f>0</f>
        <v>0</v>
      </c>
      <c r="L218" s="8">
        <f>'Model inputs'!L60-'Model inputs'!L140</f>
        <v>14526.75</v>
      </c>
      <c r="M218" s="8">
        <f>'Model inputs'!M60-'Model inputs'!M140</f>
        <v>29053.5</v>
      </c>
      <c r="N218" s="8">
        <f>'Model inputs'!N60-'Model inputs'!N140</f>
        <v>43580.25</v>
      </c>
      <c r="O218" s="8">
        <f>'Model inputs'!O60-'Model inputs'!O140</f>
        <v>58107</v>
      </c>
      <c r="P218" s="8">
        <f>'Model inputs'!P60-'Model inputs'!P140</f>
        <v>72633.75</v>
      </c>
      <c r="Q218" s="8">
        <f>'Model inputs'!Q60-'Model inputs'!Q140</f>
        <v>87160.5</v>
      </c>
      <c r="R218" s="8">
        <f>'Model inputs'!R60-'Model inputs'!R140</f>
        <v>101687.25</v>
      </c>
      <c r="S218" s="8">
        <f>'Model inputs'!S60-'Model inputs'!S140</f>
        <v>116214</v>
      </c>
      <c r="T218" s="8">
        <f>'Model inputs'!T60-'Model inputs'!T140</f>
        <v>130740.75</v>
      </c>
      <c r="U218" s="8">
        <f>'Model inputs'!U60-'Model inputs'!U140</f>
        <v>145267.5</v>
      </c>
      <c r="V218" s="8">
        <f>'Model inputs'!V60-'Model inputs'!V140</f>
        <v>159794.25</v>
      </c>
      <c r="W218" s="8">
        <f>'Model inputs'!W60-'Model inputs'!W140</f>
        <v>174321</v>
      </c>
      <c r="X218" s="8">
        <f>'Model inputs'!X60-'Model inputs'!X140</f>
        <v>174321</v>
      </c>
      <c r="Y218" s="8">
        <f>'Model inputs'!Y60-'Model inputs'!Y140</f>
        <v>174321</v>
      </c>
      <c r="Z218" s="8">
        <f>'Model inputs'!Z60-'Model inputs'!Z140</f>
        <v>174321</v>
      </c>
    </row>
    <row r="219" outlineLevel="1">
      <c r="A219" t="inlineStr" s="16">
        <is>
          <t xml:space="preserve">Gross profit &gt; Per audit — low</t>
        </is>
      </c>
      <c r="C219" s="8">
        <f>0</f>
        <v>0</v>
      </c>
      <c r="D219" s="8">
        <f>0</f>
        <v>0</v>
      </c>
      <c r="E219" s="8">
        <f>0</f>
        <v>0</v>
      </c>
      <c r="F219" s="8">
        <f>0</f>
        <v>0</v>
      </c>
      <c r="G219" s="8">
        <f>0</f>
        <v>0</v>
      </c>
      <c r="H219" s="8">
        <f>0</f>
        <v>0</v>
      </c>
      <c r="I219" s="8">
        <f>0</f>
        <v>0</v>
      </c>
      <c r="J219" s="8">
        <f>0</f>
        <v>0</v>
      </c>
      <c r="K219" s="8">
        <f>0</f>
        <v>0</v>
      </c>
      <c r="L219" s="8">
        <f>'Model inputs'!L61-'Model inputs'!L141</f>
        <v>3276.75</v>
      </c>
      <c r="M219" s="8">
        <f>'Model inputs'!M61-'Model inputs'!M141</f>
        <v>6553.5</v>
      </c>
      <c r="N219" s="8">
        <f>'Model inputs'!N61-'Model inputs'!N141</f>
        <v>9830.25</v>
      </c>
      <c r="O219" s="8">
        <f>'Model inputs'!O61-'Model inputs'!O141</f>
        <v>13107</v>
      </c>
      <c r="P219" s="8">
        <f>'Model inputs'!P61-'Model inputs'!P141</f>
        <v>16383.75</v>
      </c>
      <c r="Q219" s="8">
        <f>'Model inputs'!Q61-'Model inputs'!Q141</f>
        <v>19660.5</v>
      </c>
      <c r="R219" s="8">
        <f>'Model inputs'!R61-'Model inputs'!R141</f>
        <v>22937.25</v>
      </c>
      <c r="S219" s="8">
        <f>'Model inputs'!S61-'Model inputs'!S141</f>
        <v>26214</v>
      </c>
      <c r="T219" s="8">
        <f>'Model inputs'!T61-'Model inputs'!T141</f>
        <v>29490.75</v>
      </c>
      <c r="U219" s="8">
        <f>'Model inputs'!U61-'Model inputs'!U141</f>
        <v>32767.5</v>
      </c>
      <c r="V219" s="8">
        <f>'Model inputs'!V61-'Model inputs'!V141</f>
        <v>36044.25</v>
      </c>
      <c r="W219" s="8">
        <f>'Model inputs'!W61-'Model inputs'!W141</f>
        <v>39321</v>
      </c>
      <c r="X219" s="8">
        <f>'Model inputs'!X61-'Model inputs'!X141</f>
        <v>39321</v>
      </c>
      <c r="Y219" s="8">
        <f>'Model inputs'!Y61-'Model inputs'!Y141</f>
        <v>39321</v>
      </c>
      <c r="Z219" s="8">
        <f>'Model inputs'!Z61-'Model inputs'!Z141</f>
        <v>39321</v>
      </c>
    </row>
    <row r="220">
      <c r="A220" t="inlineStr" s="14">
        <is>
          <t xml:space="preserve">Gross profit</t>
        </is>
      </c>
      <c r="C220" s="6">
        <f>SUM('Model inputs'!C221,'Model inputs'!C222,'Model inputs'!C223,'Model inputs'!C224,'Model inputs'!C225)</f>
        <v>0</v>
      </c>
      <c r="D220" s="6">
        <f>SUM('Model inputs'!D221,'Model inputs'!D222,'Model inputs'!D223,'Model inputs'!D224,'Model inputs'!D225)</f>
        <v>0</v>
      </c>
      <c r="E220" s="6">
        <f>SUM('Model inputs'!E221,'Model inputs'!E222,'Model inputs'!E223,'Model inputs'!E224,'Model inputs'!E225)</f>
        <v>0</v>
      </c>
      <c r="F220" s="6">
        <f>SUM('Model inputs'!F221,'Model inputs'!F222,'Model inputs'!F223,'Model inputs'!F224,'Model inputs'!F225)</f>
        <v>0</v>
      </c>
      <c r="G220" s="6">
        <f>SUM('Model inputs'!G221,'Model inputs'!G222,'Model inputs'!G223,'Model inputs'!G224,'Model inputs'!G225)</f>
        <v>0</v>
      </c>
      <c r="H220" s="6">
        <f>SUM('Model inputs'!H221,'Model inputs'!H222,'Model inputs'!H223,'Model inputs'!H224,'Model inputs'!H225)</f>
        <v>0</v>
      </c>
      <c r="I220" s="6">
        <f>SUM('Model inputs'!I221,'Model inputs'!I222,'Model inputs'!I223,'Model inputs'!I224,'Model inputs'!I225)</f>
        <v>0</v>
      </c>
      <c r="J220" s="6">
        <f>SUM('Model inputs'!J221,'Model inputs'!J222,'Model inputs'!J223,'Model inputs'!J224,'Model inputs'!J225)</f>
        <v>0</v>
      </c>
      <c r="K220" s="6">
        <f>SUM('Model inputs'!K221,'Model inputs'!K222,'Model inputs'!K223,'Model inputs'!K224,'Model inputs'!K225)</f>
        <v>0</v>
      </c>
      <c r="L220" t="str" s="6">
        <f>""</f>
        <v/>
      </c>
      <c r="M220" t="str" s="6">
        <f>""</f>
        <v/>
      </c>
      <c r="N220" t="str" s="6">
        <f>""</f>
        <v/>
      </c>
      <c r="O220" t="str" s="6">
        <f>""</f>
        <v/>
      </c>
      <c r="P220" t="str" s="6">
        <f>""</f>
        <v/>
      </c>
      <c r="Q220" t="str" s="6">
        <f>""</f>
        <v/>
      </c>
      <c r="R220" t="str" s="6">
        <f>""</f>
        <v/>
      </c>
      <c r="S220" t="str" s="6">
        <f>""</f>
        <v/>
      </c>
      <c r="T220" t="str" s="6">
        <f>""</f>
        <v/>
      </c>
      <c r="U220" t="str" s="6">
        <f>""</f>
        <v/>
      </c>
      <c r="V220" t="str" s="6">
        <f>""</f>
        <v/>
      </c>
      <c r="W220" t="str" s="6">
        <f>""</f>
        <v/>
      </c>
      <c r="X220" t="str" s="6">
        <f>""</f>
        <v/>
      </c>
      <c r="Y220" t="str" s="6">
        <f>""</f>
        <v/>
      </c>
      <c r="Z220" t="str" s="6">
        <f>""</f>
        <v/>
      </c>
    </row>
    <row r="221" outlineLevel="1">
      <c r="A221" t="inlineStr" s="16">
        <is>
          <t xml:space="preserve">Gross profit &gt; Annual deal-team</t>
        </is>
      </c>
      <c r="C221" s="8">
        <f>0</f>
        <v>0</v>
      </c>
      <c r="D221" s="8">
        <f>0</f>
        <v>0</v>
      </c>
      <c r="E221" s="8">
        <f>0</f>
        <v>0</v>
      </c>
      <c r="F221" s="8">
        <f>0</f>
        <v>0</v>
      </c>
      <c r="G221" s="8">
        <f>0</f>
        <v>0</v>
      </c>
      <c r="H221" s="8">
        <f>0</f>
        <v>0</v>
      </c>
      <c r="I221" s="8">
        <f>0</f>
        <v>0</v>
      </c>
      <c r="J221" s="8">
        <f>0</f>
        <v>0</v>
      </c>
      <c r="K221" s="8">
        <f>0</f>
        <v>0</v>
      </c>
      <c r="L221" s="8">
        <f>'Model inputs'!L63-'Model inputs'!L143</f>
        <v>0</v>
      </c>
      <c r="M221" s="8">
        <f>'Model inputs'!M63-'Model inputs'!M143</f>
        <v>0</v>
      </c>
      <c r="N221" s="8">
        <f>'Model inputs'!N63-'Model inputs'!N143</f>
        <v>3616.1</v>
      </c>
      <c r="O221" s="8">
        <f>'Model inputs'!O63-'Model inputs'!O143</f>
        <v>3616.1</v>
      </c>
      <c r="P221" s="8">
        <f>'Model inputs'!P63-'Model inputs'!P143</f>
        <v>3616.1</v>
      </c>
      <c r="Q221" s="8">
        <f>'Model inputs'!Q63-'Model inputs'!Q143</f>
        <v>3616.1</v>
      </c>
      <c r="R221" s="8">
        <f>'Model inputs'!R63-'Model inputs'!R143</f>
        <v>3616.1</v>
      </c>
      <c r="S221" s="8">
        <f>'Model inputs'!S63-'Model inputs'!S143</f>
        <v>3616.1</v>
      </c>
      <c r="T221" s="8">
        <f>'Model inputs'!T63-'Model inputs'!T143</f>
        <v>3616.1</v>
      </c>
      <c r="U221" s="8">
        <f>'Model inputs'!U63-'Model inputs'!U143</f>
        <v>3616.1</v>
      </c>
      <c r="V221" s="8">
        <f>'Model inputs'!V63-'Model inputs'!V143</f>
        <v>3616.1</v>
      </c>
      <c r="W221" s="8">
        <f>'Model inputs'!W63-'Model inputs'!W143</f>
        <v>3616.1</v>
      </c>
      <c r="X221" s="8">
        <f>'Model inputs'!X63-'Model inputs'!X143</f>
        <v>3616.1</v>
      </c>
      <c r="Y221" s="8">
        <f>'Model inputs'!Y63-'Model inputs'!Y143</f>
        <v>3616.1</v>
      </c>
      <c r="Z221" s="8">
        <f>'Model inputs'!Z63-'Model inputs'!Z143</f>
        <v>3616.1</v>
      </c>
    </row>
    <row r="222" outlineLevel="1">
      <c r="A222" t="inlineStr" s="16">
        <is>
          <t xml:space="preserve">Gross profit &gt; Hybrid</t>
        </is>
      </c>
      <c r="C222" s="8">
        <f>0</f>
        <v>0</v>
      </c>
      <c r="D222" s="8">
        <f>0</f>
        <v>0</v>
      </c>
      <c r="E222" s="8">
        <f>0</f>
        <v>0</v>
      </c>
      <c r="F222" s="8">
        <f>0</f>
        <v>0</v>
      </c>
      <c r="G222" s="8">
        <f>0</f>
        <v>0</v>
      </c>
      <c r="H222" s="8">
        <f>0</f>
        <v>0</v>
      </c>
      <c r="I222" s="8">
        <f>0</f>
        <v>0</v>
      </c>
      <c r="J222" s="8">
        <f>0</f>
        <v>0</v>
      </c>
      <c r="K222" s="8">
        <f>0</f>
        <v>0</v>
      </c>
      <c r="L222" s="8">
        <f>'Model inputs'!L64-'Model inputs'!L144</f>
        <v>0</v>
      </c>
      <c r="M222" s="8">
        <f>'Model inputs'!M64-'Model inputs'!M144</f>
        <v>0</v>
      </c>
      <c r="N222" s="8">
        <f>'Model inputs'!N64-'Model inputs'!N144</f>
        <v>4616.1</v>
      </c>
      <c r="O222" s="8">
        <f>'Model inputs'!O64-'Model inputs'!O144</f>
        <v>4616.1</v>
      </c>
      <c r="P222" s="8">
        <f>'Model inputs'!P64-'Model inputs'!P144</f>
        <v>4616.1</v>
      </c>
      <c r="Q222" s="8">
        <f>'Model inputs'!Q64-'Model inputs'!Q144</f>
        <v>4616.1</v>
      </c>
      <c r="R222" s="8">
        <f>'Model inputs'!R64-'Model inputs'!R144</f>
        <v>4616.1</v>
      </c>
      <c r="S222" s="8">
        <f>'Model inputs'!S64-'Model inputs'!S144</f>
        <v>4616.1</v>
      </c>
      <c r="T222" s="8">
        <f>'Model inputs'!T64-'Model inputs'!T144</f>
        <v>4616.1</v>
      </c>
      <c r="U222" s="8">
        <f>'Model inputs'!U64-'Model inputs'!U144</f>
        <v>4616.1</v>
      </c>
      <c r="V222" s="8">
        <f>'Model inputs'!V64-'Model inputs'!V144</f>
        <v>4616.1</v>
      </c>
      <c r="W222" s="8">
        <f>'Model inputs'!W64-'Model inputs'!W144</f>
        <v>4616.1</v>
      </c>
      <c r="X222" s="8">
        <f>'Model inputs'!X64-'Model inputs'!X144</f>
        <v>4616.1</v>
      </c>
      <c r="Y222" s="8">
        <f>'Model inputs'!Y64-'Model inputs'!Y144</f>
        <v>4616.1</v>
      </c>
      <c r="Z222" s="8">
        <f>'Model inputs'!Z64-'Model inputs'!Z144</f>
        <v>4616.1</v>
      </c>
    </row>
    <row r="223" outlineLevel="1">
      <c r="A223" t="inlineStr" s="16">
        <is>
          <t xml:space="preserve">Gross profit &gt; Per audit — base</t>
        </is>
      </c>
      <c r="C223" s="8">
        <f>0</f>
        <v>0</v>
      </c>
      <c r="D223" s="8">
        <f>0</f>
        <v>0</v>
      </c>
      <c r="E223" s="8">
        <f>0</f>
        <v>0</v>
      </c>
      <c r="F223" s="8">
        <f>0</f>
        <v>0</v>
      </c>
      <c r="G223" s="8">
        <f>0</f>
        <v>0</v>
      </c>
      <c r="H223" s="8">
        <f>0</f>
        <v>0</v>
      </c>
      <c r="I223" s="8">
        <f>0</f>
        <v>0</v>
      </c>
      <c r="J223" s="8">
        <f>0</f>
        <v>0</v>
      </c>
      <c r="K223" s="8">
        <f>0</f>
        <v>0</v>
      </c>
      <c r="L223" s="8">
        <f>'Model inputs'!L65-'Model inputs'!L145</f>
        <v>0</v>
      </c>
      <c r="M223" s="8">
        <f>'Model inputs'!M65-'Model inputs'!M145</f>
        <v>0</v>
      </c>
      <c r="N223" s="8">
        <f>'Model inputs'!N65-'Model inputs'!N145</f>
        <v>5616.1</v>
      </c>
      <c r="O223" s="8">
        <f>'Model inputs'!O65-'Model inputs'!O145</f>
        <v>5616.1</v>
      </c>
      <c r="P223" s="8">
        <f>'Model inputs'!P65-'Model inputs'!P145</f>
        <v>5616.1</v>
      </c>
      <c r="Q223" s="8">
        <f>'Model inputs'!Q65-'Model inputs'!Q145</f>
        <v>5616.1</v>
      </c>
      <c r="R223" s="8">
        <f>'Model inputs'!R65-'Model inputs'!R145</f>
        <v>5616.1</v>
      </c>
      <c r="S223" s="8">
        <f>'Model inputs'!S65-'Model inputs'!S145</f>
        <v>5616.1</v>
      </c>
      <c r="T223" s="8">
        <f>'Model inputs'!T65-'Model inputs'!T145</f>
        <v>5616.1</v>
      </c>
      <c r="U223" s="8">
        <f>'Model inputs'!U65-'Model inputs'!U145</f>
        <v>5616.1</v>
      </c>
      <c r="V223" s="8">
        <f>'Model inputs'!V65-'Model inputs'!V145</f>
        <v>5616.1</v>
      </c>
      <c r="W223" s="8">
        <f>'Model inputs'!W65-'Model inputs'!W145</f>
        <v>5616.1</v>
      </c>
      <c r="X223" s="8">
        <f>'Model inputs'!X65-'Model inputs'!X145</f>
        <v>5616.1</v>
      </c>
      <c r="Y223" s="8">
        <f>'Model inputs'!Y65-'Model inputs'!Y145</f>
        <v>5616.1</v>
      </c>
      <c r="Z223" s="8">
        <f>'Model inputs'!Z65-'Model inputs'!Z145</f>
        <v>5616.1</v>
      </c>
    </row>
    <row r="224" outlineLevel="1">
      <c r="A224" t="inlineStr" s="16">
        <is>
          <t xml:space="preserve">Gross profit &gt; Per audit — high</t>
        </is>
      </c>
      <c r="C224" s="8">
        <f>0</f>
        <v>0</v>
      </c>
      <c r="D224" s="8">
        <f>0</f>
        <v>0</v>
      </c>
      <c r="E224" s="8">
        <f>0</f>
        <v>0</v>
      </c>
      <c r="F224" s="8">
        <f>0</f>
        <v>0</v>
      </c>
      <c r="G224" s="8">
        <f>0</f>
        <v>0</v>
      </c>
      <c r="H224" s="8">
        <f>0</f>
        <v>0</v>
      </c>
      <c r="I224" s="8">
        <f>0</f>
        <v>0</v>
      </c>
      <c r="J224" s="8">
        <f>0</f>
        <v>0</v>
      </c>
      <c r="K224" s="8">
        <f>0</f>
        <v>0</v>
      </c>
      <c r="L224" s="8">
        <f>'Model inputs'!L66-'Model inputs'!L146</f>
        <v>0</v>
      </c>
      <c r="M224" s="8">
        <f>'Model inputs'!M66-'Model inputs'!M146</f>
        <v>0</v>
      </c>
      <c r="N224" s="8">
        <f>'Model inputs'!N66-'Model inputs'!N146</f>
        <v>11616.1</v>
      </c>
      <c r="O224" s="8">
        <f>'Model inputs'!O66-'Model inputs'!O146</f>
        <v>11616.1</v>
      </c>
      <c r="P224" s="8">
        <f>'Model inputs'!P66-'Model inputs'!P146</f>
        <v>11616.1</v>
      </c>
      <c r="Q224" s="8">
        <f>'Model inputs'!Q66-'Model inputs'!Q146</f>
        <v>11616.1</v>
      </c>
      <c r="R224" s="8">
        <f>'Model inputs'!R66-'Model inputs'!R146</f>
        <v>11616.1</v>
      </c>
      <c r="S224" s="8">
        <f>'Model inputs'!S66-'Model inputs'!S146</f>
        <v>11616.1</v>
      </c>
      <c r="T224" s="8">
        <f>'Model inputs'!T66-'Model inputs'!T146</f>
        <v>11616.1</v>
      </c>
      <c r="U224" s="8">
        <f>'Model inputs'!U66-'Model inputs'!U146</f>
        <v>11616.1</v>
      </c>
      <c r="V224" s="8">
        <f>'Model inputs'!V66-'Model inputs'!V146</f>
        <v>11616.1</v>
      </c>
      <c r="W224" s="8">
        <f>'Model inputs'!W66-'Model inputs'!W146</f>
        <v>11616.1</v>
      </c>
      <c r="X224" s="8">
        <f>'Model inputs'!X66-'Model inputs'!X146</f>
        <v>11616.1</v>
      </c>
      <c r="Y224" s="8">
        <f>'Model inputs'!Y66-'Model inputs'!Y146</f>
        <v>11616.1</v>
      </c>
      <c r="Z224" s="8">
        <f>'Model inputs'!Z66-'Model inputs'!Z146</f>
        <v>11616.1</v>
      </c>
    </row>
    <row r="225" outlineLevel="1">
      <c r="A225" t="inlineStr" s="16">
        <is>
          <t xml:space="preserve">Gross profit &gt; Per audit — low</t>
        </is>
      </c>
      <c r="C225" s="8">
        <f>0</f>
        <v>0</v>
      </c>
      <c r="D225" s="8">
        <f>0</f>
        <v>0</v>
      </c>
      <c r="E225" s="8">
        <f>0</f>
        <v>0</v>
      </c>
      <c r="F225" s="8">
        <f>0</f>
        <v>0</v>
      </c>
      <c r="G225" s="8">
        <f>0</f>
        <v>0</v>
      </c>
      <c r="H225" s="8">
        <f>0</f>
        <v>0</v>
      </c>
      <c r="I225" s="8">
        <f>0</f>
        <v>0</v>
      </c>
      <c r="J225" s="8">
        <f>0</f>
        <v>0</v>
      </c>
      <c r="K225" s="8">
        <f>0</f>
        <v>0</v>
      </c>
      <c r="L225" s="8">
        <f>'Model inputs'!L67-'Model inputs'!L147</f>
        <v>0</v>
      </c>
      <c r="M225" s="8">
        <f>'Model inputs'!M67-'Model inputs'!M147</f>
        <v>0</v>
      </c>
      <c r="N225" s="8">
        <f>'Model inputs'!N67-'Model inputs'!N147</f>
        <v>2616.1</v>
      </c>
      <c r="O225" s="8">
        <f>'Model inputs'!O67-'Model inputs'!O147</f>
        <v>2616.1</v>
      </c>
      <c r="P225" s="8">
        <f>'Model inputs'!P67-'Model inputs'!P147</f>
        <v>2616.1</v>
      </c>
      <c r="Q225" s="8">
        <f>'Model inputs'!Q67-'Model inputs'!Q147</f>
        <v>2616.1</v>
      </c>
      <c r="R225" s="8">
        <f>'Model inputs'!R67-'Model inputs'!R147</f>
        <v>2616.1</v>
      </c>
      <c r="S225" s="8">
        <f>'Model inputs'!S67-'Model inputs'!S147</f>
        <v>2616.1</v>
      </c>
      <c r="T225" s="8">
        <f>'Model inputs'!T67-'Model inputs'!T147</f>
        <v>2616.1</v>
      </c>
      <c r="U225" s="8">
        <f>'Model inputs'!U67-'Model inputs'!U147</f>
        <v>2616.1</v>
      </c>
      <c r="V225" s="8">
        <f>'Model inputs'!V67-'Model inputs'!V147</f>
        <v>2616.1</v>
      </c>
      <c r="W225" s="8">
        <f>'Model inputs'!W67-'Model inputs'!W147</f>
        <v>2616.1</v>
      </c>
      <c r="X225" s="8">
        <f>'Model inputs'!X67-'Model inputs'!X147</f>
        <v>2616.1</v>
      </c>
      <c r="Y225" s="8">
        <f>'Model inputs'!Y67-'Model inputs'!Y147</f>
        <v>2616.1</v>
      </c>
      <c r="Z225" s="8">
        <f>'Model inputs'!Z67-'Model inputs'!Z147</f>
        <v>2616.1</v>
      </c>
    </row>
    <row r="226">
      <c r="A226" t="inlineStr" s="14">
        <is>
          <t xml:space="preserve">Hosting monthly · Fixed costs · Plan Net cash burn · Growth · Growth · Growth</t>
        </is>
      </c>
      <c r="AA226" s="8">
        <f>150</f>
        <v>150</v>
      </c>
    </row>
    <row r="227">
      <c r="A227" t="inlineStr" s="14">
        <is>
          <t xml:space="preserve">Hosting monthly · Fixed costs · Plan Net cash burn · Conservative · Conservative · Conservative</t>
        </is>
      </c>
      <c r="AA227" s="8">
        <f>150</f>
        <v>150</v>
      </c>
    </row>
    <row r="228">
      <c r="A228" t="inlineStr" s="14">
        <is>
          <t xml:space="preserve">Hybrid workspace fee · Customer monthly earned revenue · Earned revenue · Plan Earned revenue · Growth · Growth · Growth · Growth</t>
        </is>
      </c>
      <c r="AA228" s="8">
        <f>6000</f>
        <v>6000</v>
      </c>
    </row>
    <row r="229">
      <c r="A229" t="inlineStr" s="14">
        <is>
          <t xml:space="preserve">Hybrid workspace fee · Customer monthly earned revenue · Earned revenue · Plan Earned revenue · Conservative · Conservative · Conservative · Conservative</t>
        </is>
      </c>
      <c r="AA229" s="8">
        <f>6000</f>
        <v>6000</v>
      </c>
    </row>
    <row r="230">
      <c r="A230" t="inlineStr" s="14">
        <is>
          <t xml:space="preserve">Included annual audits</t>
        </is>
      </c>
      <c r="AA230" s="11">
        <v>0</v>
      </c>
    </row>
    <row r="231" outlineLevel="1">
      <c r="A231" t="inlineStr" s="16">
        <is>
          <t xml:space="preserve">Included annual audits &gt; Annual deal-team</t>
        </is>
      </c>
      <c r="AA231" s="9">
        <f>IF('Model inputs'!AA270="","",'Model inputs'!AA270)</f>
        <v>24</v>
      </c>
    </row>
    <row r="232" outlineLevel="1">
      <c r="A232" t="inlineStr" s="16">
        <is>
          <t xml:space="preserve">Included annual audits &gt; Hybrid</t>
        </is>
      </c>
      <c r="AA232" s="9">
        <f>0</f>
        <v>0</v>
      </c>
    </row>
    <row r="233" outlineLevel="1">
      <c r="A233" t="inlineStr" s="16">
        <is>
          <t xml:space="preserve">Included annual audits &gt; Per audit — base</t>
        </is>
      </c>
      <c r="AA233" s="9">
        <f>0</f>
        <v>0</v>
      </c>
    </row>
    <row r="234" outlineLevel="1">
      <c r="A234" t="inlineStr" s="16">
        <is>
          <t xml:space="preserve">Included annual audits &gt; Per audit — high</t>
        </is>
      </c>
      <c r="AA234" s="9">
        <f>0</f>
        <v>0</v>
      </c>
    </row>
    <row r="235" outlineLevel="1">
      <c r="A235" t="inlineStr" s="16">
        <is>
          <t xml:space="preserve">Included annual audits &gt; Per audit — low</t>
        </is>
      </c>
      <c r="AA235" s="9">
        <f>0</f>
        <v>0</v>
      </c>
    </row>
    <row r="236">
      <c r="A236" t="inlineStr" s="14">
        <is>
          <t xml:space="preserve">Included annual audits</t>
        </is>
      </c>
      <c r="AA236" s="11">
        <v>0</v>
      </c>
    </row>
    <row r="237" outlineLevel="1">
      <c r="A237" t="inlineStr" s="16">
        <is>
          <t xml:space="preserve">Included annual audits &gt; Annual deal-team</t>
        </is>
      </c>
      <c r="AA237" s="9">
        <f>IF('Model inputs'!AA271="","",'Model inputs'!AA271)</f>
        <v>24</v>
      </c>
    </row>
    <row r="238" outlineLevel="1">
      <c r="A238" t="inlineStr" s="16">
        <is>
          <t xml:space="preserve">Included annual audits &gt; Hybrid</t>
        </is>
      </c>
      <c r="AA238" s="9">
        <f>0</f>
        <v>0</v>
      </c>
    </row>
    <row r="239" outlineLevel="1">
      <c r="A239" t="inlineStr" s="16">
        <is>
          <t xml:space="preserve">Included annual audits &gt; Per audit — base</t>
        </is>
      </c>
      <c r="AA239" s="9">
        <f>0</f>
        <v>0</v>
      </c>
    </row>
    <row r="240" outlineLevel="1">
      <c r="A240" t="inlineStr" s="16">
        <is>
          <t xml:space="preserve">Included annual audits &gt; Per audit — high</t>
        </is>
      </c>
      <c r="AA240" s="9">
        <f>0</f>
        <v>0</v>
      </c>
    </row>
    <row r="241" outlineLevel="1">
      <c r="A241" t="inlineStr" s="16">
        <is>
          <t xml:space="preserve">Included annual audits &gt; Per audit — low</t>
        </is>
      </c>
      <c r="AA241" s="9">
        <f>0</f>
        <v>0</v>
      </c>
    </row>
    <row r="242">
      <c r="A242" t="inlineStr" s="14">
        <is>
          <t xml:space="preserve">Linear customer ramp switch · Paying customer equivalents · Plan Audits delivered · Growth · Growth · Growth</t>
        </is>
      </c>
      <c r="AA242" s="9">
        <f>1</f>
        <v>1</v>
      </c>
    </row>
    <row r="243">
      <c r="A243" t="inlineStr" s="14">
        <is>
          <t xml:space="preserve">Linear customer ramp switch · Paying customer equivalents · Plan Audits delivered · Conservative · Conservative · Conservative</t>
        </is>
      </c>
      <c r="AA243" s="9">
        <f>0</f>
        <v>0</v>
      </c>
    </row>
    <row r="244">
      <c r="A244" t="inlineStr" s="14">
        <is>
          <t xml:space="preserve">Overage audit price</t>
        </is>
      </c>
      <c r="AA244" s="6">
        <v>0</v>
      </c>
    </row>
    <row r="245" outlineLevel="1">
      <c r="A245" t="inlineStr" s="16">
        <is>
          <t xml:space="preserve">Overage audit price &gt; Annual deal-team</t>
        </is>
      </c>
      <c r="AA245" s="8">
        <f>IF('Model inputs'!AA272="","",'Model inputs'!AA272)</f>
        <v>1000</v>
      </c>
    </row>
    <row r="246" outlineLevel="1">
      <c r="A246" t="inlineStr" s="16">
        <is>
          <t xml:space="preserve">Overage audit price &gt; Hybrid</t>
        </is>
      </c>
      <c r="AA246" s="8">
        <f>0</f>
        <v>0</v>
      </c>
    </row>
    <row r="247" outlineLevel="1">
      <c r="A247" t="inlineStr" s="16">
        <is>
          <t xml:space="preserve">Overage audit price &gt; Per audit — base</t>
        </is>
      </c>
      <c r="AA247" s="8">
        <f>0</f>
        <v>0</v>
      </c>
    </row>
    <row r="248" outlineLevel="1">
      <c r="A248" t="inlineStr" s="16">
        <is>
          <t xml:space="preserve">Overage audit price &gt; Per audit — high</t>
        </is>
      </c>
      <c r="AA248" s="8">
        <f>0</f>
        <v>0</v>
      </c>
    </row>
    <row r="249" outlineLevel="1">
      <c r="A249" t="inlineStr" s="16">
        <is>
          <t xml:space="preserve">Overage audit price &gt; Per audit — low</t>
        </is>
      </c>
      <c r="AA249" s="8">
        <f>0</f>
        <v>0</v>
      </c>
    </row>
    <row r="250">
      <c r="A250" t="inlineStr" s="14">
        <is>
          <t xml:space="preserve">Overage audit price</t>
        </is>
      </c>
      <c r="AA250" s="6">
        <v>0</v>
      </c>
    </row>
    <row r="251" outlineLevel="1">
      <c r="A251" t="inlineStr" s="16">
        <is>
          <t xml:space="preserve">Overage audit price &gt; Annual deal-team</t>
        </is>
      </c>
      <c r="AA251" s="8">
        <f>IF('Model inputs'!AA273="","",'Model inputs'!AA273)</f>
        <v>1000</v>
      </c>
    </row>
    <row r="252" outlineLevel="1">
      <c r="A252" t="inlineStr" s="16">
        <is>
          <t xml:space="preserve">Overage audit price &gt; Hybrid</t>
        </is>
      </c>
      <c r="AA252" s="8">
        <f>0</f>
        <v>0</v>
      </c>
    </row>
    <row r="253" outlineLevel="1">
      <c r="A253" t="inlineStr" s="16">
        <is>
          <t xml:space="preserve">Overage audit price &gt; Per audit — base</t>
        </is>
      </c>
      <c r="AA253" s="8">
        <f>0</f>
        <v>0</v>
      </c>
    </row>
    <row r="254" outlineLevel="1">
      <c r="A254" t="inlineStr" s="16">
        <is>
          <t xml:space="preserve">Overage audit price &gt; Per audit — high</t>
        </is>
      </c>
      <c r="AA254" s="8">
        <f>0</f>
        <v>0</v>
      </c>
    </row>
    <row r="255" outlineLevel="1">
      <c r="A255" t="inlineStr" s="16">
        <is>
          <t xml:space="preserve">Overage audit price &gt; Per audit — low</t>
        </is>
      </c>
      <c r="AA255" s="8">
        <f>0</f>
        <v>0</v>
      </c>
    </row>
    <row r="256">
      <c r="A256" t="inlineStr" s="14">
        <is>
          <t xml:space="preserve">Processing rate · Contribution profit · Plan Contribution profit · Forecast contribution profit · Growth · Growth · Growth · Growth</t>
        </is>
      </c>
      <c r="AA256" s="9">
        <f>0.03</f>
        <v>0.03</v>
      </c>
    </row>
    <row r="257">
      <c r="A257" t="inlineStr" s="14">
        <is>
          <t xml:space="preserve">Processing rate · Contribution profit · Plan Contribution profit · Forecast contribution profit · Conservative · Conservative · Conservative · Conservative</t>
        </is>
      </c>
      <c r="AA257" s="9">
        <f>0.03</f>
        <v>0.03</v>
      </c>
    </row>
    <row r="258">
      <c r="A258" t="inlineStr" s="14">
        <is>
          <t xml:space="preserve">Sales delay months · Paying customer equivalents · Plan Audits delivered · Growth · Growth · Growth</t>
        </is>
      </c>
      <c r="AA258" s="9">
        <f>0</f>
        <v>0</v>
      </c>
    </row>
    <row r="259">
      <c r="A259" t="inlineStr" s="14">
        <is>
          <t xml:space="preserve">Sales delay months · Paying customer equivalents · Plan Audits delivered · Conservative · Conservative · Conservative</t>
        </is>
      </c>
      <c r="AA259" s="9">
        <f>2</f>
        <v>2</v>
      </c>
    </row>
    <row r="260">
      <c r="A260" t="inlineStr" s="14">
        <is>
          <t xml:space="preserve">Sales marketing monthly · Fixed costs · Plan Net cash burn · Growth · Growth · Growth</t>
        </is>
      </c>
      <c r="AA260" s="8">
        <f>500</f>
        <v>500</v>
      </c>
    </row>
    <row r="261">
      <c r="A261" t="inlineStr" s="14">
        <is>
          <t xml:space="preserve">Sales marketing monthly · Fixed costs · Plan Net cash burn · Conservative · Conservative · Conservative</t>
        </is>
      </c>
      <c r="AA261" s="8">
        <f>500</f>
        <v>500</v>
      </c>
    </row>
    <row r="262">
      <c r="A262" t="inlineStr" s="14">
        <is>
          <t xml:space="preserve">Software monthly · Fixed costs · Plan Net cash burn · Growth · Growth · Growth</t>
        </is>
      </c>
      <c r="AA262" s="8">
        <f>100</f>
        <v>100</v>
      </c>
    </row>
    <row r="263">
      <c r="A263" t="inlineStr" s="14">
        <is>
          <t xml:space="preserve">Software monthly · Fixed costs · Plan Net cash burn · Conservative · Conservative · Conservative</t>
        </is>
      </c>
      <c r="AA263" s="8">
        <f>100</f>
        <v>100</v>
      </c>
    </row>
    <row r="264">
      <c r="A264" t="inlineStr" s="14">
        <is>
          <t xml:space="preserve">Support dollars per hour · Account support cost · Plan Net cash burn · Growth · Growth · Growth</t>
        </is>
      </c>
      <c r="AA264" s="8">
        <f>60</f>
        <v>60</v>
      </c>
    </row>
    <row r="265">
      <c r="A265" t="inlineStr" s="14">
        <is>
          <t xml:space="preserve">Support dollars per hour · Account support cost · Plan Net cash burn · Conservative · Conservative · Conservative</t>
        </is>
      </c>
      <c r="AA265" s="8">
        <f>60</f>
        <v>60</v>
      </c>
    </row>
    <row r="266">
      <c r="A266" t="inlineStr" s="14">
        <is>
          <t xml:space="preserve">Support hours per customer per month · Account support cost · Plan Net cash burn · Growth · Growth · Growth</t>
        </is>
      </c>
      <c r="AA266" s="9">
        <f>0.5</f>
        <v>0.5</v>
      </c>
    </row>
    <row r="267">
      <c r="A267" t="inlineStr" s="14">
        <is>
          <t xml:space="preserve">Support hours per customer per month · Account support cost · Plan Net cash burn · Conservative · Conservative · Conservative</t>
        </is>
      </c>
      <c r="AA267" s="9">
        <f>0.5</f>
        <v>0.5</v>
      </c>
    </row>
    <row r="268">
      <c r="A268" t="inlineStr" s="14">
        <is>
          <t xml:space="preserve">Target paying customers · Paying customer equivalents · Plan Audits delivered · Growth · Growth · Growth</t>
        </is>
      </c>
      <c r="AA268" s="9">
        <f>15</f>
        <v>15</v>
      </c>
    </row>
    <row r="269">
      <c r="A269" t="inlineStr" s="14">
        <is>
          <t xml:space="preserve">Target paying customers · Paying customer equivalents · Plan Audits delivered · Conservative · Conservative · Conservative</t>
        </is>
      </c>
      <c r="AA269" s="9">
        <f>2</f>
        <v>2</v>
      </c>
    </row>
    <row r="270">
      <c r="A270" t="inlineStr" s="14">
        <is>
          <t xml:space="preserve">Annual included audits · Customer monthly earned revenue · Earned revenue · Plan Earned revenue · Growth · Growth · Growth · Growth</t>
        </is>
      </c>
      <c r="AA270" s="9">
        <f>24</f>
        <v>24</v>
      </c>
    </row>
    <row r="271">
      <c r="A271" t="inlineStr" s="14">
        <is>
          <t xml:space="preserve">Annual included audits · Customer monthly earned revenue · Earned revenue · Plan Earned revenue · Conservative · Conservative · Conservative · Conservative</t>
        </is>
      </c>
      <c r="AA271" s="9">
        <f>24</f>
        <v>24</v>
      </c>
    </row>
    <row r="272">
      <c r="A272" t="inlineStr" s="14">
        <is>
          <t xml:space="preserve">Annual overage price · Customer monthly earned revenue · Earned revenue · Plan Earned revenue · Growth · Growth · Growth · Growth</t>
        </is>
      </c>
      <c r="AA272" s="8">
        <f>1000</f>
        <v>1000</v>
      </c>
    </row>
    <row r="273">
      <c r="A273" t="inlineStr" s="14">
        <is>
          <t xml:space="preserve">Annual overage price · Customer monthly earned revenue · Earned revenue · Plan Earned revenue · Conservative · Conservative · Conservative · Conservative</t>
        </is>
      </c>
      <c r="AA273" s="8">
        <f>1000</f>
        <v>1000</v>
      </c>
    </row>
    <row r="274">
      <c r="A274" t="inlineStr" s="14">
        <is>
          <t xml:space="preserve">Crustdata cost per audit · Delivery cost per audit · Delivery COGS · Plan Net cash burn · Growth · Growth · Growth · Growth</t>
        </is>
      </c>
      <c r="AA274" s="8">
        <f>'Model inputs'!AA284*'Model inputs'!AA286*'Model inputs'!AA288</f>
        <v>2.6</v>
      </c>
    </row>
    <row r="275">
      <c r="A275" t="inlineStr" s="14">
        <is>
          <t xml:space="preserve">Crustdata cost per audit · Delivery cost per audit · Delivery COGS · Plan Net cash burn · Conservative · Conservative · Conservative · Conservative</t>
        </is>
      </c>
      <c r="AA275" s="8">
        <f>'Model inputs'!AA285*'Model inputs'!AA287*'Model inputs'!AA289</f>
        <v>3.9000000000000004</v>
      </c>
    </row>
    <row r="276">
      <c r="A276" t="inlineStr" s="14">
        <is>
          <t xml:space="preserve">Delivery tooling per audit · Delivery cost per audit · Delivery COGS · Plan Net cash burn · Growth · Growth · Growth · Growth</t>
        </is>
      </c>
      <c r="AA276" s="8">
        <f>2</f>
        <v>2</v>
      </c>
    </row>
    <row r="277">
      <c r="A277" t="inlineStr" s="14">
        <is>
          <t xml:space="preserve">Delivery tooling per audit · Delivery cost per audit · Delivery COGS · Plan Net cash burn · Conservative · Conservative · Conservative · Conservative</t>
        </is>
      </c>
      <c r="AA277" s="8">
        <f>2</f>
        <v>2</v>
      </c>
    </row>
    <row r="278">
      <c r="A278" t="inlineStr" s="14">
        <is>
          <t xml:space="preserve">Hybrid audit price · Customer monthly earned revenue · Earned revenue · Plan Earned revenue · Growth · Growth · Growth · Growth</t>
        </is>
      </c>
      <c r="AA278" s="8">
        <f>1000</f>
        <v>1000</v>
      </c>
    </row>
    <row r="279">
      <c r="A279" t="inlineStr" s="14">
        <is>
          <t xml:space="preserve">Hybrid audit price · Customer monthly earned revenue · Earned revenue · Plan Earned revenue · Conservative · Conservative · Conservative · Conservative</t>
        </is>
      </c>
      <c r="AA279" s="8">
        <f>1000</f>
        <v>1000</v>
      </c>
    </row>
    <row r="280">
      <c r="A280" t="inlineStr" s="14">
        <is>
          <t xml:space="preserve">LLM cost per audit · Delivery cost per audit · Delivery COGS · Plan Net cash burn · Growth · Growth · Growth · Growth</t>
        </is>
      </c>
      <c r="AA280" s="8">
        <f>'Model inputs'!AA294*(1+'Model inputs'!AA292*('Model inputs'!AA290-1))*'Model inputs'!AA288</f>
        <v>0.05</v>
      </c>
    </row>
    <row r="281">
      <c r="A281" t="inlineStr" s="14">
        <is>
          <t xml:space="preserve">LLM cost per audit · Delivery cost per audit · Delivery COGS · Plan Net cash burn · Conservative · Conservative · Conservative · Conservative</t>
        </is>
      </c>
      <c r="AA281" s="8">
        <f>'Model inputs'!AA295*(1+'Model inputs'!AA293*('Model inputs'!AA291-1))*'Model inputs'!AA289</f>
        <v>0.07500000000000001</v>
      </c>
    </row>
    <row r="282">
      <c r="A282" t="inlineStr" s="14">
        <is>
          <t xml:space="preserve">QA cost per audit · Delivery cost per audit · Delivery COGS · Plan Net cash burn · Growth · Growth · Growth · Growth</t>
        </is>
      </c>
      <c r="AA282" s="8">
        <f>'Model inputs'!AA298*'Model inputs'!AA296</f>
        <v>90</v>
      </c>
    </row>
    <row r="283">
      <c r="A283" t="inlineStr" s="14">
        <is>
          <t xml:space="preserve">QA cost per audit · Delivery cost per audit · Delivery COGS · Plan Net cash burn · Conservative · Conservative · Conservative · Conservative</t>
        </is>
      </c>
      <c r="AA283" s="8">
        <f>'Model inputs'!AA299*'Model inputs'!AA297</f>
        <v>90</v>
      </c>
    </row>
    <row r="284">
      <c r="A284" t="inlineStr" s="14">
        <is>
          <t xml:space="preserve">Crustdata credits per audit · Delivery cost per audit · Delivery COGS · Plan Net cash burn · Growth · Growth · Growth · Growth</t>
        </is>
      </c>
      <c r="AA284" s="9">
        <f>26</f>
        <v>26</v>
      </c>
    </row>
    <row r="285">
      <c r="A285" t="inlineStr" s="14">
        <is>
          <t xml:space="preserve">Crustdata credits per audit · Delivery cost per audit · Delivery COGS · Plan Net cash burn · Conservative · Conservative · Conservative · Conservative</t>
        </is>
      </c>
      <c r="AA285" s="9">
        <f>26</f>
        <v>26</v>
      </c>
    </row>
    <row r="286">
      <c r="A286" t="inlineStr" s="14">
        <is>
          <t xml:space="preserve">Crustdata dollars per credit · Delivery cost per audit · Delivery COGS · Plan Net cash burn · Growth · Growth · Growth · Growth</t>
        </is>
      </c>
      <c r="AA286" s="8">
        <f>0.1</f>
        <v>0.1</v>
      </c>
    </row>
    <row r="287">
      <c r="A287" t="inlineStr" s="14">
        <is>
          <t xml:space="preserve">Crustdata dollars per credit · Delivery cost per audit · Delivery COGS · Plan Net cash burn · Conservative · Conservative · Conservative · Conservative</t>
        </is>
      </c>
      <c r="AA287" s="8">
        <f>0.1</f>
        <v>0.1</v>
      </c>
    </row>
    <row r="288">
      <c r="A288" t="inlineStr" s="14">
        <is>
          <t xml:space="preserve">Data and model cost multiplier · Delivery cost per audit · Delivery COGS · Plan Net cash burn · Growth · Growth · Growth · Growth</t>
        </is>
      </c>
      <c r="AA288" s="9">
        <f>1</f>
        <v>1</v>
      </c>
    </row>
    <row r="289">
      <c r="A289" t="inlineStr" s="14">
        <is>
          <t xml:space="preserve">Data and model cost multiplier · Delivery cost per audit · Delivery COGS · Plan Net cash burn · Conservative · Conservative · Conservative · Conservative</t>
        </is>
      </c>
      <c r="AA289" s="9">
        <f>1.5</f>
        <v>1.5</v>
      </c>
    </row>
    <row r="290">
      <c r="A290" t="inlineStr" s="14">
        <is>
          <t xml:space="preserve">Escalation cost multiple · Delivery cost per audit · Delivery COGS · Plan Net cash burn · Growth · Growth · Growth · Growth</t>
        </is>
      </c>
      <c r="AA290" s="9">
        <f>5</f>
        <v>5</v>
      </c>
    </row>
    <row r="291">
      <c r="A291" t="inlineStr" s="14">
        <is>
          <t xml:space="preserve">Escalation cost multiple · Delivery cost per audit · Delivery COGS · Plan Net cash burn · Conservative · Conservative · Conservative · Conservative</t>
        </is>
      </c>
      <c r="AA291" s="9">
        <f>5</f>
        <v>5</v>
      </c>
    </row>
    <row r="292">
      <c r="A292" t="inlineStr" s="14">
        <is>
          <t xml:space="preserve">Escalation share · Delivery cost per audit · Delivery COGS · Plan Net cash burn · Growth · Growth · Growth · Growth</t>
        </is>
      </c>
      <c r="AA292" s="9">
        <f>0</f>
        <v>0</v>
      </c>
    </row>
    <row r="293">
      <c r="A293" t="inlineStr" s="14">
        <is>
          <t xml:space="preserve">Escalation share · Delivery cost per audit · Delivery COGS · Plan Net cash burn · Conservative · Conservative · Conservative · Conservative</t>
        </is>
      </c>
      <c r="AA293" s="9">
        <f>0</f>
        <v>0</v>
      </c>
    </row>
    <row r="294">
      <c r="A294" t="inlineStr" s="14">
        <is>
          <t xml:space="preserve">Flash inference per audit · Delivery cost per audit · Delivery COGS · Plan Net cash burn · Growth · Growth · Growth · Growth</t>
        </is>
      </c>
      <c r="AA294" s="8">
        <f>0.05</f>
        <v>0.05</v>
      </c>
    </row>
    <row r="295">
      <c r="A295" t="inlineStr" s="14">
        <is>
          <t xml:space="preserve">Flash inference per audit · Delivery cost per audit · Delivery COGS · Plan Net cash burn · Conservative · Conservative · Conservative · Conservative</t>
        </is>
      </c>
      <c r="AA295" s="8">
        <f>0.05</f>
        <v>0.05</v>
      </c>
    </row>
    <row r="296">
      <c r="A296" t="inlineStr" s="14">
        <is>
          <t xml:space="preserve">QA dollars per hour · Delivery cost per audit · Delivery COGS · Plan Net cash burn · Growth · Growth · Growth · Growth</t>
        </is>
      </c>
      <c r="AA296" s="8">
        <f>60</f>
        <v>60</v>
      </c>
    </row>
    <row r="297">
      <c r="A297" t="inlineStr" s="14">
        <is>
          <t xml:space="preserve">QA dollars per hour · Delivery cost per audit · Delivery COGS · Plan Net cash burn · Conservative · Conservative · Conservative · Conservative</t>
        </is>
      </c>
      <c r="AA297" s="8">
        <f>60</f>
        <v>60</v>
      </c>
    </row>
    <row r="298">
      <c r="A298" t="inlineStr" s="14">
        <is>
          <t xml:space="preserve">QA hours per audit · Delivery cost per audit · Delivery COGS · Plan Net cash burn · Growth · Growth · Growth · Growth</t>
        </is>
      </c>
      <c r="AA298" s="9">
        <f>1.5</f>
        <v>1.5</v>
      </c>
    </row>
    <row r="299">
      <c r="A299" t="inlineStr" s="14">
        <is>
          <t xml:space="preserve">QA hours per audit · Delivery cost per audit · Delivery COGS · Plan Net cash burn · Conservative · Conservative · Conservative · Conservative</t>
        </is>
      </c>
      <c r="AA299" s="9">
        <f>1.5</f>
        <v>1.5</v>
      </c>
    </row>
    <row r="301">
      <c r="A301" t="inlineStr" s="12">
        <is>
          <t xml:space="preserve">Dimensions</t>
        </is>
      </c>
    </row>
    <row r="302">
      <c r="A302" t="inlineStr" s="14">
        <is>
          <t xml:space="preserve">Pricing model</t>
        </is>
      </c>
      <c r="B302" t="inlineStr" s="17">
        <is>
          <t xml:space="preserve">Annual deal-team</t>
        </is>
      </c>
      <c r="C302" t="inlineStr" s="17">
        <is>
          <t xml:space="preserve">Hybrid</t>
        </is>
      </c>
      <c r="D302" t="inlineStr" s="17">
        <is>
          <t xml:space="preserve">Per audit — base</t>
        </is>
      </c>
      <c r="E302" t="inlineStr" s="17">
        <is>
          <t xml:space="preserve">Per audit — high</t>
        </is>
      </c>
      <c r="F302" t="inlineStr" s="17">
        <is>
          <t xml:space="preserve">Per audit — low</t>
        </is>
      </c>
    </row>
    <row r="304">
      <c r="A304" t="inlineStr" s="12">
        <is>
          <t xml:space="preserve">Supporting calculations</t>
        </is>
      </c>
    </row>
    <row r="305">
      <c r="A305" t="inlineStr" s="14">
        <is>
          <t xml:space="preserve">Calculation</t>
        </is>
      </c>
      <c r="B305" s="6">
        <f>SUM(IF(IF(IF(AND('Model inputs'!B20&lt;=DATE(2026,1,1),DATE(2026,1,1)&lt;=EDATE('Model inputs'!B20,'Model inputs'!B18-1*1))="",FALSE,AND('Model inputs'!B20&lt;=DATE(2026,1,1),DATE(2026,1,1)&lt;=EDATE('Model inputs'!B20,'Model inputs'!B18-1*1))),'Model inputs'!C26,"")="",0,IF(IF(AND('Model inputs'!B20&lt;=DATE(2026,1,1),DATE(2026,1,1)&lt;=EDATE('Model inputs'!B20,'Model inputs'!B18-1*1))="",FALSE,AND('Model inputs'!B20&lt;=DATE(2026,1,1),DATE(2026,1,1)&lt;=EDATE('Model inputs'!B20,'Model inputs'!B18-1*1))),'Model inputs'!C26,"")),IF(IF(IF(AND('Model inputs'!B20&lt;=DATE(2026,2,1),DATE(2026,2,1)&lt;=EDATE('Model inputs'!B20,'Model inputs'!B18-1*1))="",FALSE,AND('Model inputs'!B20&lt;=DATE(2026,2,1),DATE(2026,2,1)&lt;=EDATE('Model inputs'!B20,'Model inputs'!B18-1*1))),'Model inputs'!D26,"")="",0,IF(IF(AND('Model inputs'!B20&lt;=DATE(2026,2,1),DATE(2026,2,1)&lt;=EDATE('Model inputs'!B20,'Model inputs'!B18-1*1))="",FALSE,AND('Model inputs'!B20&lt;=DATE(2026,2,1),DATE(2026,2,1)&lt;=EDATE('Model inputs'!B20,'Model inputs'!B18-1*1))),'Model inputs'!D26,"")),IF(IF(IF(AND('Model inputs'!B20&lt;=DATE(2026,3,1),DATE(2026,3,1)&lt;=EDATE('Model inputs'!B20,'Model inputs'!B18-1*1))="",FALSE,AND('Model inputs'!B20&lt;=DATE(2026,3,1),DATE(2026,3,1)&lt;=EDATE('Model inputs'!B20,'Model inputs'!B18-1*1))),'Model inputs'!E26,"")="",0,IF(IF(AND('Model inputs'!B20&lt;=DATE(2026,3,1),DATE(2026,3,1)&lt;=EDATE('Model inputs'!B20,'Model inputs'!B18-1*1))="",FALSE,AND('Model inputs'!B20&lt;=DATE(2026,3,1),DATE(2026,3,1)&lt;=EDATE('Model inputs'!B20,'Model inputs'!B18-1*1))),'Model inputs'!E26,"")),IF(IF(IF(AND('Model inputs'!B20&lt;=DATE(2026,4,1),DATE(2026,4,1)&lt;=EDATE('Model inputs'!B20,'Model inputs'!B18-1*1))="",FALSE,AND('Model inputs'!B20&lt;=DATE(2026,4,1),DATE(2026,4,1)&lt;=EDATE('Model inputs'!B20,'Model inputs'!B18-1*1))),'Model inputs'!F26,"")="",0,IF(IF(AND('Model inputs'!B20&lt;=DATE(2026,4,1),DATE(2026,4,1)&lt;=EDATE('Model inputs'!B20,'Model inputs'!B18-1*1))="",FALSE,AND('Model inputs'!B20&lt;=DATE(2026,4,1),DATE(2026,4,1)&lt;=EDATE('Model inputs'!B20,'Model inputs'!B18-1*1))),'Model inputs'!F26,"")),IF(IF(IF(AND('Model inputs'!B20&lt;=DATE(2026,5,1),DATE(2026,5,1)&lt;=EDATE('Model inputs'!B20,'Model inputs'!B18-1*1))="",FALSE,AND('Model inputs'!B20&lt;=DATE(2026,5,1),DATE(2026,5,1)&lt;=EDATE('Model inputs'!B20,'Model inputs'!B18-1*1))),'Model inputs'!G26,"")="",0,IF(IF(AND('Model inputs'!B20&lt;=DATE(2026,5,1),DATE(2026,5,1)&lt;=EDATE('Model inputs'!B20,'Model inputs'!B18-1*1))="",FALSE,AND('Model inputs'!B20&lt;=DATE(2026,5,1),DATE(2026,5,1)&lt;=EDATE('Model inputs'!B20,'Model inputs'!B18-1*1))),'Model inputs'!G26,"")),IF(IF(IF(AND('Model inputs'!B20&lt;=DATE(2026,6,1),DATE(2026,6,1)&lt;=EDATE('Model inputs'!B20,'Model inputs'!B18-1*1))="",FALSE,AND('Model inputs'!B20&lt;=DATE(2026,6,1),DATE(2026,6,1)&lt;=EDATE('Model inputs'!B20,'Model inputs'!B18-1*1))),'Model inputs'!H26,"")="",0,IF(IF(AND('Model inputs'!B20&lt;=DATE(2026,6,1),DATE(2026,6,1)&lt;=EDATE('Model inputs'!B20,'Model inputs'!B18-1*1))="",FALSE,AND('Model inputs'!B20&lt;=DATE(2026,6,1),DATE(2026,6,1)&lt;=EDATE('Model inputs'!B20,'Model inputs'!B18-1*1))),'Model inputs'!H26,"")),IF(IF(IF(AND('Model inputs'!B20&lt;=DATE(2026,7,1),DATE(2026,7,1)&lt;=EDATE('Model inputs'!B20,'Model inputs'!B18-1*1))="",FALSE,AND('Model inputs'!B20&lt;=DATE(2026,7,1),DATE(2026,7,1)&lt;=EDATE('Model inputs'!B20,'Model inputs'!B18-1*1))),'Model inputs'!I26,"")="",0,IF(IF(AND('Model inputs'!B20&lt;=DATE(2026,7,1),DATE(2026,7,1)&lt;=EDATE('Model inputs'!B20,'Model inputs'!B18-1*1))="",FALSE,AND('Model inputs'!B20&lt;=DATE(2026,7,1),DATE(2026,7,1)&lt;=EDATE('Model inputs'!B20,'Model inputs'!B18-1*1))),'Model inputs'!I26,"")),IF(IF(IF(AND('Model inputs'!B20&lt;=DATE(2026,8,1),DATE(2026,8,1)&lt;=EDATE('Model inputs'!B20,'Model inputs'!B18-1*1))="",FALSE,AND('Model inputs'!B20&lt;=DATE(2026,8,1),DATE(2026,8,1)&lt;=EDATE('Model inputs'!B20,'Model inputs'!B18-1*1))),'Model inputs'!J26,"")="",0,IF(IF(AND('Model inputs'!B20&lt;=DATE(2026,8,1),DATE(2026,8,1)&lt;=EDATE('Model inputs'!B20,'Model inputs'!B18-1*1))="",FALSE,AND('Model inputs'!B20&lt;=DATE(2026,8,1),DATE(2026,8,1)&lt;=EDATE('Model inputs'!B20,'Model inputs'!B18-1*1))),'Model inputs'!J26,"")),IF(IF(IF(AND('Model inputs'!B20&lt;=DATE(2026,9,1),DATE(2026,9,1)&lt;=EDATE('Model inputs'!B20,'Model inputs'!B18-1*1))="",FALSE,AND('Model inputs'!B20&lt;=DATE(2026,9,1),DATE(2026,9,1)&lt;=EDATE('Model inputs'!B20,'Model inputs'!B18-1*1))),'Model inputs'!K26,"")="",0,IF(IF(AND('Model inputs'!B20&lt;=DATE(2026,9,1),DATE(2026,9,1)&lt;=EDATE('Model inputs'!B20,'Model inputs'!B18-1*1))="",FALSE,AND('Model inputs'!B20&lt;=DATE(2026,9,1),DATE(2026,9,1)&lt;=EDATE('Model inputs'!B20,'Model inputs'!B18-1*1))),'Model inputs'!K26,"")),IF(IF(IF(AND('Model inputs'!B20&lt;=DATE(2026,10,1),DATE(2026,10,1)&lt;=EDATE('Model inputs'!B20,'Model inputs'!B18-1*1))="",FALSE,AND('Model inputs'!B20&lt;=DATE(2026,10,1),DATE(2026,10,1)&lt;=EDATE('Model inputs'!B20,'Model inputs'!B18-1*1))),'Model inputs'!L26,"")="",0,IF(IF(AND('Model inputs'!B20&lt;=DATE(2026,10,1),DATE(2026,10,1)&lt;=EDATE('Model inputs'!B20,'Model inputs'!B18-1*1))="",FALSE,AND('Model inputs'!B20&lt;=DATE(2026,10,1),DATE(2026,10,1)&lt;=EDATE('Model inputs'!B20,'Model inputs'!B18-1*1))),'Model inputs'!L26,"")),IF(IF(IF(AND('Model inputs'!B20&lt;=DATE(2026,11,1),DATE(2026,11,1)&lt;=EDATE('Model inputs'!B20,'Model inputs'!B18-1*1))="",FALSE,AND('Model inputs'!B20&lt;=DATE(2026,11,1),DATE(2026,11,1)&lt;=EDATE('Model inputs'!B20,'Model inputs'!B18-1*1))),'Model inputs'!M26,"")="",0,IF(IF(AND('Model inputs'!B20&lt;=DATE(2026,11,1),DATE(2026,11,1)&lt;=EDATE('Model inputs'!B20,'Model inputs'!B18-1*1))="",FALSE,AND('Model inputs'!B20&lt;=DATE(2026,11,1),DATE(2026,11,1)&lt;=EDATE('Model inputs'!B20,'Model inputs'!B18-1*1))),'Model inputs'!M26,"")),IF(IF(IF(AND('Model inputs'!B20&lt;=DATE(2026,12,1),DATE(2026,12,1)&lt;=EDATE('Model inputs'!B20,'Model inputs'!B18-1*1))="",FALSE,AND('Model inputs'!B20&lt;=DATE(2026,12,1),DATE(2026,12,1)&lt;=EDATE('Model inputs'!B20,'Model inputs'!B18-1*1))),'Model inputs'!N26,"")="",0,IF(IF(AND('Model inputs'!B20&lt;=DATE(2026,12,1),DATE(2026,12,1)&lt;=EDATE('Model inputs'!B20,'Model inputs'!B18-1*1))="",FALSE,AND('Model inputs'!B20&lt;=DATE(2026,12,1),DATE(2026,12,1)&lt;=EDATE('Model inputs'!B20,'Model inputs'!B18-1*1))),'Model inputs'!N26,"")),IF(IF(IF(AND('Model inputs'!B20&lt;=DATE(2027,1,1),DATE(2027,1,1)&lt;=EDATE('Model inputs'!B20,'Model inputs'!B18-1*1))="",FALSE,AND('Model inputs'!B20&lt;=DATE(2027,1,1),DATE(2027,1,1)&lt;=EDATE('Model inputs'!B20,'Model inputs'!B18-1*1))),'Model inputs'!O26,"")="",0,IF(IF(AND('Model inputs'!B20&lt;=DATE(2027,1,1),DATE(2027,1,1)&lt;=EDATE('Model inputs'!B20,'Model inputs'!B18-1*1))="",FALSE,AND('Model inputs'!B20&lt;=DATE(2027,1,1),DATE(2027,1,1)&lt;=EDATE('Model inputs'!B20,'Model inputs'!B18-1*1))),'Model inputs'!O26,"")),IF(IF(IF(AND('Model inputs'!B20&lt;=DATE(2027,2,1),DATE(2027,2,1)&lt;=EDATE('Model inputs'!B20,'Model inputs'!B18-1*1))="",FALSE,AND('Model inputs'!B20&lt;=DATE(2027,2,1),DATE(2027,2,1)&lt;=EDATE('Model inputs'!B20,'Model inputs'!B18-1*1))),'Model inputs'!P26,"")="",0,IF(IF(AND('Model inputs'!B20&lt;=DATE(2027,2,1),DATE(2027,2,1)&lt;=EDATE('Model inputs'!B20,'Model inputs'!B18-1*1))="",FALSE,AND('Model inputs'!B20&lt;=DATE(2027,2,1),DATE(2027,2,1)&lt;=EDATE('Model inputs'!B20,'Model inputs'!B18-1*1))),'Model inputs'!P26,"")),IF(IF(IF(AND('Model inputs'!B20&lt;=DATE(2027,3,1),DATE(2027,3,1)&lt;=EDATE('Model inputs'!B20,'Model inputs'!B18-1*1))="",FALSE,AND('Model inputs'!B20&lt;=DATE(2027,3,1),DATE(2027,3,1)&lt;=EDATE('Model inputs'!B20,'Model inputs'!B18-1*1))),'Model inputs'!Q26,"")="",0,IF(IF(AND('Model inputs'!B20&lt;=DATE(2027,3,1),DATE(2027,3,1)&lt;=EDATE('Model inputs'!B20,'Model inputs'!B18-1*1))="",FALSE,AND('Model inputs'!B20&lt;=DATE(2027,3,1),DATE(2027,3,1)&lt;=EDATE('Model inputs'!B20,'Model inputs'!B18-1*1))),'Model inputs'!Q26,"")),IF(IF(IF(AND('Model inputs'!B20&lt;=DATE(2027,4,1),DATE(2027,4,1)&lt;=EDATE('Model inputs'!B20,'Model inputs'!B18-1*1))="",FALSE,AND('Model inputs'!B20&lt;=DATE(2027,4,1),DATE(2027,4,1)&lt;=EDATE('Model inputs'!B20,'Model inputs'!B18-1*1))),'Model inputs'!R26,"")="",0,IF(IF(AND('Model inputs'!B20&lt;=DATE(2027,4,1),DATE(2027,4,1)&lt;=EDATE('Model inputs'!B20,'Model inputs'!B18-1*1))="",FALSE,AND('Model inputs'!B20&lt;=DATE(2027,4,1),DATE(2027,4,1)&lt;=EDATE('Model inputs'!B20,'Model inputs'!B18-1*1))),'Model inputs'!R26,"")))</f>
      </c>
    </row>
    <row r="306">
      <c r="A306" t="inlineStr" s="14">
        <is>
          <t xml:space="preserve">Calculation</t>
        </is>
      </c>
      <c r="B306" s="6">
        <f>SUM(IF(IF(IF(AND('Model inputs'!B20&lt;=DATE(2027,5,1),DATE(2027,5,1)&lt;=EDATE('Model inputs'!B20,'Model inputs'!B18-1*1))="",FALSE,AND('Model inputs'!B20&lt;=DATE(2027,5,1),DATE(2027,5,1)&lt;=EDATE('Model inputs'!B20,'Model inputs'!B18-1*1))),'Model inputs'!S26,"")="",0,IF(IF(AND('Model inputs'!B20&lt;=DATE(2027,5,1),DATE(2027,5,1)&lt;=EDATE('Model inputs'!B20,'Model inputs'!B18-1*1))="",FALSE,AND('Model inputs'!B20&lt;=DATE(2027,5,1),DATE(2027,5,1)&lt;=EDATE('Model inputs'!B20,'Model inputs'!B18-1*1))),'Model inputs'!S26,"")),IF(IF(IF(AND('Model inputs'!B20&lt;=DATE(2027,6,1),DATE(2027,6,1)&lt;=EDATE('Model inputs'!B20,'Model inputs'!B18-1*1))="",FALSE,AND('Model inputs'!B20&lt;=DATE(2027,6,1),DATE(2027,6,1)&lt;=EDATE('Model inputs'!B20,'Model inputs'!B18-1*1))),'Model inputs'!T26,"")="",0,IF(IF(AND('Model inputs'!B20&lt;=DATE(2027,6,1),DATE(2027,6,1)&lt;=EDATE('Model inputs'!B20,'Model inputs'!B18-1*1))="",FALSE,AND('Model inputs'!B20&lt;=DATE(2027,6,1),DATE(2027,6,1)&lt;=EDATE('Model inputs'!B20,'Model inputs'!B18-1*1))),'Model inputs'!T26,"")),IF(IF(IF(AND('Model inputs'!B20&lt;=DATE(2027,7,1),DATE(2027,7,1)&lt;=EDATE('Model inputs'!B20,'Model inputs'!B18-1*1))="",FALSE,AND('Model inputs'!B20&lt;=DATE(2027,7,1),DATE(2027,7,1)&lt;=EDATE('Model inputs'!B20,'Model inputs'!B18-1*1))),'Model inputs'!U26,"")="",0,IF(IF(AND('Model inputs'!B20&lt;=DATE(2027,7,1),DATE(2027,7,1)&lt;=EDATE('Model inputs'!B20,'Model inputs'!B18-1*1))="",FALSE,AND('Model inputs'!B20&lt;=DATE(2027,7,1),DATE(2027,7,1)&lt;=EDATE('Model inputs'!B20,'Model inputs'!B18-1*1))),'Model inputs'!U26,"")),IF(IF(IF(AND('Model inputs'!B20&lt;=DATE(2027,8,1),DATE(2027,8,1)&lt;=EDATE('Model inputs'!B20,'Model inputs'!B18-1*1))="",FALSE,AND('Model inputs'!B20&lt;=DATE(2027,8,1),DATE(2027,8,1)&lt;=EDATE('Model inputs'!B20,'Model inputs'!B18-1*1))),'Model inputs'!V26,"")="",0,IF(IF(AND('Model inputs'!B20&lt;=DATE(2027,8,1),DATE(2027,8,1)&lt;=EDATE('Model inputs'!B20,'Model inputs'!B18-1*1))="",FALSE,AND('Model inputs'!B20&lt;=DATE(2027,8,1),DATE(2027,8,1)&lt;=EDATE('Model inputs'!B20,'Model inputs'!B18-1*1))),'Model inputs'!V26,"")),IF(IF(IF(AND('Model inputs'!B20&lt;=DATE(2027,9,1),DATE(2027,9,1)&lt;=EDATE('Model inputs'!B20,'Model inputs'!B18-1*1))="",FALSE,AND('Model inputs'!B20&lt;=DATE(2027,9,1),DATE(2027,9,1)&lt;=EDATE('Model inputs'!B20,'Model inputs'!B18-1*1))),'Model inputs'!W26,"")="",0,IF(IF(AND('Model inputs'!B20&lt;=DATE(2027,9,1),DATE(2027,9,1)&lt;=EDATE('Model inputs'!B20,'Model inputs'!B18-1*1))="",FALSE,AND('Model inputs'!B20&lt;=DATE(2027,9,1),DATE(2027,9,1)&lt;=EDATE('Model inputs'!B20,'Model inputs'!B18-1*1))),'Model inputs'!W26,"")),IF(IF(IF(AND('Model inputs'!B20&lt;=DATE(2027,10,1),DATE(2027,10,1)&lt;=EDATE('Model inputs'!B20,'Model inputs'!B18-1*1))="",FALSE,AND('Model inputs'!B20&lt;=DATE(2027,10,1),DATE(2027,10,1)&lt;=EDATE('Model inputs'!B20,'Model inputs'!B18-1*1))),'Model inputs'!X26,"")="",0,IF(IF(AND('Model inputs'!B20&lt;=DATE(2027,10,1),DATE(2027,10,1)&lt;=EDATE('Model inputs'!B20,'Model inputs'!B18-1*1))="",FALSE,AND('Model inputs'!B20&lt;=DATE(2027,10,1),DATE(2027,10,1)&lt;=EDATE('Model inputs'!B20,'Model inputs'!B18-1*1))),'Model inputs'!X26,"")),IF(IF(IF(AND('Model inputs'!B20&lt;=DATE(2027,11,1),DATE(2027,11,1)&lt;=EDATE('Model inputs'!B20,'Model inputs'!B18-1*1))="",FALSE,AND('Model inputs'!B20&lt;=DATE(2027,11,1),DATE(2027,11,1)&lt;=EDATE('Model inputs'!B20,'Model inputs'!B18-1*1))),'Model inputs'!Y26,"")="",0,IF(IF(AND('Model inputs'!B20&lt;=DATE(2027,11,1),DATE(2027,11,1)&lt;=EDATE('Model inputs'!B20,'Model inputs'!B18-1*1))="",FALSE,AND('Model inputs'!B20&lt;=DATE(2027,11,1),DATE(2027,11,1)&lt;=EDATE('Model inputs'!B20,'Model inputs'!B18-1*1))),'Model inputs'!Y26,"")),IF(IF(IF(AND('Model inputs'!B20&lt;=DATE(2027,12,1),DATE(2027,12,1)&lt;=EDATE('Model inputs'!B20,'Model inputs'!B18-1*1))="",FALSE,AND('Model inputs'!B20&lt;=DATE(2027,12,1),DATE(2027,12,1)&lt;=EDATE('Model inputs'!B20,'Model inputs'!B18-1*1))),'Model inputs'!Z26,"")="",0,IF(IF(AND('Model inputs'!B20&lt;=DATE(2027,12,1),DATE(2027,12,1)&lt;=EDATE('Model inputs'!B20,'Model inputs'!B18-1*1))="",FALSE,AND('Model inputs'!B20&lt;=DATE(2027,12,1),DATE(2027,12,1)&lt;=EDATE('Model inputs'!B20,'Model inputs'!B18-1*1))),'Model inputs'!Z26,"")))</f>
      </c>
    </row>
    <row r="307">
      <c r="A307" t="inlineStr" s="14">
        <is>
          <t xml:space="preserve">Calculation</t>
        </is>
      </c>
      <c r="B307" s="6">
        <f>SUM(IF(IF(IF(AND('Model inputs'!B21&lt;=DATE(2026,1,1),DATE(2026,1,1)&lt;=EDATE('Model inputs'!B21,'Model inputs'!B19-1*1))="",FALSE,AND('Model inputs'!B21&lt;=DATE(2026,1,1),DATE(2026,1,1)&lt;=EDATE('Model inputs'!B21,'Model inputs'!B19-1*1))),'Model inputs'!C27,"")="",0,IF(IF(AND('Model inputs'!B21&lt;=DATE(2026,1,1),DATE(2026,1,1)&lt;=EDATE('Model inputs'!B21,'Model inputs'!B19-1*1))="",FALSE,AND('Model inputs'!B21&lt;=DATE(2026,1,1),DATE(2026,1,1)&lt;=EDATE('Model inputs'!B21,'Model inputs'!B19-1*1))),'Model inputs'!C27,"")),IF(IF(IF(AND('Model inputs'!B21&lt;=DATE(2026,2,1),DATE(2026,2,1)&lt;=EDATE('Model inputs'!B21,'Model inputs'!B19-1*1))="",FALSE,AND('Model inputs'!B21&lt;=DATE(2026,2,1),DATE(2026,2,1)&lt;=EDATE('Model inputs'!B21,'Model inputs'!B19-1*1))),'Model inputs'!D27,"")="",0,IF(IF(AND('Model inputs'!B21&lt;=DATE(2026,2,1),DATE(2026,2,1)&lt;=EDATE('Model inputs'!B21,'Model inputs'!B19-1*1))="",FALSE,AND('Model inputs'!B21&lt;=DATE(2026,2,1),DATE(2026,2,1)&lt;=EDATE('Model inputs'!B21,'Model inputs'!B19-1*1))),'Model inputs'!D27,"")),IF(IF(IF(AND('Model inputs'!B21&lt;=DATE(2026,3,1),DATE(2026,3,1)&lt;=EDATE('Model inputs'!B21,'Model inputs'!B19-1*1))="",FALSE,AND('Model inputs'!B21&lt;=DATE(2026,3,1),DATE(2026,3,1)&lt;=EDATE('Model inputs'!B21,'Model inputs'!B19-1*1))),'Model inputs'!E27,"")="",0,IF(IF(AND('Model inputs'!B21&lt;=DATE(2026,3,1),DATE(2026,3,1)&lt;=EDATE('Model inputs'!B21,'Model inputs'!B19-1*1))="",FALSE,AND('Model inputs'!B21&lt;=DATE(2026,3,1),DATE(2026,3,1)&lt;=EDATE('Model inputs'!B21,'Model inputs'!B19-1*1))),'Model inputs'!E27,"")),IF(IF(IF(AND('Model inputs'!B21&lt;=DATE(2026,4,1),DATE(2026,4,1)&lt;=EDATE('Model inputs'!B21,'Model inputs'!B19-1*1))="",FALSE,AND('Model inputs'!B21&lt;=DATE(2026,4,1),DATE(2026,4,1)&lt;=EDATE('Model inputs'!B21,'Model inputs'!B19-1*1))),'Model inputs'!F27,"")="",0,IF(IF(AND('Model inputs'!B21&lt;=DATE(2026,4,1),DATE(2026,4,1)&lt;=EDATE('Model inputs'!B21,'Model inputs'!B19-1*1))="",FALSE,AND('Model inputs'!B21&lt;=DATE(2026,4,1),DATE(2026,4,1)&lt;=EDATE('Model inputs'!B21,'Model inputs'!B19-1*1))),'Model inputs'!F27,"")),IF(IF(IF(AND('Model inputs'!B21&lt;=DATE(2026,5,1),DATE(2026,5,1)&lt;=EDATE('Model inputs'!B21,'Model inputs'!B19-1*1))="",FALSE,AND('Model inputs'!B21&lt;=DATE(2026,5,1),DATE(2026,5,1)&lt;=EDATE('Model inputs'!B21,'Model inputs'!B19-1*1))),'Model inputs'!G27,"")="",0,IF(IF(AND('Model inputs'!B21&lt;=DATE(2026,5,1),DATE(2026,5,1)&lt;=EDATE('Model inputs'!B21,'Model inputs'!B19-1*1))="",FALSE,AND('Model inputs'!B21&lt;=DATE(2026,5,1),DATE(2026,5,1)&lt;=EDATE('Model inputs'!B21,'Model inputs'!B19-1*1))),'Model inputs'!G27,"")),IF(IF(IF(AND('Model inputs'!B21&lt;=DATE(2026,6,1),DATE(2026,6,1)&lt;=EDATE('Model inputs'!B21,'Model inputs'!B19-1*1))="",FALSE,AND('Model inputs'!B21&lt;=DATE(2026,6,1),DATE(2026,6,1)&lt;=EDATE('Model inputs'!B21,'Model inputs'!B19-1*1))),'Model inputs'!H27,"")="",0,IF(IF(AND('Model inputs'!B21&lt;=DATE(2026,6,1),DATE(2026,6,1)&lt;=EDATE('Model inputs'!B21,'Model inputs'!B19-1*1))="",FALSE,AND('Model inputs'!B21&lt;=DATE(2026,6,1),DATE(2026,6,1)&lt;=EDATE('Model inputs'!B21,'Model inputs'!B19-1*1))),'Model inputs'!H27,"")),IF(IF(IF(AND('Model inputs'!B21&lt;=DATE(2026,7,1),DATE(2026,7,1)&lt;=EDATE('Model inputs'!B21,'Model inputs'!B19-1*1))="",FALSE,AND('Model inputs'!B21&lt;=DATE(2026,7,1),DATE(2026,7,1)&lt;=EDATE('Model inputs'!B21,'Model inputs'!B19-1*1))),'Model inputs'!I27,"")="",0,IF(IF(AND('Model inputs'!B21&lt;=DATE(2026,7,1),DATE(2026,7,1)&lt;=EDATE('Model inputs'!B21,'Model inputs'!B19-1*1))="",FALSE,AND('Model inputs'!B21&lt;=DATE(2026,7,1),DATE(2026,7,1)&lt;=EDATE('Model inputs'!B21,'Model inputs'!B19-1*1))),'Model inputs'!I27,"")),IF(IF(IF(AND('Model inputs'!B21&lt;=DATE(2026,8,1),DATE(2026,8,1)&lt;=EDATE('Model inputs'!B21,'Model inputs'!B19-1*1))="",FALSE,AND('Model inputs'!B21&lt;=DATE(2026,8,1),DATE(2026,8,1)&lt;=EDATE('Model inputs'!B21,'Model inputs'!B19-1*1))),'Model inputs'!J27,"")="",0,IF(IF(AND('Model inputs'!B21&lt;=DATE(2026,8,1),DATE(2026,8,1)&lt;=EDATE('Model inputs'!B21,'Model inputs'!B19-1*1))="",FALSE,AND('Model inputs'!B21&lt;=DATE(2026,8,1),DATE(2026,8,1)&lt;=EDATE('Model inputs'!B21,'Model inputs'!B19-1*1))),'Model inputs'!J27,"")),IF(IF(IF(AND('Model inputs'!B21&lt;=DATE(2026,9,1),DATE(2026,9,1)&lt;=EDATE('Model inputs'!B21,'Model inputs'!B19-1*1))="",FALSE,AND('Model inputs'!B21&lt;=DATE(2026,9,1),DATE(2026,9,1)&lt;=EDATE('Model inputs'!B21,'Model inputs'!B19-1*1))),'Model inputs'!K27,"")="",0,IF(IF(AND('Model inputs'!B21&lt;=DATE(2026,9,1),DATE(2026,9,1)&lt;=EDATE('Model inputs'!B21,'Model inputs'!B19-1*1))="",FALSE,AND('Model inputs'!B21&lt;=DATE(2026,9,1),DATE(2026,9,1)&lt;=EDATE('Model inputs'!B21,'Model inputs'!B19-1*1))),'Model inputs'!K27,"")),IF(IF(IF(AND('Model inputs'!B21&lt;=DATE(2026,10,1),DATE(2026,10,1)&lt;=EDATE('Model inputs'!B21,'Model inputs'!B19-1*1))="",FALSE,AND('Model inputs'!B21&lt;=DATE(2026,10,1),DATE(2026,10,1)&lt;=EDATE('Model inputs'!B21,'Model inputs'!B19-1*1))),'Model inputs'!L27,"")="",0,IF(IF(AND('Model inputs'!B21&lt;=DATE(2026,10,1),DATE(2026,10,1)&lt;=EDATE('Model inputs'!B21,'Model inputs'!B19-1*1))="",FALSE,AND('Model inputs'!B21&lt;=DATE(2026,10,1),DATE(2026,10,1)&lt;=EDATE('Model inputs'!B21,'Model inputs'!B19-1*1))),'Model inputs'!L27,"")),IF(IF(IF(AND('Model inputs'!B21&lt;=DATE(2026,11,1),DATE(2026,11,1)&lt;=EDATE('Model inputs'!B21,'Model inputs'!B19-1*1))="",FALSE,AND('Model inputs'!B21&lt;=DATE(2026,11,1),DATE(2026,11,1)&lt;=EDATE('Model inputs'!B21,'Model inputs'!B19-1*1))),'Model inputs'!M27,"")="",0,IF(IF(AND('Model inputs'!B21&lt;=DATE(2026,11,1),DATE(2026,11,1)&lt;=EDATE('Model inputs'!B21,'Model inputs'!B19-1*1))="",FALSE,AND('Model inputs'!B21&lt;=DATE(2026,11,1),DATE(2026,11,1)&lt;=EDATE('Model inputs'!B21,'Model inputs'!B19-1*1))),'Model inputs'!M27,"")),IF(IF(IF(AND('Model inputs'!B21&lt;=DATE(2026,12,1),DATE(2026,12,1)&lt;=EDATE('Model inputs'!B21,'Model inputs'!B19-1*1))="",FALSE,AND('Model inputs'!B21&lt;=DATE(2026,12,1),DATE(2026,12,1)&lt;=EDATE('Model inputs'!B21,'Model inputs'!B19-1*1))),'Model inputs'!N27,"")="",0,IF(IF(AND('Model inputs'!B21&lt;=DATE(2026,12,1),DATE(2026,12,1)&lt;=EDATE('Model inputs'!B21,'Model inputs'!B19-1*1))="",FALSE,AND('Model inputs'!B21&lt;=DATE(2026,12,1),DATE(2026,12,1)&lt;=EDATE('Model inputs'!B21,'Model inputs'!B19-1*1))),'Model inputs'!N27,"")),IF(IF(IF(AND('Model inputs'!B21&lt;=DATE(2027,1,1),DATE(2027,1,1)&lt;=EDATE('Model inputs'!B21,'Model inputs'!B19-1*1))="",FALSE,AND('Model inputs'!B21&lt;=DATE(2027,1,1),DATE(2027,1,1)&lt;=EDATE('Model inputs'!B21,'Model inputs'!B19-1*1))),'Model inputs'!O27,"")="",0,IF(IF(AND('Model inputs'!B21&lt;=DATE(2027,1,1),DATE(2027,1,1)&lt;=EDATE('Model inputs'!B21,'Model inputs'!B19-1*1))="",FALSE,AND('Model inputs'!B21&lt;=DATE(2027,1,1),DATE(2027,1,1)&lt;=EDATE('Model inputs'!B21,'Model inputs'!B19-1*1))),'Model inputs'!O27,"")),IF(IF(IF(AND('Model inputs'!B21&lt;=DATE(2027,2,1),DATE(2027,2,1)&lt;=EDATE('Model inputs'!B21,'Model inputs'!B19-1*1))="",FALSE,AND('Model inputs'!B21&lt;=DATE(2027,2,1),DATE(2027,2,1)&lt;=EDATE('Model inputs'!B21,'Model inputs'!B19-1*1))),'Model inputs'!P27,"")="",0,IF(IF(AND('Model inputs'!B21&lt;=DATE(2027,2,1),DATE(2027,2,1)&lt;=EDATE('Model inputs'!B21,'Model inputs'!B19-1*1))="",FALSE,AND('Model inputs'!B21&lt;=DATE(2027,2,1),DATE(2027,2,1)&lt;=EDATE('Model inputs'!B21,'Model inputs'!B19-1*1))),'Model inputs'!P27,"")),IF(IF(IF(AND('Model inputs'!B21&lt;=DATE(2027,3,1),DATE(2027,3,1)&lt;=EDATE('Model inputs'!B21,'Model inputs'!B19-1*1))="",FALSE,AND('Model inputs'!B21&lt;=DATE(2027,3,1),DATE(2027,3,1)&lt;=EDATE('Model inputs'!B21,'Model inputs'!B19-1*1))),'Model inputs'!Q27,"")="",0,IF(IF(AND('Model inputs'!B21&lt;=DATE(2027,3,1),DATE(2027,3,1)&lt;=EDATE('Model inputs'!B21,'Model inputs'!B19-1*1))="",FALSE,AND('Model inputs'!B21&lt;=DATE(2027,3,1),DATE(2027,3,1)&lt;=EDATE('Model inputs'!B21,'Model inputs'!B19-1*1))),'Model inputs'!Q27,"")),IF(IF(IF(AND('Model inputs'!B21&lt;=DATE(2027,4,1),DATE(2027,4,1)&lt;=EDATE('Model inputs'!B21,'Model inputs'!B19-1*1))="",FALSE,AND('Model inputs'!B21&lt;=DATE(2027,4,1),DATE(2027,4,1)&lt;=EDATE('Model inputs'!B21,'Model inputs'!B19-1*1))),'Model inputs'!R27,"")="",0,IF(IF(AND('Model inputs'!B21&lt;=DATE(2027,4,1),DATE(2027,4,1)&lt;=EDATE('Model inputs'!B21,'Model inputs'!B19-1*1))="",FALSE,AND('Model inputs'!B21&lt;=DATE(2027,4,1),DATE(2027,4,1)&lt;=EDATE('Model inputs'!B21,'Model inputs'!B19-1*1))),'Model inputs'!R27,"")))</f>
      </c>
    </row>
    <row r="308">
      <c r="A308" t="inlineStr" s="14">
        <is>
          <t xml:space="preserve">Calculation</t>
        </is>
      </c>
      <c r="B308" s="6">
        <f>SUM(IF(IF(IF(AND('Model inputs'!B21&lt;=DATE(2027,5,1),DATE(2027,5,1)&lt;=EDATE('Model inputs'!B21,'Model inputs'!B19-1*1))="",FALSE,AND('Model inputs'!B21&lt;=DATE(2027,5,1),DATE(2027,5,1)&lt;=EDATE('Model inputs'!B21,'Model inputs'!B19-1*1))),'Model inputs'!S27,"")="",0,IF(IF(AND('Model inputs'!B21&lt;=DATE(2027,5,1),DATE(2027,5,1)&lt;=EDATE('Model inputs'!B21,'Model inputs'!B19-1*1))="",FALSE,AND('Model inputs'!B21&lt;=DATE(2027,5,1),DATE(2027,5,1)&lt;=EDATE('Model inputs'!B21,'Model inputs'!B19-1*1))),'Model inputs'!S27,"")),IF(IF(IF(AND('Model inputs'!B21&lt;=DATE(2027,6,1),DATE(2027,6,1)&lt;=EDATE('Model inputs'!B21,'Model inputs'!B19-1*1))="",FALSE,AND('Model inputs'!B21&lt;=DATE(2027,6,1),DATE(2027,6,1)&lt;=EDATE('Model inputs'!B21,'Model inputs'!B19-1*1))),'Model inputs'!T27,"")="",0,IF(IF(AND('Model inputs'!B21&lt;=DATE(2027,6,1),DATE(2027,6,1)&lt;=EDATE('Model inputs'!B21,'Model inputs'!B19-1*1))="",FALSE,AND('Model inputs'!B21&lt;=DATE(2027,6,1),DATE(2027,6,1)&lt;=EDATE('Model inputs'!B21,'Model inputs'!B19-1*1))),'Model inputs'!T27,"")),IF(IF(IF(AND('Model inputs'!B21&lt;=DATE(2027,7,1),DATE(2027,7,1)&lt;=EDATE('Model inputs'!B21,'Model inputs'!B19-1*1))="",FALSE,AND('Model inputs'!B21&lt;=DATE(2027,7,1),DATE(2027,7,1)&lt;=EDATE('Model inputs'!B21,'Model inputs'!B19-1*1))),'Model inputs'!U27,"")="",0,IF(IF(AND('Model inputs'!B21&lt;=DATE(2027,7,1),DATE(2027,7,1)&lt;=EDATE('Model inputs'!B21,'Model inputs'!B19-1*1))="",FALSE,AND('Model inputs'!B21&lt;=DATE(2027,7,1),DATE(2027,7,1)&lt;=EDATE('Model inputs'!B21,'Model inputs'!B19-1*1))),'Model inputs'!U27,"")),IF(IF(IF(AND('Model inputs'!B21&lt;=DATE(2027,8,1),DATE(2027,8,1)&lt;=EDATE('Model inputs'!B21,'Model inputs'!B19-1*1))="",FALSE,AND('Model inputs'!B21&lt;=DATE(2027,8,1),DATE(2027,8,1)&lt;=EDATE('Model inputs'!B21,'Model inputs'!B19-1*1))),'Model inputs'!V27,"")="",0,IF(IF(AND('Model inputs'!B21&lt;=DATE(2027,8,1),DATE(2027,8,1)&lt;=EDATE('Model inputs'!B21,'Model inputs'!B19-1*1))="",FALSE,AND('Model inputs'!B21&lt;=DATE(2027,8,1),DATE(2027,8,1)&lt;=EDATE('Model inputs'!B21,'Model inputs'!B19-1*1))),'Model inputs'!V27,"")),IF(IF(IF(AND('Model inputs'!B21&lt;=DATE(2027,9,1),DATE(2027,9,1)&lt;=EDATE('Model inputs'!B21,'Model inputs'!B19-1*1))="",FALSE,AND('Model inputs'!B21&lt;=DATE(2027,9,1),DATE(2027,9,1)&lt;=EDATE('Model inputs'!B21,'Model inputs'!B19-1*1))),'Model inputs'!W27,"")="",0,IF(IF(AND('Model inputs'!B21&lt;=DATE(2027,9,1),DATE(2027,9,1)&lt;=EDATE('Model inputs'!B21,'Model inputs'!B19-1*1))="",FALSE,AND('Model inputs'!B21&lt;=DATE(2027,9,1),DATE(2027,9,1)&lt;=EDATE('Model inputs'!B21,'Model inputs'!B19-1*1))),'Model inputs'!W27,"")),IF(IF(IF(AND('Model inputs'!B21&lt;=DATE(2027,10,1),DATE(2027,10,1)&lt;=EDATE('Model inputs'!B21,'Model inputs'!B19-1*1))="",FALSE,AND('Model inputs'!B21&lt;=DATE(2027,10,1),DATE(2027,10,1)&lt;=EDATE('Model inputs'!B21,'Model inputs'!B19-1*1))),'Model inputs'!X27,"")="",0,IF(IF(AND('Model inputs'!B21&lt;=DATE(2027,10,1),DATE(2027,10,1)&lt;=EDATE('Model inputs'!B21,'Model inputs'!B19-1*1))="",FALSE,AND('Model inputs'!B21&lt;=DATE(2027,10,1),DATE(2027,10,1)&lt;=EDATE('Model inputs'!B21,'Model inputs'!B19-1*1))),'Model inputs'!X27,"")),IF(IF(IF(AND('Model inputs'!B21&lt;=DATE(2027,11,1),DATE(2027,11,1)&lt;=EDATE('Model inputs'!B21,'Model inputs'!B19-1*1))="",FALSE,AND('Model inputs'!B21&lt;=DATE(2027,11,1),DATE(2027,11,1)&lt;=EDATE('Model inputs'!B21,'Model inputs'!B19-1*1))),'Model inputs'!Y27,"")="",0,IF(IF(AND('Model inputs'!B21&lt;=DATE(2027,11,1),DATE(2027,11,1)&lt;=EDATE('Model inputs'!B21,'Model inputs'!B19-1*1))="",FALSE,AND('Model inputs'!B21&lt;=DATE(2027,11,1),DATE(2027,11,1)&lt;=EDATE('Model inputs'!B21,'Model inputs'!B19-1*1))),'Model inputs'!Y27,"")),IF(IF(IF(AND('Model inputs'!B21&lt;=DATE(2027,12,1),DATE(2027,12,1)&lt;=EDATE('Model inputs'!B21,'Model inputs'!B19-1*1))="",FALSE,AND('Model inputs'!B21&lt;=DATE(2027,12,1),DATE(2027,12,1)&lt;=EDATE('Model inputs'!B21,'Model inputs'!B19-1*1))),'Model inputs'!Z27,"")="",0,IF(IF(AND('Model inputs'!B21&lt;=DATE(2027,12,1),DATE(2027,12,1)&lt;=EDATE('Model inputs'!B21,'Model inputs'!B19-1*1))="",FALSE,AND('Model inputs'!B21&lt;=DATE(2027,12,1),DATE(2027,12,1)&lt;=EDATE('Model inputs'!B21,'Model inputs'!B19-1*1))),'Model inputs'!Z27,"")))</f>
      </c>
    </row>
    <row r="309">
      <c r="A309" t="inlineStr" s="14">
        <is>
          <t xml:space="preserve">Calculation</t>
        </is>
      </c>
      <c r="B309" s="8">
        <f>SUM(IF(IF(IF(AND('Model inputs'!B20&lt;=DATE(2026,1,1),DATE(2026,1,1)&lt;=EDATE('Model inputs'!B20,'Model inputs'!B18-1*1))="",FALSE,AND('Model inputs'!B20&lt;=DATE(2026,1,1),DATE(2026,1,1)&lt;=EDATE('Model inputs'!B20,'Model inputs'!B18-1*1))),'Model inputs'!C24,"")="",0,IF(IF(AND('Model inputs'!B20&lt;=DATE(2026,1,1),DATE(2026,1,1)&lt;=EDATE('Model inputs'!B20,'Model inputs'!B18-1*1))="",FALSE,AND('Model inputs'!B20&lt;=DATE(2026,1,1),DATE(2026,1,1)&lt;=EDATE('Model inputs'!B20,'Model inputs'!B18-1*1))),'Model inputs'!C24,"")),IF(IF(IF(AND('Model inputs'!B20&lt;=DATE(2026,2,1),DATE(2026,2,1)&lt;=EDATE('Model inputs'!B20,'Model inputs'!B18-1*1))="",FALSE,AND('Model inputs'!B20&lt;=DATE(2026,2,1),DATE(2026,2,1)&lt;=EDATE('Model inputs'!B20,'Model inputs'!B18-1*1))),'Model inputs'!D24,"")="",0,IF(IF(AND('Model inputs'!B20&lt;=DATE(2026,2,1),DATE(2026,2,1)&lt;=EDATE('Model inputs'!B20,'Model inputs'!B18-1*1))="",FALSE,AND('Model inputs'!B20&lt;=DATE(2026,2,1),DATE(2026,2,1)&lt;=EDATE('Model inputs'!B20,'Model inputs'!B18-1*1))),'Model inputs'!D24,"")),IF(IF(IF(AND('Model inputs'!B20&lt;=DATE(2026,3,1),DATE(2026,3,1)&lt;=EDATE('Model inputs'!B20,'Model inputs'!B18-1*1))="",FALSE,AND('Model inputs'!B20&lt;=DATE(2026,3,1),DATE(2026,3,1)&lt;=EDATE('Model inputs'!B20,'Model inputs'!B18-1*1))),'Model inputs'!E24,"")="",0,IF(IF(AND('Model inputs'!B20&lt;=DATE(2026,3,1),DATE(2026,3,1)&lt;=EDATE('Model inputs'!B20,'Model inputs'!B18-1*1))="",FALSE,AND('Model inputs'!B20&lt;=DATE(2026,3,1),DATE(2026,3,1)&lt;=EDATE('Model inputs'!B20,'Model inputs'!B18-1*1))),'Model inputs'!E24,"")),IF(IF(IF(AND('Model inputs'!B20&lt;=DATE(2026,4,1),DATE(2026,4,1)&lt;=EDATE('Model inputs'!B20,'Model inputs'!B18-1*1))="",FALSE,AND('Model inputs'!B20&lt;=DATE(2026,4,1),DATE(2026,4,1)&lt;=EDATE('Model inputs'!B20,'Model inputs'!B18-1*1))),'Model inputs'!F24,"")="",0,IF(IF(AND('Model inputs'!B20&lt;=DATE(2026,4,1),DATE(2026,4,1)&lt;=EDATE('Model inputs'!B20,'Model inputs'!B18-1*1))="",FALSE,AND('Model inputs'!B20&lt;=DATE(2026,4,1),DATE(2026,4,1)&lt;=EDATE('Model inputs'!B20,'Model inputs'!B18-1*1))),'Model inputs'!F24,"")),IF(IF(IF(AND('Model inputs'!B20&lt;=DATE(2026,5,1),DATE(2026,5,1)&lt;=EDATE('Model inputs'!B20,'Model inputs'!B18-1*1))="",FALSE,AND('Model inputs'!B20&lt;=DATE(2026,5,1),DATE(2026,5,1)&lt;=EDATE('Model inputs'!B20,'Model inputs'!B18-1*1))),'Model inputs'!G24,"")="",0,IF(IF(AND('Model inputs'!B20&lt;=DATE(2026,5,1),DATE(2026,5,1)&lt;=EDATE('Model inputs'!B20,'Model inputs'!B18-1*1))="",FALSE,AND('Model inputs'!B20&lt;=DATE(2026,5,1),DATE(2026,5,1)&lt;=EDATE('Model inputs'!B20,'Model inputs'!B18-1*1))),'Model inputs'!G24,"")),IF(IF(IF(AND('Model inputs'!B20&lt;=DATE(2026,6,1),DATE(2026,6,1)&lt;=EDATE('Model inputs'!B20,'Model inputs'!B18-1*1))="",FALSE,AND('Model inputs'!B20&lt;=DATE(2026,6,1),DATE(2026,6,1)&lt;=EDATE('Model inputs'!B20,'Model inputs'!B18-1*1))),'Model inputs'!H24,"")="",0,IF(IF(AND('Model inputs'!B20&lt;=DATE(2026,6,1),DATE(2026,6,1)&lt;=EDATE('Model inputs'!B20,'Model inputs'!B18-1*1))="",FALSE,AND('Model inputs'!B20&lt;=DATE(2026,6,1),DATE(2026,6,1)&lt;=EDATE('Model inputs'!B20,'Model inputs'!B18-1*1))),'Model inputs'!H24,"")),IF(IF(IF(AND('Model inputs'!B20&lt;=DATE(2026,7,1),DATE(2026,7,1)&lt;=EDATE('Model inputs'!B20,'Model inputs'!B18-1*1))="",FALSE,AND('Model inputs'!B20&lt;=DATE(2026,7,1),DATE(2026,7,1)&lt;=EDATE('Model inputs'!B20,'Model inputs'!B18-1*1))),'Model inputs'!I24,"")="",0,IF(IF(AND('Model inputs'!B20&lt;=DATE(2026,7,1),DATE(2026,7,1)&lt;=EDATE('Model inputs'!B20,'Model inputs'!B18-1*1))="",FALSE,AND('Model inputs'!B20&lt;=DATE(2026,7,1),DATE(2026,7,1)&lt;=EDATE('Model inputs'!B20,'Model inputs'!B18-1*1))),'Model inputs'!I24,"")),IF(IF(IF(AND('Model inputs'!B20&lt;=DATE(2026,8,1),DATE(2026,8,1)&lt;=EDATE('Model inputs'!B20,'Model inputs'!B18-1*1))="",FALSE,AND('Model inputs'!B20&lt;=DATE(2026,8,1),DATE(2026,8,1)&lt;=EDATE('Model inputs'!B20,'Model inputs'!B18-1*1))),'Model inputs'!J24,"")="",0,IF(IF(AND('Model inputs'!B20&lt;=DATE(2026,8,1),DATE(2026,8,1)&lt;=EDATE('Model inputs'!B20,'Model inputs'!B18-1*1))="",FALSE,AND('Model inputs'!B20&lt;=DATE(2026,8,1),DATE(2026,8,1)&lt;=EDATE('Model inputs'!B20,'Model inputs'!B18-1*1))),'Model inputs'!J24,"")),IF(IF(IF(AND('Model inputs'!B20&lt;=DATE(2026,9,1),DATE(2026,9,1)&lt;=EDATE('Model inputs'!B20,'Model inputs'!B18-1*1))="",FALSE,AND('Model inputs'!B20&lt;=DATE(2026,9,1),DATE(2026,9,1)&lt;=EDATE('Model inputs'!B20,'Model inputs'!B18-1*1))),'Model inputs'!K24,"")="",0,IF(IF(AND('Model inputs'!B20&lt;=DATE(2026,9,1),DATE(2026,9,1)&lt;=EDATE('Model inputs'!B20,'Model inputs'!B18-1*1))="",FALSE,AND('Model inputs'!B20&lt;=DATE(2026,9,1),DATE(2026,9,1)&lt;=EDATE('Model inputs'!B20,'Model inputs'!B18-1*1))),'Model inputs'!K24,"")),IF(IF(IF(AND('Model inputs'!B20&lt;=DATE(2026,10,1),DATE(2026,10,1)&lt;=EDATE('Model inputs'!B20,'Model inputs'!B18-1*1))="",FALSE,AND('Model inputs'!B20&lt;=DATE(2026,10,1),DATE(2026,10,1)&lt;=EDATE('Model inputs'!B20,'Model inputs'!B18-1*1))),'Model inputs'!L24,"")="",0,IF(IF(AND('Model inputs'!B20&lt;=DATE(2026,10,1),DATE(2026,10,1)&lt;=EDATE('Model inputs'!B20,'Model inputs'!B18-1*1))="",FALSE,AND('Model inputs'!B20&lt;=DATE(2026,10,1),DATE(2026,10,1)&lt;=EDATE('Model inputs'!B20,'Model inputs'!B18-1*1))),'Model inputs'!L24,"")),IF(IF(IF(AND('Model inputs'!B20&lt;=DATE(2026,11,1),DATE(2026,11,1)&lt;=EDATE('Model inputs'!B20,'Model inputs'!B18-1*1))="",FALSE,AND('Model inputs'!B20&lt;=DATE(2026,11,1),DATE(2026,11,1)&lt;=EDATE('Model inputs'!B20,'Model inputs'!B18-1*1))),'Model inputs'!M24,"")="",0,IF(IF(AND('Model inputs'!B20&lt;=DATE(2026,11,1),DATE(2026,11,1)&lt;=EDATE('Model inputs'!B20,'Model inputs'!B18-1*1))="",FALSE,AND('Model inputs'!B20&lt;=DATE(2026,11,1),DATE(2026,11,1)&lt;=EDATE('Model inputs'!B20,'Model inputs'!B18-1*1))),'Model inputs'!M24,"")),IF(IF(IF(AND('Model inputs'!B20&lt;=DATE(2026,12,1),DATE(2026,12,1)&lt;=EDATE('Model inputs'!B20,'Model inputs'!B18-1*1))="",FALSE,AND('Model inputs'!B20&lt;=DATE(2026,12,1),DATE(2026,12,1)&lt;=EDATE('Model inputs'!B20,'Model inputs'!B18-1*1))),'Model inputs'!N24,"")="",0,IF(IF(AND('Model inputs'!B20&lt;=DATE(2026,12,1),DATE(2026,12,1)&lt;=EDATE('Model inputs'!B20,'Model inputs'!B18-1*1))="",FALSE,AND('Model inputs'!B20&lt;=DATE(2026,12,1),DATE(2026,12,1)&lt;=EDATE('Model inputs'!B20,'Model inputs'!B18-1*1))),'Model inputs'!N24,"")),IF(IF(IF(AND('Model inputs'!B20&lt;=DATE(2027,1,1),DATE(2027,1,1)&lt;=EDATE('Model inputs'!B20,'Model inputs'!B18-1*1))="",FALSE,AND('Model inputs'!B20&lt;=DATE(2027,1,1),DATE(2027,1,1)&lt;=EDATE('Model inputs'!B20,'Model inputs'!B18-1*1))),'Model inputs'!O24,"")="",0,IF(IF(AND('Model inputs'!B20&lt;=DATE(2027,1,1),DATE(2027,1,1)&lt;=EDATE('Model inputs'!B20,'Model inputs'!B18-1*1))="",FALSE,AND('Model inputs'!B20&lt;=DATE(2027,1,1),DATE(2027,1,1)&lt;=EDATE('Model inputs'!B20,'Model inputs'!B18-1*1))),'Model inputs'!O24,"")),IF(IF(IF(AND('Model inputs'!B20&lt;=DATE(2027,2,1),DATE(2027,2,1)&lt;=EDATE('Model inputs'!B20,'Model inputs'!B18-1*1))="",FALSE,AND('Model inputs'!B20&lt;=DATE(2027,2,1),DATE(2027,2,1)&lt;=EDATE('Model inputs'!B20,'Model inputs'!B18-1*1))),'Model inputs'!P24,"")="",0,IF(IF(AND('Model inputs'!B20&lt;=DATE(2027,2,1),DATE(2027,2,1)&lt;=EDATE('Model inputs'!B20,'Model inputs'!B18-1*1))="",FALSE,AND('Model inputs'!B20&lt;=DATE(2027,2,1),DATE(2027,2,1)&lt;=EDATE('Model inputs'!B20,'Model inputs'!B18-1*1))),'Model inputs'!P24,"")),IF(IF(IF(AND('Model inputs'!B20&lt;=DATE(2027,3,1),DATE(2027,3,1)&lt;=EDATE('Model inputs'!B20,'Model inputs'!B18-1*1))="",FALSE,AND('Model inputs'!B20&lt;=DATE(2027,3,1),DATE(2027,3,1)&lt;=EDATE('Model inputs'!B20,'Model inputs'!B18-1*1))),'Model inputs'!Q24,"")="",0,IF(IF(AND('Model inputs'!B20&lt;=DATE(2027,3,1),DATE(2027,3,1)&lt;=EDATE('Model inputs'!B20,'Model inputs'!B18-1*1))="",FALSE,AND('Model inputs'!B20&lt;=DATE(2027,3,1),DATE(2027,3,1)&lt;=EDATE('Model inputs'!B20,'Model inputs'!B18-1*1))),'Model inputs'!Q24,"")),IF(IF(IF(AND('Model inputs'!B20&lt;=DATE(2027,4,1),DATE(2027,4,1)&lt;=EDATE('Model inputs'!B20,'Model inputs'!B18-1*1))="",FALSE,AND('Model inputs'!B20&lt;=DATE(2027,4,1),DATE(2027,4,1)&lt;=EDATE('Model inputs'!B20,'Model inputs'!B18-1*1))),'Model inputs'!R24,"")="",0,IF(IF(AND('Model inputs'!B20&lt;=DATE(2027,4,1),DATE(2027,4,1)&lt;=EDATE('Model inputs'!B20,'Model inputs'!B18-1*1))="",FALSE,AND('Model inputs'!B20&lt;=DATE(2027,4,1),DATE(2027,4,1)&lt;=EDATE('Model inputs'!B20,'Model inputs'!B18-1*1))),'Model inputs'!R24,"")))</f>
      </c>
    </row>
    <row r="310">
      <c r="A310" t="inlineStr" s="14">
        <is>
          <t xml:space="preserve">Calculation</t>
        </is>
      </c>
      <c r="B310" s="8">
        <f>SUM(IF(IF(IF(AND('Model inputs'!B20&lt;=DATE(2027,5,1),DATE(2027,5,1)&lt;=EDATE('Model inputs'!B20,'Model inputs'!B18-1*1))="",FALSE,AND('Model inputs'!B20&lt;=DATE(2027,5,1),DATE(2027,5,1)&lt;=EDATE('Model inputs'!B20,'Model inputs'!B18-1*1))),'Model inputs'!S24,"")="",0,IF(IF(AND('Model inputs'!B20&lt;=DATE(2027,5,1),DATE(2027,5,1)&lt;=EDATE('Model inputs'!B20,'Model inputs'!B18-1*1))="",FALSE,AND('Model inputs'!B20&lt;=DATE(2027,5,1),DATE(2027,5,1)&lt;=EDATE('Model inputs'!B20,'Model inputs'!B18-1*1))),'Model inputs'!S24,"")),IF(IF(IF(AND('Model inputs'!B20&lt;=DATE(2027,6,1),DATE(2027,6,1)&lt;=EDATE('Model inputs'!B20,'Model inputs'!B18-1*1))="",FALSE,AND('Model inputs'!B20&lt;=DATE(2027,6,1),DATE(2027,6,1)&lt;=EDATE('Model inputs'!B20,'Model inputs'!B18-1*1))),'Model inputs'!T24,"")="",0,IF(IF(AND('Model inputs'!B20&lt;=DATE(2027,6,1),DATE(2027,6,1)&lt;=EDATE('Model inputs'!B20,'Model inputs'!B18-1*1))="",FALSE,AND('Model inputs'!B20&lt;=DATE(2027,6,1),DATE(2027,6,1)&lt;=EDATE('Model inputs'!B20,'Model inputs'!B18-1*1))),'Model inputs'!T24,"")),IF(IF(IF(AND('Model inputs'!B20&lt;=DATE(2027,7,1),DATE(2027,7,1)&lt;=EDATE('Model inputs'!B20,'Model inputs'!B18-1*1))="",FALSE,AND('Model inputs'!B20&lt;=DATE(2027,7,1),DATE(2027,7,1)&lt;=EDATE('Model inputs'!B20,'Model inputs'!B18-1*1))),'Model inputs'!U24,"")="",0,IF(IF(AND('Model inputs'!B20&lt;=DATE(2027,7,1),DATE(2027,7,1)&lt;=EDATE('Model inputs'!B20,'Model inputs'!B18-1*1))="",FALSE,AND('Model inputs'!B20&lt;=DATE(2027,7,1),DATE(2027,7,1)&lt;=EDATE('Model inputs'!B20,'Model inputs'!B18-1*1))),'Model inputs'!U24,"")),IF(IF(IF(AND('Model inputs'!B20&lt;=DATE(2027,8,1),DATE(2027,8,1)&lt;=EDATE('Model inputs'!B20,'Model inputs'!B18-1*1))="",FALSE,AND('Model inputs'!B20&lt;=DATE(2027,8,1),DATE(2027,8,1)&lt;=EDATE('Model inputs'!B20,'Model inputs'!B18-1*1))),'Model inputs'!V24,"")="",0,IF(IF(AND('Model inputs'!B20&lt;=DATE(2027,8,1),DATE(2027,8,1)&lt;=EDATE('Model inputs'!B20,'Model inputs'!B18-1*1))="",FALSE,AND('Model inputs'!B20&lt;=DATE(2027,8,1),DATE(2027,8,1)&lt;=EDATE('Model inputs'!B20,'Model inputs'!B18-1*1))),'Model inputs'!V24,"")),IF(IF(IF(AND('Model inputs'!B20&lt;=DATE(2027,9,1),DATE(2027,9,1)&lt;=EDATE('Model inputs'!B20,'Model inputs'!B18-1*1))="",FALSE,AND('Model inputs'!B20&lt;=DATE(2027,9,1),DATE(2027,9,1)&lt;=EDATE('Model inputs'!B20,'Model inputs'!B18-1*1))),'Model inputs'!W24,"")="",0,IF(IF(AND('Model inputs'!B20&lt;=DATE(2027,9,1),DATE(2027,9,1)&lt;=EDATE('Model inputs'!B20,'Model inputs'!B18-1*1))="",FALSE,AND('Model inputs'!B20&lt;=DATE(2027,9,1),DATE(2027,9,1)&lt;=EDATE('Model inputs'!B20,'Model inputs'!B18-1*1))),'Model inputs'!W24,"")),IF(IF(IF(AND('Model inputs'!B20&lt;=DATE(2027,10,1),DATE(2027,10,1)&lt;=EDATE('Model inputs'!B20,'Model inputs'!B18-1*1))="",FALSE,AND('Model inputs'!B20&lt;=DATE(2027,10,1),DATE(2027,10,1)&lt;=EDATE('Model inputs'!B20,'Model inputs'!B18-1*1))),'Model inputs'!X24,"")="",0,IF(IF(AND('Model inputs'!B20&lt;=DATE(2027,10,1),DATE(2027,10,1)&lt;=EDATE('Model inputs'!B20,'Model inputs'!B18-1*1))="",FALSE,AND('Model inputs'!B20&lt;=DATE(2027,10,1),DATE(2027,10,1)&lt;=EDATE('Model inputs'!B20,'Model inputs'!B18-1*1))),'Model inputs'!X24,"")),IF(IF(IF(AND('Model inputs'!B20&lt;=DATE(2027,11,1),DATE(2027,11,1)&lt;=EDATE('Model inputs'!B20,'Model inputs'!B18-1*1))="",FALSE,AND('Model inputs'!B20&lt;=DATE(2027,11,1),DATE(2027,11,1)&lt;=EDATE('Model inputs'!B20,'Model inputs'!B18-1*1))),'Model inputs'!Y24,"")="",0,IF(IF(AND('Model inputs'!B20&lt;=DATE(2027,11,1),DATE(2027,11,1)&lt;=EDATE('Model inputs'!B20,'Model inputs'!B18-1*1))="",FALSE,AND('Model inputs'!B20&lt;=DATE(2027,11,1),DATE(2027,11,1)&lt;=EDATE('Model inputs'!B20,'Model inputs'!B18-1*1))),'Model inputs'!Y24,"")),IF(IF(IF(AND('Model inputs'!B20&lt;=DATE(2027,12,1),DATE(2027,12,1)&lt;=EDATE('Model inputs'!B20,'Model inputs'!B18-1*1))="",FALSE,AND('Model inputs'!B20&lt;=DATE(2027,12,1),DATE(2027,12,1)&lt;=EDATE('Model inputs'!B20,'Model inputs'!B18-1*1))),'Model inputs'!Z24,"")="",0,IF(IF(AND('Model inputs'!B20&lt;=DATE(2027,12,1),DATE(2027,12,1)&lt;=EDATE('Model inputs'!B20,'Model inputs'!B18-1*1))="",FALSE,AND('Model inputs'!B20&lt;=DATE(2027,12,1),DATE(2027,12,1)&lt;=EDATE('Model inputs'!B20,'Model inputs'!B18-1*1))),'Model inputs'!Z24,"")))</f>
      </c>
    </row>
    <row r="311">
      <c r="A311" t="inlineStr" s="14">
        <is>
          <t xml:space="preserve">Calculation</t>
        </is>
      </c>
      <c r="B311" s="8">
        <f>SUM(IF(IF(IF(AND('Model inputs'!B21&lt;=DATE(2026,1,1),DATE(2026,1,1)&lt;=EDATE('Model inputs'!B21,'Model inputs'!B19-1*1))="",FALSE,AND('Model inputs'!B21&lt;=DATE(2026,1,1),DATE(2026,1,1)&lt;=EDATE('Model inputs'!B21,'Model inputs'!B19-1*1))),'Model inputs'!C25,"")="",0,IF(IF(AND('Model inputs'!B21&lt;=DATE(2026,1,1),DATE(2026,1,1)&lt;=EDATE('Model inputs'!B21,'Model inputs'!B19-1*1))="",FALSE,AND('Model inputs'!B21&lt;=DATE(2026,1,1),DATE(2026,1,1)&lt;=EDATE('Model inputs'!B21,'Model inputs'!B19-1*1))),'Model inputs'!C25,"")),IF(IF(IF(AND('Model inputs'!B21&lt;=DATE(2026,2,1),DATE(2026,2,1)&lt;=EDATE('Model inputs'!B21,'Model inputs'!B19-1*1))="",FALSE,AND('Model inputs'!B21&lt;=DATE(2026,2,1),DATE(2026,2,1)&lt;=EDATE('Model inputs'!B21,'Model inputs'!B19-1*1))),'Model inputs'!D25,"")="",0,IF(IF(AND('Model inputs'!B21&lt;=DATE(2026,2,1),DATE(2026,2,1)&lt;=EDATE('Model inputs'!B21,'Model inputs'!B19-1*1))="",FALSE,AND('Model inputs'!B21&lt;=DATE(2026,2,1),DATE(2026,2,1)&lt;=EDATE('Model inputs'!B21,'Model inputs'!B19-1*1))),'Model inputs'!D25,"")),IF(IF(IF(AND('Model inputs'!B21&lt;=DATE(2026,3,1),DATE(2026,3,1)&lt;=EDATE('Model inputs'!B21,'Model inputs'!B19-1*1))="",FALSE,AND('Model inputs'!B21&lt;=DATE(2026,3,1),DATE(2026,3,1)&lt;=EDATE('Model inputs'!B21,'Model inputs'!B19-1*1))),'Model inputs'!E25,"")="",0,IF(IF(AND('Model inputs'!B21&lt;=DATE(2026,3,1),DATE(2026,3,1)&lt;=EDATE('Model inputs'!B21,'Model inputs'!B19-1*1))="",FALSE,AND('Model inputs'!B21&lt;=DATE(2026,3,1),DATE(2026,3,1)&lt;=EDATE('Model inputs'!B21,'Model inputs'!B19-1*1))),'Model inputs'!E25,"")),IF(IF(IF(AND('Model inputs'!B21&lt;=DATE(2026,4,1),DATE(2026,4,1)&lt;=EDATE('Model inputs'!B21,'Model inputs'!B19-1*1))="",FALSE,AND('Model inputs'!B21&lt;=DATE(2026,4,1),DATE(2026,4,1)&lt;=EDATE('Model inputs'!B21,'Model inputs'!B19-1*1))),'Model inputs'!F25,"")="",0,IF(IF(AND('Model inputs'!B21&lt;=DATE(2026,4,1),DATE(2026,4,1)&lt;=EDATE('Model inputs'!B21,'Model inputs'!B19-1*1))="",FALSE,AND('Model inputs'!B21&lt;=DATE(2026,4,1),DATE(2026,4,1)&lt;=EDATE('Model inputs'!B21,'Model inputs'!B19-1*1))),'Model inputs'!F25,"")),IF(IF(IF(AND('Model inputs'!B21&lt;=DATE(2026,5,1),DATE(2026,5,1)&lt;=EDATE('Model inputs'!B21,'Model inputs'!B19-1*1))="",FALSE,AND('Model inputs'!B21&lt;=DATE(2026,5,1),DATE(2026,5,1)&lt;=EDATE('Model inputs'!B21,'Model inputs'!B19-1*1))),'Model inputs'!G25,"")="",0,IF(IF(AND('Model inputs'!B21&lt;=DATE(2026,5,1),DATE(2026,5,1)&lt;=EDATE('Model inputs'!B21,'Model inputs'!B19-1*1))="",FALSE,AND('Model inputs'!B21&lt;=DATE(2026,5,1),DATE(2026,5,1)&lt;=EDATE('Model inputs'!B21,'Model inputs'!B19-1*1))),'Model inputs'!G25,"")),IF(IF(IF(AND('Model inputs'!B21&lt;=DATE(2026,6,1),DATE(2026,6,1)&lt;=EDATE('Model inputs'!B21,'Model inputs'!B19-1*1))="",FALSE,AND('Model inputs'!B21&lt;=DATE(2026,6,1),DATE(2026,6,1)&lt;=EDATE('Model inputs'!B21,'Model inputs'!B19-1*1))),'Model inputs'!H25,"")="",0,IF(IF(AND('Model inputs'!B21&lt;=DATE(2026,6,1),DATE(2026,6,1)&lt;=EDATE('Model inputs'!B21,'Model inputs'!B19-1*1))="",FALSE,AND('Model inputs'!B21&lt;=DATE(2026,6,1),DATE(2026,6,1)&lt;=EDATE('Model inputs'!B21,'Model inputs'!B19-1*1))),'Model inputs'!H25,"")),IF(IF(IF(AND('Model inputs'!B21&lt;=DATE(2026,7,1),DATE(2026,7,1)&lt;=EDATE('Model inputs'!B21,'Model inputs'!B19-1*1))="",FALSE,AND('Model inputs'!B21&lt;=DATE(2026,7,1),DATE(2026,7,1)&lt;=EDATE('Model inputs'!B21,'Model inputs'!B19-1*1))),'Model inputs'!I25,"")="",0,IF(IF(AND('Model inputs'!B21&lt;=DATE(2026,7,1),DATE(2026,7,1)&lt;=EDATE('Model inputs'!B21,'Model inputs'!B19-1*1))="",FALSE,AND('Model inputs'!B21&lt;=DATE(2026,7,1),DATE(2026,7,1)&lt;=EDATE('Model inputs'!B21,'Model inputs'!B19-1*1))),'Model inputs'!I25,"")),IF(IF(IF(AND('Model inputs'!B21&lt;=DATE(2026,8,1),DATE(2026,8,1)&lt;=EDATE('Model inputs'!B21,'Model inputs'!B19-1*1))="",FALSE,AND('Model inputs'!B21&lt;=DATE(2026,8,1),DATE(2026,8,1)&lt;=EDATE('Model inputs'!B21,'Model inputs'!B19-1*1))),'Model inputs'!J25,"")="",0,IF(IF(AND('Model inputs'!B21&lt;=DATE(2026,8,1),DATE(2026,8,1)&lt;=EDATE('Model inputs'!B21,'Model inputs'!B19-1*1))="",FALSE,AND('Model inputs'!B21&lt;=DATE(2026,8,1),DATE(2026,8,1)&lt;=EDATE('Model inputs'!B21,'Model inputs'!B19-1*1))),'Model inputs'!J25,"")),IF(IF(IF(AND('Model inputs'!B21&lt;=DATE(2026,9,1),DATE(2026,9,1)&lt;=EDATE('Model inputs'!B21,'Model inputs'!B19-1*1))="",FALSE,AND('Model inputs'!B21&lt;=DATE(2026,9,1),DATE(2026,9,1)&lt;=EDATE('Model inputs'!B21,'Model inputs'!B19-1*1))),'Model inputs'!K25,"")="",0,IF(IF(AND('Model inputs'!B21&lt;=DATE(2026,9,1),DATE(2026,9,1)&lt;=EDATE('Model inputs'!B21,'Model inputs'!B19-1*1))="",FALSE,AND('Model inputs'!B21&lt;=DATE(2026,9,1),DATE(2026,9,1)&lt;=EDATE('Model inputs'!B21,'Model inputs'!B19-1*1))),'Model inputs'!K25,"")),IF(IF(IF(AND('Model inputs'!B21&lt;=DATE(2026,10,1),DATE(2026,10,1)&lt;=EDATE('Model inputs'!B21,'Model inputs'!B19-1*1))="",FALSE,AND('Model inputs'!B21&lt;=DATE(2026,10,1),DATE(2026,10,1)&lt;=EDATE('Model inputs'!B21,'Model inputs'!B19-1*1))),'Model inputs'!L25,"")="",0,IF(IF(AND('Model inputs'!B21&lt;=DATE(2026,10,1),DATE(2026,10,1)&lt;=EDATE('Model inputs'!B21,'Model inputs'!B19-1*1))="",FALSE,AND('Model inputs'!B21&lt;=DATE(2026,10,1),DATE(2026,10,1)&lt;=EDATE('Model inputs'!B21,'Model inputs'!B19-1*1))),'Model inputs'!L25,"")),IF(IF(IF(AND('Model inputs'!B21&lt;=DATE(2026,11,1),DATE(2026,11,1)&lt;=EDATE('Model inputs'!B21,'Model inputs'!B19-1*1))="",FALSE,AND('Model inputs'!B21&lt;=DATE(2026,11,1),DATE(2026,11,1)&lt;=EDATE('Model inputs'!B21,'Model inputs'!B19-1*1))),'Model inputs'!M25,"")="",0,IF(IF(AND('Model inputs'!B21&lt;=DATE(2026,11,1),DATE(2026,11,1)&lt;=EDATE('Model inputs'!B21,'Model inputs'!B19-1*1))="",FALSE,AND('Model inputs'!B21&lt;=DATE(2026,11,1),DATE(2026,11,1)&lt;=EDATE('Model inputs'!B21,'Model inputs'!B19-1*1))),'Model inputs'!M25,"")),IF(IF(IF(AND('Model inputs'!B21&lt;=DATE(2026,12,1),DATE(2026,12,1)&lt;=EDATE('Model inputs'!B21,'Model inputs'!B19-1*1))="",FALSE,AND('Model inputs'!B21&lt;=DATE(2026,12,1),DATE(2026,12,1)&lt;=EDATE('Model inputs'!B21,'Model inputs'!B19-1*1))),'Model inputs'!N25,"")="",0,IF(IF(AND('Model inputs'!B21&lt;=DATE(2026,12,1),DATE(2026,12,1)&lt;=EDATE('Model inputs'!B21,'Model inputs'!B19-1*1))="",FALSE,AND('Model inputs'!B21&lt;=DATE(2026,12,1),DATE(2026,12,1)&lt;=EDATE('Model inputs'!B21,'Model inputs'!B19-1*1))),'Model inputs'!N25,"")),IF(IF(IF(AND('Model inputs'!B21&lt;=DATE(2027,1,1),DATE(2027,1,1)&lt;=EDATE('Model inputs'!B21,'Model inputs'!B19-1*1))="",FALSE,AND('Model inputs'!B21&lt;=DATE(2027,1,1),DATE(2027,1,1)&lt;=EDATE('Model inputs'!B21,'Model inputs'!B19-1*1))),'Model inputs'!O25,"")="",0,IF(IF(AND('Model inputs'!B21&lt;=DATE(2027,1,1),DATE(2027,1,1)&lt;=EDATE('Model inputs'!B21,'Model inputs'!B19-1*1))="",FALSE,AND('Model inputs'!B21&lt;=DATE(2027,1,1),DATE(2027,1,1)&lt;=EDATE('Model inputs'!B21,'Model inputs'!B19-1*1))),'Model inputs'!O25,"")),IF(IF(IF(AND('Model inputs'!B21&lt;=DATE(2027,2,1),DATE(2027,2,1)&lt;=EDATE('Model inputs'!B21,'Model inputs'!B19-1*1))="",FALSE,AND('Model inputs'!B21&lt;=DATE(2027,2,1),DATE(2027,2,1)&lt;=EDATE('Model inputs'!B21,'Model inputs'!B19-1*1))),'Model inputs'!P25,"")="",0,IF(IF(AND('Model inputs'!B21&lt;=DATE(2027,2,1),DATE(2027,2,1)&lt;=EDATE('Model inputs'!B21,'Model inputs'!B19-1*1))="",FALSE,AND('Model inputs'!B21&lt;=DATE(2027,2,1),DATE(2027,2,1)&lt;=EDATE('Model inputs'!B21,'Model inputs'!B19-1*1))),'Model inputs'!P25,"")),IF(IF(IF(AND('Model inputs'!B21&lt;=DATE(2027,3,1),DATE(2027,3,1)&lt;=EDATE('Model inputs'!B21,'Model inputs'!B19-1*1))="",FALSE,AND('Model inputs'!B21&lt;=DATE(2027,3,1),DATE(2027,3,1)&lt;=EDATE('Model inputs'!B21,'Model inputs'!B19-1*1))),'Model inputs'!Q25,"")="",0,IF(IF(AND('Model inputs'!B21&lt;=DATE(2027,3,1),DATE(2027,3,1)&lt;=EDATE('Model inputs'!B21,'Model inputs'!B19-1*1))="",FALSE,AND('Model inputs'!B21&lt;=DATE(2027,3,1),DATE(2027,3,1)&lt;=EDATE('Model inputs'!B21,'Model inputs'!B19-1*1))),'Model inputs'!Q25,"")),IF(IF(IF(AND('Model inputs'!B21&lt;=DATE(2027,4,1),DATE(2027,4,1)&lt;=EDATE('Model inputs'!B21,'Model inputs'!B19-1*1))="",FALSE,AND('Model inputs'!B21&lt;=DATE(2027,4,1),DATE(2027,4,1)&lt;=EDATE('Model inputs'!B21,'Model inputs'!B19-1*1))),'Model inputs'!R25,"")="",0,IF(IF(AND('Model inputs'!B21&lt;=DATE(2027,4,1),DATE(2027,4,1)&lt;=EDATE('Model inputs'!B21,'Model inputs'!B19-1*1))="",FALSE,AND('Model inputs'!B21&lt;=DATE(2027,4,1),DATE(2027,4,1)&lt;=EDATE('Model inputs'!B21,'Model inputs'!B19-1*1))),'Model inputs'!R25,"")))</f>
      </c>
    </row>
    <row r="312">
      <c r="A312" t="inlineStr" s="14">
        <is>
          <t xml:space="preserve">Calculation</t>
        </is>
      </c>
      <c r="B312" s="8">
        <f>SUM(IF(IF(IF(AND('Model inputs'!B21&lt;=DATE(2027,5,1),DATE(2027,5,1)&lt;=EDATE('Model inputs'!B21,'Model inputs'!B19-1*1))="",FALSE,AND('Model inputs'!B21&lt;=DATE(2027,5,1),DATE(2027,5,1)&lt;=EDATE('Model inputs'!B21,'Model inputs'!B19-1*1))),'Model inputs'!S25,"")="",0,IF(IF(AND('Model inputs'!B21&lt;=DATE(2027,5,1),DATE(2027,5,1)&lt;=EDATE('Model inputs'!B21,'Model inputs'!B19-1*1))="",FALSE,AND('Model inputs'!B21&lt;=DATE(2027,5,1),DATE(2027,5,1)&lt;=EDATE('Model inputs'!B21,'Model inputs'!B19-1*1))),'Model inputs'!S25,"")),IF(IF(IF(AND('Model inputs'!B21&lt;=DATE(2027,6,1),DATE(2027,6,1)&lt;=EDATE('Model inputs'!B21,'Model inputs'!B19-1*1))="",FALSE,AND('Model inputs'!B21&lt;=DATE(2027,6,1),DATE(2027,6,1)&lt;=EDATE('Model inputs'!B21,'Model inputs'!B19-1*1))),'Model inputs'!T25,"")="",0,IF(IF(AND('Model inputs'!B21&lt;=DATE(2027,6,1),DATE(2027,6,1)&lt;=EDATE('Model inputs'!B21,'Model inputs'!B19-1*1))="",FALSE,AND('Model inputs'!B21&lt;=DATE(2027,6,1),DATE(2027,6,1)&lt;=EDATE('Model inputs'!B21,'Model inputs'!B19-1*1))),'Model inputs'!T25,"")),IF(IF(IF(AND('Model inputs'!B21&lt;=DATE(2027,7,1),DATE(2027,7,1)&lt;=EDATE('Model inputs'!B21,'Model inputs'!B19-1*1))="",FALSE,AND('Model inputs'!B21&lt;=DATE(2027,7,1),DATE(2027,7,1)&lt;=EDATE('Model inputs'!B21,'Model inputs'!B19-1*1))),'Model inputs'!U25,"")="",0,IF(IF(AND('Model inputs'!B21&lt;=DATE(2027,7,1),DATE(2027,7,1)&lt;=EDATE('Model inputs'!B21,'Model inputs'!B19-1*1))="",FALSE,AND('Model inputs'!B21&lt;=DATE(2027,7,1),DATE(2027,7,1)&lt;=EDATE('Model inputs'!B21,'Model inputs'!B19-1*1))),'Model inputs'!U25,"")),IF(IF(IF(AND('Model inputs'!B21&lt;=DATE(2027,8,1),DATE(2027,8,1)&lt;=EDATE('Model inputs'!B21,'Model inputs'!B19-1*1))="",FALSE,AND('Model inputs'!B21&lt;=DATE(2027,8,1),DATE(2027,8,1)&lt;=EDATE('Model inputs'!B21,'Model inputs'!B19-1*1))),'Model inputs'!V25,"")="",0,IF(IF(AND('Model inputs'!B21&lt;=DATE(2027,8,1),DATE(2027,8,1)&lt;=EDATE('Model inputs'!B21,'Model inputs'!B19-1*1))="",FALSE,AND('Model inputs'!B21&lt;=DATE(2027,8,1),DATE(2027,8,1)&lt;=EDATE('Model inputs'!B21,'Model inputs'!B19-1*1))),'Model inputs'!V25,"")),IF(IF(IF(AND('Model inputs'!B21&lt;=DATE(2027,9,1),DATE(2027,9,1)&lt;=EDATE('Model inputs'!B21,'Model inputs'!B19-1*1))="",FALSE,AND('Model inputs'!B21&lt;=DATE(2027,9,1),DATE(2027,9,1)&lt;=EDATE('Model inputs'!B21,'Model inputs'!B19-1*1))),'Model inputs'!W25,"")="",0,IF(IF(AND('Model inputs'!B21&lt;=DATE(2027,9,1),DATE(2027,9,1)&lt;=EDATE('Model inputs'!B21,'Model inputs'!B19-1*1))="",FALSE,AND('Model inputs'!B21&lt;=DATE(2027,9,1),DATE(2027,9,1)&lt;=EDATE('Model inputs'!B21,'Model inputs'!B19-1*1))),'Model inputs'!W25,"")),IF(IF(IF(AND('Model inputs'!B21&lt;=DATE(2027,10,1),DATE(2027,10,1)&lt;=EDATE('Model inputs'!B21,'Model inputs'!B19-1*1))="",FALSE,AND('Model inputs'!B21&lt;=DATE(2027,10,1),DATE(2027,10,1)&lt;=EDATE('Model inputs'!B21,'Model inputs'!B19-1*1))),'Model inputs'!X25,"")="",0,IF(IF(AND('Model inputs'!B21&lt;=DATE(2027,10,1),DATE(2027,10,1)&lt;=EDATE('Model inputs'!B21,'Model inputs'!B19-1*1))="",FALSE,AND('Model inputs'!B21&lt;=DATE(2027,10,1),DATE(2027,10,1)&lt;=EDATE('Model inputs'!B21,'Model inputs'!B19-1*1))),'Model inputs'!X25,"")),IF(IF(IF(AND('Model inputs'!B21&lt;=DATE(2027,11,1),DATE(2027,11,1)&lt;=EDATE('Model inputs'!B21,'Model inputs'!B19-1*1))="",FALSE,AND('Model inputs'!B21&lt;=DATE(2027,11,1),DATE(2027,11,1)&lt;=EDATE('Model inputs'!B21,'Model inputs'!B19-1*1))),'Model inputs'!Y25,"")="",0,IF(IF(AND('Model inputs'!B21&lt;=DATE(2027,11,1),DATE(2027,11,1)&lt;=EDATE('Model inputs'!B21,'Model inputs'!B19-1*1))="",FALSE,AND('Model inputs'!B21&lt;=DATE(2027,11,1),DATE(2027,11,1)&lt;=EDATE('Model inputs'!B21,'Model inputs'!B19-1*1))),'Model inputs'!Y25,"")),IF(IF(IF(AND('Model inputs'!B21&lt;=DATE(2027,12,1),DATE(2027,12,1)&lt;=EDATE('Model inputs'!B21,'Model inputs'!B19-1*1))="",FALSE,AND('Model inputs'!B21&lt;=DATE(2027,12,1),DATE(2027,12,1)&lt;=EDATE('Model inputs'!B21,'Model inputs'!B19-1*1))),'Model inputs'!Z25,"")="",0,IF(IF(AND('Model inputs'!B21&lt;=DATE(2027,12,1),DATE(2027,12,1)&lt;=EDATE('Model inputs'!B21,'Model inputs'!B19-1*1))="",FALSE,AND('Model inputs'!B21&lt;=DATE(2027,12,1),DATE(2027,12,1)&lt;=EDATE('Model inputs'!B21,'Model inputs'!B19-1*1))),'Model inputs'!Z25,"")))</f>
      </c>
    </row>
    <row r="313">
      <c r="A313" t="inlineStr" s="14">
        <is>
          <t xml:space="preserve">Calculation</t>
        </is>
      </c>
      <c r="B313" s="9">
        <f>SUM(IF(IF(IF(AND('Model inputs'!B20&lt;=DATE(2026,1,1),DATE(2026,1,1)&lt;=EDATE('Model inputs'!B20,'Model inputs'!B18-1*1))="",FALSE,AND('Model inputs'!B20&lt;=DATE(2026,1,1),DATE(2026,1,1)&lt;=EDATE('Model inputs'!B20,'Model inputs'!B18-1*1))),'Model inputs'!C22,"")="",0,IF(IF(AND('Model inputs'!B20&lt;=DATE(2026,1,1),DATE(2026,1,1)&lt;=EDATE('Model inputs'!B20,'Model inputs'!B18-1*1))="",FALSE,AND('Model inputs'!B20&lt;=DATE(2026,1,1),DATE(2026,1,1)&lt;=EDATE('Model inputs'!B20,'Model inputs'!B18-1*1))),'Model inputs'!C22,"")),IF(IF(IF(AND('Model inputs'!B20&lt;=DATE(2026,2,1),DATE(2026,2,1)&lt;=EDATE('Model inputs'!B20,'Model inputs'!B18-1*1))="",FALSE,AND('Model inputs'!B20&lt;=DATE(2026,2,1),DATE(2026,2,1)&lt;=EDATE('Model inputs'!B20,'Model inputs'!B18-1*1))),'Model inputs'!D22,"")="",0,IF(IF(AND('Model inputs'!B20&lt;=DATE(2026,2,1),DATE(2026,2,1)&lt;=EDATE('Model inputs'!B20,'Model inputs'!B18-1*1))="",FALSE,AND('Model inputs'!B20&lt;=DATE(2026,2,1),DATE(2026,2,1)&lt;=EDATE('Model inputs'!B20,'Model inputs'!B18-1*1))),'Model inputs'!D22,"")),IF(IF(IF(AND('Model inputs'!B20&lt;=DATE(2026,3,1),DATE(2026,3,1)&lt;=EDATE('Model inputs'!B20,'Model inputs'!B18-1*1))="",FALSE,AND('Model inputs'!B20&lt;=DATE(2026,3,1),DATE(2026,3,1)&lt;=EDATE('Model inputs'!B20,'Model inputs'!B18-1*1))),'Model inputs'!E22,"")="",0,IF(IF(AND('Model inputs'!B20&lt;=DATE(2026,3,1),DATE(2026,3,1)&lt;=EDATE('Model inputs'!B20,'Model inputs'!B18-1*1))="",FALSE,AND('Model inputs'!B20&lt;=DATE(2026,3,1),DATE(2026,3,1)&lt;=EDATE('Model inputs'!B20,'Model inputs'!B18-1*1))),'Model inputs'!E22,"")),IF(IF(IF(AND('Model inputs'!B20&lt;=DATE(2026,4,1),DATE(2026,4,1)&lt;=EDATE('Model inputs'!B20,'Model inputs'!B18-1*1))="",FALSE,AND('Model inputs'!B20&lt;=DATE(2026,4,1),DATE(2026,4,1)&lt;=EDATE('Model inputs'!B20,'Model inputs'!B18-1*1))),'Model inputs'!F22,"")="",0,IF(IF(AND('Model inputs'!B20&lt;=DATE(2026,4,1),DATE(2026,4,1)&lt;=EDATE('Model inputs'!B20,'Model inputs'!B18-1*1))="",FALSE,AND('Model inputs'!B20&lt;=DATE(2026,4,1),DATE(2026,4,1)&lt;=EDATE('Model inputs'!B20,'Model inputs'!B18-1*1))),'Model inputs'!F22,"")),IF(IF(IF(AND('Model inputs'!B20&lt;=DATE(2026,5,1),DATE(2026,5,1)&lt;=EDATE('Model inputs'!B20,'Model inputs'!B18-1*1))="",FALSE,AND('Model inputs'!B20&lt;=DATE(2026,5,1),DATE(2026,5,1)&lt;=EDATE('Model inputs'!B20,'Model inputs'!B18-1*1))),'Model inputs'!G22,"")="",0,IF(IF(AND('Model inputs'!B20&lt;=DATE(2026,5,1),DATE(2026,5,1)&lt;=EDATE('Model inputs'!B20,'Model inputs'!B18-1*1))="",FALSE,AND('Model inputs'!B20&lt;=DATE(2026,5,1),DATE(2026,5,1)&lt;=EDATE('Model inputs'!B20,'Model inputs'!B18-1*1))),'Model inputs'!G22,"")),IF(IF(IF(AND('Model inputs'!B20&lt;=DATE(2026,6,1),DATE(2026,6,1)&lt;=EDATE('Model inputs'!B20,'Model inputs'!B18-1*1))="",FALSE,AND('Model inputs'!B20&lt;=DATE(2026,6,1),DATE(2026,6,1)&lt;=EDATE('Model inputs'!B20,'Model inputs'!B18-1*1))),'Model inputs'!H22,"")="",0,IF(IF(AND('Model inputs'!B20&lt;=DATE(2026,6,1),DATE(2026,6,1)&lt;=EDATE('Model inputs'!B20,'Model inputs'!B18-1*1))="",FALSE,AND('Model inputs'!B20&lt;=DATE(2026,6,1),DATE(2026,6,1)&lt;=EDATE('Model inputs'!B20,'Model inputs'!B18-1*1))),'Model inputs'!H22,"")),IF(IF(IF(AND('Model inputs'!B20&lt;=DATE(2026,7,1),DATE(2026,7,1)&lt;=EDATE('Model inputs'!B20,'Model inputs'!B18-1*1))="",FALSE,AND('Model inputs'!B20&lt;=DATE(2026,7,1),DATE(2026,7,1)&lt;=EDATE('Model inputs'!B20,'Model inputs'!B18-1*1))),'Model inputs'!I22,"")="",0,IF(IF(AND('Model inputs'!B20&lt;=DATE(2026,7,1),DATE(2026,7,1)&lt;=EDATE('Model inputs'!B20,'Model inputs'!B18-1*1))="",FALSE,AND('Model inputs'!B20&lt;=DATE(2026,7,1),DATE(2026,7,1)&lt;=EDATE('Model inputs'!B20,'Model inputs'!B18-1*1))),'Model inputs'!I22,"")),IF(IF(IF(AND('Model inputs'!B20&lt;=DATE(2026,8,1),DATE(2026,8,1)&lt;=EDATE('Model inputs'!B20,'Model inputs'!B18-1*1))="",FALSE,AND('Model inputs'!B20&lt;=DATE(2026,8,1),DATE(2026,8,1)&lt;=EDATE('Model inputs'!B20,'Model inputs'!B18-1*1))),'Model inputs'!J22,"")="",0,IF(IF(AND('Model inputs'!B20&lt;=DATE(2026,8,1),DATE(2026,8,1)&lt;=EDATE('Model inputs'!B20,'Model inputs'!B18-1*1))="",FALSE,AND('Model inputs'!B20&lt;=DATE(2026,8,1),DATE(2026,8,1)&lt;=EDATE('Model inputs'!B20,'Model inputs'!B18-1*1))),'Model inputs'!J22,"")),IF(IF(IF(AND('Model inputs'!B20&lt;=DATE(2026,9,1),DATE(2026,9,1)&lt;=EDATE('Model inputs'!B20,'Model inputs'!B18-1*1))="",FALSE,AND('Model inputs'!B20&lt;=DATE(2026,9,1),DATE(2026,9,1)&lt;=EDATE('Model inputs'!B20,'Model inputs'!B18-1*1))),'Model inputs'!K22,"")="",0,IF(IF(AND('Model inputs'!B20&lt;=DATE(2026,9,1),DATE(2026,9,1)&lt;=EDATE('Model inputs'!B20,'Model inputs'!B18-1*1))="",FALSE,AND('Model inputs'!B20&lt;=DATE(2026,9,1),DATE(2026,9,1)&lt;=EDATE('Model inputs'!B20,'Model inputs'!B18-1*1))),'Model inputs'!K22,"")),IF(IF(IF(AND('Model inputs'!B20&lt;=DATE(2026,10,1),DATE(2026,10,1)&lt;=EDATE('Model inputs'!B20,'Model inputs'!B18-1*1))="",FALSE,AND('Model inputs'!B20&lt;=DATE(2026,10,1),DATE(2026,10,1)&lt;=EDATE('Model inputs'!B20,'Model inputs'!B18-1*1))),'Model inputs'!L22,"")="",0,IF(IF(AND('Model inputs'!B20&lt;=DATE(2026,10,1),DATE(2026,10,1)&lt;=EDATE('Model inputs'!B20,'Model inputs'!B18-1*1))="",FALSE,AND('Model inputs'!B20&lt;=DATE(2026,10,1),DATE(2026,10,1)&lt;=EDATE('Model inputs'!B20,'Model inputs'!B18-1*1))),'Model inputs'!L22,"")),IF(IF(IF(AND('Model inputs'!B20&lt;=DATE(2026,11,1),DATE(2026,11,1)&lt;=EDATE('Model inputs'!B20,'Model inputs'!B18-1*1))="",FALSE,AND('Model inputs'!B20&lt;=DATE(2026,11,1),DATE(2026,11,1)&lt;=EDATE('Model inputs'!B20,'Model inputs'!B18-1*1))),'Model inputs'!M22,"")="",0,IF(IF(AND('Model inputs'!B20&lt;=DATE(2026,11,1),DATE(2026,11,1)&lt;=EDATE('Model inputs'!B20,'Model inputs'!B18-1*1))="",FALSE,AND('Model inputs'!B20&lt;=DATE(2026,11,1),DATE(2026,11,1)&lt;=EDATE('Model inputs'!B20,'Model inputs'!B18-1*1))),'Model inputs'!M22,"")),IF(IF(IF(AND('Model inputs'!B20&lt;=DATE(2026,12,1),DATE(2026,12,1)&lt;=EDATE('Model inputs'!B20,'Model inputs'!B18-1*1))="",FALSE,AND('Model inputs'!B20&lt;=DATE(2026,12,1),DATE(2026,12,1)&lt;=EDATE('Model inputs'!B20,'Model inputs'!B18-1*1))),'Model inputs'!N22,"")="",0,IF(IF(AND('Model inputs'!B20&lt;=DATE(2026,12,1),DATE(2026,12,1)&lt;=EDATE('Model inputs'!B20,'Model inputs'!B18-1*1))="",FALSE,AND('Model inputs'!B20&lt;=DATE(2026,12,1),DATE(2026,12,1)&lt;=EDATE('Model inputs'!B20,'Model inputs'!B18-1*1))),'Model inputs'!N22,"")),IF(IF(IF(AND('Model inputs'!B20&lt;=DATE(2027,1,1),DATE(2027,1,1)&lt;=EDATE('Model inputs'!B20,'Model inputs'!B18-1*1))="",FALSE,AND('Model inputs'!B20&lt;=DATE(2027,1,1),DATE(2027,1,1)&lt;=EDATE('Model inputs'!B20,'Model inputs'!B18-1*1))),'Model inputs'!O22,"")="",0,IF(IF(AND('Model inputs'!B20&lt;=DATE(2027,1,1),DATE(2027,1,1)&lt;=EDATE('Model inputs'!B20,'Model inputs'!B18-1*1))="",FALSE,AND('Model inputs'!B20&lt;=DATE(2027,1,1),DATE(2027,1,1)&lt;=EDATE('Model inputs'!B20,'Model inputs'!B18-1*1))),'Model inputs'!O22,"")),IF(IF(IF(AND('Model inputs'!B20&lt;=DATE(2027,2,1),DATE(2027,2,1)&lt;=EDATE('Model inputs'!B20,'Model inputs'!B18-1*1))="",FALSE,AND('Model inputs'!B20&lt;=DATE(2027,2,1),DATE(2027,2,1)&lt;=EDATE('Model inputs'!B20,'Model inputs'!B18-1*1))),'Model inputs'!P22,"")="",0,IF(IF(AND('Model inputs'!B20&lt;=DATE(2027,2,1),DATE(2027,2,1)&lt;=EDATE('Model inputs'!B20,'Model inputs'!B18-1*1))="",FALSE,AND('Model inputs'!B20&lt;=DATE(2027,2,1),DATE(2027,2,1)&lt;=EDATE('Model inputs'!B20,'Model inputs'!B18-1*1))),'Model inputs'!P22,"")),IF(IF(IF(AND('Model inputs'!B20&lt;=DATE(2027,3,1),DATE(2027,3,1)&lt;=EDATE('Model inputs'!B20,'Model inputs'!B18-1*1))="",FALSE,AND('Model inputs'!B20&lt;=DATE(2027,3,1),DATE(2027,3,1)&lt;=EDATE('Model inputs'!B20,'Model inputs'!B18-1*1))),'Model inputs'!Q22,"")="",0,IF(IF(AND('Model inputs'!B20&lt;=DATE(2027,3,1),DATE(2027,3,1)&lt;=EDATE('Model inputs'!B20,'Model inputs'!B18-1*1))="",FALSE,AND('Model inputs'!B20&lt;=DATE(2027,3,1),DATE(2027,3,1)&lt;=EDATE('Model inputs'!B20,'Model inputs'!B18-1*1))),'Model inputs'!Q22,"")),IF(IF(IF(AND('Model inputs'!B20&lt;=DATE(2027,4,1),DATE(2027,4,1)&lt;=EDATE('Model inputs'!B20,'Model inputs'!B18-1*1))="",FALSE,AND('Model inputs'!B20&lt;=DATE(2027,4,1),DATE(2027,4,1)&lt;=EDATE('Model inputs'!B20,'Model inputs'!B18-1*1))),'Model inputs'!R22,"")="",0,IF(IF(AND('Model inputs'!B20&lt;=DATE(2027,4,1),DATE(2027,4,1)&lt;=EDATE('Model inputs'!B20,'Model inputs'!B18-1*1))="",FALSE,AND('Model inputs'!B20&lt;=DATE(2027,4,1),DATE(2027,4,1)&lt;=EDATE('Model inputs'!B20,'Model inputs'!B18-1*1))),'Model inputs'!R22,"")))</f>
      </c>
    </row>
    <row r="314">
      <c r="A314" t="inlineStr" s="14">
        <is>
          <t xml:space="preserve">Calculation</t>
        </is>
      </c>
      <c r="B314" s="9">
        <f>SUM(IF(IF(IF(AND('Model inputs'!B20&lt;=DATE(2027,5,1),DATE(2027,5,1)&lt;=EDATE('Model inputs'!B20,'Model inputs'!B18-1*1))="",FALSE,AND('Model inputs'!B20&lt;=DATE(2027,5,1),DATE(2027,5,1)&lt;=EDATE('Model inputs'!B20,'Model inputs'!B18-1*1))),'Model inputs'!S22,"")="",0,IF(IF(AND('Model inputs'!B20&lt;=DATE(2027,5,1),DATE(2027,5,1)&lt;=EDATE('Model inputs'!B20,'Model inputs'!B18-1*1))="",FALSE,AND('Model inputs'!B20&lt;=DATE(2027,5,1),DATE(2027,5,1)&lt;=EDATE('Model inputs'!B20,'Model inputs'!B18-1*1))),'Model inputs'!S22,"")),IF(IF(IF(AND('Model inputs'!B20&lt;=DATE(2027,6,1),DATE(2027,6,1)&lt;=EDATE('Model inputs'!B20,'Model inputs'!B18-1*1))="",FALSE,AND('Model inputs'!B20&lt;=DATE(2027,6,1),DATE(2027,6,1)&lt;=EDATE('Model inputs'!B20,'Model inputs'!B18-1*1))),'Model inputs'!T22,"")="",0,IF(IF(AND('Model inputs'!B20&lt;=DATE(2027,6,1),DATE(2027,6,1)&lt;=EDATE('Model inputs'!B20,'Model inputs'!B18-1*1))="",FALSE,AND('Model inputs'!B20&lt;=DATE(2027,6,1),DATE(2027,6,1)&lt;=EDATE('Model inputs'!B20,'Model inputs'!B18-1*1))),'Model inputs'!T22,"")),IF(IF(IF(AND('Model inputs'!B20&lt;=DATE(2027,7,1),DATE(2027,7,1)&lt;=EDATE('Model inputs'!B20,'Model inputs'!B18-1*1))="",FALSE,AND('Model inputs'!B20&lt;=DATE(2027,7,1),DATE(2027,7,1)&lt;=EDATE('Model inputs'!B20,'Model inputs'!B18-1*1))),'Model inputs'!U22,"")="",0,IF(IF(AND('Model inputs'!B20&lt;=DATE(2027,7,1),DATE(2027,7,1)&lt;=EDATE('Model inputs'!B20,'Model inputs'!B18-1*1))="",FALSE,AND('Model inputs'!B20&lt;=DATE(2027,7,1),DATE(2027,7,1)&lt;=EDATE('Model inputs'!B20,'Model inputs'!B18-1*1))),'Model inputs'!U22,"")),IF(IF(IF(AND('Model inputs'!B20&lt;=DATE(2027,8,1),DATE(2027,8,1)&lt;=EDATE('Model inputs'!B20,'Model inputs'!B18-1*1))="",FALSE,AND('Model inputs'!B20&lt;=DATE(2027,8,1),DATE(2027,8,1)&lt;=EDATE('Model inputs'!B20,'Model inputs'!B18-1*1))),'Model inputs'!V22,"")="",0,IF(IF(AND('Model inputs'!B20&lt;=DATE(2027,8,1),DATE(2027,8,1)&lt;=EDATE('Model inputs'!B20,'Model inputs'!B18-1*1))="",FALSE,AND('Model inputs'!B20&lt;=DATE(2027,8,1),DATE(2027,8,1)&lt;=EDATE('Model inputs'!B20,'Model inputs'!B18-1*1))),'Model inputs'!V22,"")),IF(IF(IF(AND('Model inputs'!B20&lt;=DATE(2027,9,1),DATE(2027,9,1)&lt;=EDATE('Model inputs'!B20,'Model inputs'!B18-1*1))="",FALSE,AND('Model inputs'!B20&lt;=DATE(2027,9,1),DATE(2027,9,1)&lt;=EDATE('Model inputs'!B20,'Model inputs'!B18-1*1))),'Model inputs'!W22,"")="",0,IF(IF(AND('Model inputs'!B20&lt;=DATE(2027,9,1),DATE(2027,9,1)&lt;=EDATE('Model inputs'!B20,'Model inputs'!B18-1*1))="",FALSE,AND('Model inputs'!B20&lt;=DATE(2027,9,1),DATE(2027,9,1)&lt;=EDATE('Model inputs'!B20,'Model inputs'!B18-1*1))),'Model inputs'!W22,"")),IF(IF(IF(AND('Model inputs'!B20&lt;=DATE(2027,10,1),DATE(2027,10,1)&lt;=EDATE('Model inputs'!B20,'Model inputs'!B18-1*1))="",FALSE,AND('Model inputs'!B20&lt;=DATE(2027,10,1),DATE(2027,10,1)&lt;=EDATE('Model inputs'!B20,'Model inputs'!B18-1*1))),'Model inputs'!X22,"")="",0,IF(IF(AND('Model inputs'!B20&lt;=DATE(2027,10,1),DATE(2027,10,1)&lt;=EDATE('Model inputs'!B20,'Model inputs'!B18-1*1))="",FALSE,AND('Model inputs'!B20&lt;=DATE(2027,10,1),DATE(2027,10,1)&lt;=EDATE('Model inputs'!B20,'Model inputs'!B18-1*1))),'Model inputs'!X22,"")),IF(IF(IF(AND('Model inputs'!B20&lt;=DATE(2027,11,1),DATE(2027,11,1)&lt;=EDATE('Model inputs'!B20,'Model inputs'!B18-1*1))="",FALSE,AND('Model inputs'!B20&lt;=DATE(2027,11,1),DATE(2027,11,1)&lt;=EDATE('Model inputs'!B20,'Model inputs'!B18-1*1))),'Model inputs'!Y22,"")="",0,IF(IF(AND('Model inputs'!B20&lt;=DATE(2027,11,1),DATE(2027,11,1)&lt;=EDATE('Model inputs'!B20,'Model inputs'!B18-1*1))="",FALSE,AND('Model inputs'!B20&lt;=DATE(2027,11,1),DATE(2027,11,1)&lt;=EDATE('Model inputs'!B20,'Model inputs'!B18-1*1))),'Model inputs'!Y22,"")),IF(IF(IF(AND('Model inputs'!B20&lt;=DATE(2027,12,1),DATE(2027,12,1)&lt;=EDATE('Model inputs'!B20,'Model inputs'!B18-1*1))="",FALSE,AND('Model inputs'!B20&lt;=DATE(2027,12,1),DATE(2027,12,1)&lt;=EDATE('Model inputs'!B20,'Model inputs'!B18-1*1))),'Model inputs'!Z22,"")="",0,IF(IF(AND('Model inputs'!B20&lt;=DATE(2027,12,1),DATE(2027,12,1)&lt;=EDATE('Model inputs'!B20,'Model inputs'!B18-1*1))="",FALSE,AND('Model inputs'!B20&lt;=DATE(2027,12,1),DATE(2027,12,1)&lt;=EDATE('Model inputs'!B20,'Model inputs'!B18-1*1))),'Model inputs'!Z22,"")))</f>
      </c>
    </row>
    <row r="315">
      <c r="A315" t="inlineStr" s="14">
        <is>
          <t xml:space="preserve">Calculation</t>
        </is>
      </c>
      <c r="B315" s="9">
        <f>SUM(IF(IF(IF(AND('Model inputs'!B21&lt;=DATE(2026,1,1),DATE(2026,1,1)&lt;=EDATE('Model inputs'!B21,'Model inputs'!B19-1*1))="",FALSE,AND('Model inputs'!B21&lt;=DATE(2026,1,1),DATE(2026,1,1)&lt;=EDATE('Model inputs'!B21,'Model inputs'!B19-1*1))),'Model inputs'!C23,"")="",0,IF(IF(AND('Model inputs'!B21&lt;=DATE(2026,1,1),DATE(2026,1,1)&lt;=EDATE('Model inputs'!B21,'Model inputs'!B19-1*1))="",FALSE,AND('Model inputs'!B21&lt;=DATE(2026,1,1),DATE(2026,1,1)&lt;=EDATE('Model inputs'!B21,'Model inputs'!B19-1*1))),'Model inputs'!C23,"")),IF(IF(IF(AND('Model inputs'!B21&lt;=DATE(2026,2,1),DATE(2026,2,1)&lt;=EDATE('Model inputs'!B21,'Model inputs'!B19-1*1))="",FALSE,AND('Model inputs'!B21&lt;=DATE(2026,2,1),DATE(2026,2,1)&lt;=EDATE('Model inputs'!B21,'Model inputs'!B19-1*1))),'Model inputs'!D23,"")="",0,IF(IF(AND('Model inputs'!B21&lt;=DATE(2026,2,1),DATE(2026,2,1)&lt;=EDATE('Model inputs'!B21,'Model inputs'!B19-1*1))="",FALSE,AND('Model inputs'!B21&lt;=DATE(2026,2,1),DATE(2026,2,1)&lt;=EDATE('Model inputs'!B21,'Model inputs'!B19-1*1))),'Model inputs'!D23,"")),IF(IF(IF(AND('Model inputs'!B21&lt;=DATE(2026,3,1),DATE(2026,3,1)&lt;=EDATE('Model inputs'!B21,'Model inputs'!B19-1*1))="",FALSE,AND('Model inputs'!B21&lt;=DATE(2026,3,1),DATE(2026,3,1)&lt;=EDATE('Model inputs'!B21,'Model inputs'!B19-1*1))),'Model inputs'!E23,"")="",0,IF(IF(AND('Model inputs'!B21&lt;=DATE(2026,3,1),DATE(2026,3,1)&lt;=EDATE('Model inputs'!B21,'Model inputs'!B19-1*1))="",FALSE,AND('Model inputs'!B21&lt;=DATE(2026,3,1),DATE(2026,3,1)&lt;=EDATE('Model inputs'!B21,'Model inputs'!B19-1*1))),'Model inputs'!E23,"")),IF(IF(IF(AND('Model inputs'!B21&lt;=DATE(2026,4,1),DATE(2026,4,1)&lt;=EDATE('Model inputs'!B21,'Model inputs'!B19-1*1))="",FALSE,AND('Model inputs'!B21&lt;=DATE(2026,4,1),DATE(2026,4,1)&lt;=EDATE('Model inputs'!B21,'Model inputs'!B19-1*1))),'Model inputs'!F23,"")="",0,IF(IF(AND('Model inputs'!B21&lt;=DATE(2026,4,1),DATE(2026,4,1)&lt;=EDATE('Model inputs'!B21,'Model inputs'!B19-1*1))="",FALSE,AND('Model inputs'!B21&lt;=DATE(2026,4,1),DATE(2026,4,1)&lt;=EDATE('Model inputs'!B21,'Model inputs'!B19-1*1))),'Model inputs'!F23,"")),IF(IF(IF(AND('Model inputs'!B21&lt;=DATE(2026,5,1),DATE(2026,5,1)&lt;=EDATE('Model inputs'!B21,'Model inputs'!B19-1*1))="",FALSE,AND('Model inputs'!B21&lt;=DATE(2026,5,1),DATE(2026,5,1)&lt;=EDATE('Model inputs'!B21,'Model inputs'!B19-1*1))),'Model inputs'!G23,"")="",0,IF(IF(AND('Model inputs'!B21&lt;=DATE(2026,5,1),DATE(2026,5,1)&lt;=EDATE('Model inputs'!B21,'Model inputs'!B19-1*1))="",FALSE,AND('Model inputs'!B21&lt;=DATE(2026,5,1),DATE(2026,5,1)&lt;=EDATE('Model inputs'!B21,'Model inputs'!B19-1*1))),'Model inputs'!G23,"")),IF(IF(IF(AND('Model inputs'!B21&lt;=DATE(2026,6,1),DATE(2026,6,1)&lt;=EDATE('Model inputs'!B21,'Model inputs'!B19-1*1))="",FALSE,AND('Model inputs'!B21&lt;=DATE(2026,6,1),DATE(2026,6,1)&lt;=EDATE('Model inputs'!B21,'Model inputs'!B19-1*1))),'Model inputs'!H23,"")="",0,IF(IF(AND('Model inputs'!B21&lt;=DATE(2026,6,1),DATE(2026,6,1)&lt;=EDATE('Model inputs'!B21,'Model inputs'!B19-1*1))="",FALSE,AND('Model inputs'!B21&lt;=DATE(2026,6,1),DATE(2026,6,1)&lt;=EDATE('Model inputs'!B21,'Model inputs'!B19-1*1))),'Model inputs'!H23,"")),IF(IF(IF(AND('Model inputs'!B21&lt;=DATE(2026,7,1),DATE(2026,7,1)&lt;=EDATE('Model inputs'!B21,'Model inputs'!B19-1*1))="",FALSE,AND('Model inputs'!B21&lt;=DATE(2026,7,1),DATE(2026,7,1)&lt;=EDATE('Model inputs'!B21,'Model inputs'!B19-1*1))),'Model inputs'!I23,"")="",0,IF(IF(AND('Model inputs'!B21&lt;=DATE(2026,7,1),DATE(2026,7,1)&lt;=EDATE('Model inputs'!B21,'Model inputs'!B19-1*1))="",FALSE,AND('Model inputs'!B21&lt;=DATE(2026,7,1),DATE(2026,7,1)&lt;=EDATE('Model inputs'!B21,'Model inputs'!B19-1*1))),'Model inputs'!I23,"")),IF(IF(IF(AND('Model inputs'!B21&lt;=DATE(2026,8,1),DATE(2026,8,1)&lt;=EDATE('Model inputs'!B21,'Model inputs'!B19-1*1))="",FALSE,AND('Model inputs'!B21&lt;=DATE(2026,8,1),DATE(2026,8,1)&lt;=EDATE('Model inputs'!B21,'Model inputs'!B19-1*1))),'Model inputs'!J23,"")="",0,IF(IF(AND('Model inputs'!B21&lt;=DATE(2026,8,1),DATE(2026,8,1)&lt;=EDATE('Model inputs'!B21,'Model inputs'!B19-1*1))="",FALSE,AND('Model inputs'!B21&lt;=DATE(2026,8,1),DATE(2026,8,1)&lt;=EDATE('Model inputs'!B21,'Model inputs'!B19-1*1))),'Model inputs'!J23,"")),IF(IF(IF(AND('Model inputs'!B21&lt;=DATE(2026,9,1),DATE(2026,9,1)&lt;=EDATE('Model inputs'!B21,'Model inputs'!B19-1*1))="",FALSE,AND('Model inputs'!B21&lt;=DATE(2026,9,1),DATE(2026,9,1)&lt;=EDATE('Model inputs'!B21,'Model inputs'!B19-1*1))),'Model inputs'!K23,"")="",0,IF(IF(AND('Model inputs'!B21&lt;=DATE(2026,9,1),DATE(2026,9,1)&lt;=EDATE('Model inputs'!B21,'Model inputs'!B19-1*1))="",FALSE,AND('Model inputs'!B21&lt;=DATE(2026,9,1),DATE(2026,9,1)&lt;=EDATE('Model inputs'!B21,'Model inputs'!B19-1*1))),'Model inputs'!K23,"")),IF(IF(IF(AND('Model inputs'!B21&lt;=DATE(2026,10,1),DATE(2026,10,1)&lt;=EDATE('Model inputs'!B21,'Model inputs'!B19-1*1))="",FALSE,AND('Model inputs'!B21&lt;=DATE(2026,10,1),DATE(2026,10,1)&lt;=EDATE('Model inputs'!B21,'Model inputs'!B19-1*1))),'Model inputs'!L23,"")="",0,IF(IF(AND('Model inputs'!B21&lt;=DATE(2026,10,1),DATE(2026,10,1)&lt;=EDATE('Model inputs'!B21,'Model inputs'!B19-1*1))="",FALSE,AND('Model inputs'!B21&lt;=DATE(2026,10,1),DATE(2026,10,1)&lt;=EDATE('Model inputs'!B21,'Model inputs'!B19-1*1))),'Model inputs'!L23,"")),IF(IF(IF(AND('Model inputs'!B21&lt;=DATE(2026,11,1),DATE(2026,11,1)&lt;=EDATE('Model inputs'!B21,'Model inputs'!B19-1*1))="",FALSE,AND('Model inputs'!B21&lt;=DATE(2026,11,1),DATE(2026,11,1)&lt;=EDATE('Model inputs'!B21,'Model inputs'!B19-1*1))),'Model inputs'!M23,"")="",0,IF(IF(AND('Model inputs'!B21&lt;=DATE(2026,11,1),DATE(2026,11,1)&lt;=EDATE('Model inputs'!B21,'Model inputs'!B19-1*1))="",FALSE,AND('Model inputs'!B21&lt;=DATE(2026,11,1),DATE(2026,11,1)&lt;=EDATE('Model inputs'!B21,'Model inputs'!B19-1*1))),'Model inputs'!M23,"")),IF(IF(IF(AND('Model inputs'!B21&lt;=DATE(2026,12,1),DATE(2026,12,1)&lt;=EDATE('Model inputs'!B21,'Model inputs'!B19-1*1))="",FALSE,AND('Model inputs'!B21&lt;=DATE(2026,12,1),DATE(2026,12,1)&lt;=EDATE('Model inputs'!B21,'Model inputs'!B19-1*1))),'Model inputs'!N23,"")="",0,IF(IF(AND('Model inputs'!B21&lt;=DATE(2026,12,1),DATE(2026,12,1)&lt;=EDATE('Model inputs'!B21,'Model inputs'!B19-1*1))="",FALSE,AND('Model inputs'!B21&lt;=DATE(2026,12,1),DATE(2026,12,1)&lt;=EDATE('Model inputs'!B21,'Model inputs'!B19-1*1))),'Model inputs'!N23,"")),IF(IF(IF(AND('Model inputs'!B21&lt;=DATE(2027,1,1),DATE(2027,1,1)&lt;=EDATE('Model inputs'!B21,'Model inputs'!B19-1*1))="",FALSE,AND('Model inputs'!B21&lt;=DATE(2027,1,1),DATE(2027,1,1)&lt;=EDATE('Model inputs'!B21,'Model inputs'!B19-1*1))),'Model inputs'!O23,"")="",0,IF(IF(AND('Model inputs'!B21&lt;=DATE(2027,1,1),DATE(2027,1,1)&lt;=EDATE('Model inputs'!B21,'Model inputs'!B19-1*1))="",FALSE,AND('Model inputs'!B21&lt;=DATE(2027,1,1),DATE(2027,1,1)&lt;=EDATE('Model inputs'!B21,'Model inputs'!B19-1*1))),'Model inputs'!O23,"")),IF(IF(IF(AND('Model inputs'!B21&lt;=DATE(2027,2,1),DATE(2027,2,1)&lt;=EDATE('Model inputs'!B21,'Model inputs'!B19-1*1))="",FALSE,AND('Model inputs'!B21&lt;=DATE(2027,2,1),DATE(2027,2,1)&lt;=EDATE('Model inputs'!B21,'Model inputs'!B19-1*1))),'Model inputs'!P23,"")="",0,IF(IF(AND('Model inputs'!B21&lt;=DATE(2027,2,1),DATE(2027,2,1)&lt;=EDATE('Model inputs'!B21,'Model inputs'!B19-1*1))="",FALSE,AND('Model inputs'!B21&lt;=DATE(2027,2,1),DATE(2027,2,1)&lt;=EDATE('Model inputs'!B21,'Model inputs'!B19-1*1))),'Model inputs'!P23,"")),IF(IF(IF(AND('Model inputs'!B21&lt;=DATE(2027,3,1),DATE(2027,3,1)&lt;=EDATE('Model inputs'!B21,'Model inputs'!B19-1*1))="",FALSE,AND('Model inputs'!B21&lt;=DATE(2027,3,1),DATE(2027,3,1)&lt;=EDATE('Model inputs'!B21,'Model inputs'!B19-1*1))),'Model inputs'!Q23,"")="",0,IF(IF(AND('Model inputs'!B21&lt;=DATE(2027,3,1),DATE(2027,3,1)&lt;=EDATE('Model inputs'!B21,'Model inputs'!B19-1*1))="",FALSE,AND('Model inputs'!B21&lt;=DATE(2027,3,1),DATE(2027,3,1)&lt;=EDATE('Model inputs'!B21,'Model inputs'!B19-1*1))),'Model inputs'!Q23,"")),IF(IF(IF(AND('Model inputs'!B21&lt;=DATE(2027,4,1),DATE(2027,4,1)&lt;=EDATE('Model inputs'!B21,'Model inputs'!B19-1*1))="",FALSE,AND('Model inputs'!B21&lt;=DATE(2027,4,1),DATE(2027,4,1)&lt;=EDATE('Model inputs'!B21,'Model inputs'!B19-1*1))),'Model inputs'!R23,"")="",0,IF(IF(AND('Model inputs'!B21&lt;=DATE(2027,4,1),DATE(2027,4,1)&lt;=EDATE('Model inputs'!B21,'Model inputs'!B19-1*1))="",FALSE,AND('Model inputs'!B21&lt;=DATE(2027,4,1),DATE(2027,4,1)&lt;=EDATE('Model inputs'!B21,'Model inputs'!B19-1*1))),'Model inputs'!R23,"")))</f>
      </c>
    </row>
    <row r="316">
      <c r="A316" t="inlineStr" s="14">
        <is>
          <t xml:space="preserve">Calculation</t>
        </is>
      </c>
      <c r="B316" s="9">
        <f>SUM(IF(IF(IF(AND('Model inputs'!B21&lt;=DATE(2027,5,1),DATE(2027,5,1)&lt;=EDATE('Model inputs'!B21,'Model inputs'!B19-1*1))="",FALSE,AND('Model inputs'!B21&lt;=DATE(2027,5,1),DATE(2027,5,1)&lt;=EDATE('Model inputs'!B21,'Model inputs'!B19-1*1))),'Model inputs'!S23,"")="",0,IF(IF(AND('Model inputs'!B21&lt;=DATE(2027,5,1),DATE(2027,5,1)&lt;=EDATE('Model inputs'!B21,'Model inputs'!B19-1*1))="",FALSE,AND('Model inputs'!B21&lt;=DATE(2027,5,1),DATE(2027,5,1)&lt;=EDATE('Model inputs'!B21,'Model inputs'!B19-1*1))),'Model inputs'!S23,"")),IF(IF(IF(AND('Model inputs'!B21&lt;=DATE(2027,6,1),DATE(2027,6,1)&lt;=EDATE('Model inputs'!B21,'Model inputs'!B19-1*1))="",FALSE,AND('Model inputs'!B21&lt;=DATE(2027,6,1),DATE(2027,6,1)&lt;=EDATE('Model inputs'!B21,'Model inputs'!B19-1*1))),'Model inputs'!T23,"")="",0,IF(IF(AND('Model inputs'!B21&lt;=DATE(2027,6,1),DATE(2027,6,1)&lt;=EDATE('Model inputs'!B21,'Model inputs'!B19-1*1))="",FALSE,AND('Model inputs'!B21&lt;=DATE(2027,6,1),DATE(2027,6,1)&lt;=EDATE('Model inputs'!B21,'Model inputs'!B19-1*1))),'Model inputs'!T23,"")),IF(IF(IF(AND('Model inputs'!B21&lt;=DATE(2027,7,1),DATE(2027,7,1)&lt;=EDATE('Model inputs'!B21,'Model inputs'!B19-1*1))="",FALSE,AND('Model inputs'!B21&lt;=DATE(2027,7,1),DATE(2027,7,1)&lt;=EDATE('Model inputs'!B21,'Model inputs'!B19-1*1))),'Model inputs'!U23,"")="",0,IF(IF(AND('Model inputs'!B21&lt;=DATE(2027,7,1),DATE(2027,7,1)&lt;=EDATE('Model inputs'!B21,'Model inputs'!B19-1*1))="",FALSE,AND('Model inputs'!B21&lt;=DATE(2027,7,1),DATE(2027,7,1)&lt;=EDATE('Model inputs'!B21,'Model inputs'!B19-1*1))),'Model inputs'!U23,"")),IF(IF(IF(AND('Model inputs'!B21&lt;=DATE(2027,8,1),DATE(2027,8,1)&lt;=EDATE('Model inputs'!B21,'Model inputs'!B19-1*1))="",FALSE,AND('Model inputs'!B21&lt;=DATE(2027,8,1),DATE(2027,8,1)&lt;=EDATE('Model inputs'!B21,'Model inputs'!B19-1*1))),'Model inputs'!V23,"")="",0,IF(IF(AND('Model inputs'!B21&lt;=DATE(2027,8,1),DATE(2027,8,1)&lt;=EDATE('Model inputs'!B21,'Model inputs'!B19-1*1))="",FALSE,AND('Model inputs'!B21&lt;=DATE(2027,8,1),DATE(2027,8,1)&lt;=EDATE('Model inputs'!B21,'Model inputs'!B19-1*1))),'Model inputs'!V23,"")),IF(IF(IF(AND('Model inputs'!B21&lt;=DATE(2027,9,1),DATE(2027,9,1)&lt;=EDATE('Model inputs'!B21,'Model inputs'!B19-1*1))="",FALSE,AND('Model inputs'!B21&lt;=DATE(2027,9,1),DATE(2027,9,1)&lt;=EDATE('Model inputs'!B21,'Model inputs'!B19-1*1))),'Model inputs'!W23,"")="",0,IF(IF(AND('Model inputs'!B21&lt;=DATE(2027,9,1),DATE(2027,9,1)&lt;=EDATE('Model inputs'!B21,'Model inputs'!B19-1*1))="",FALSE,AND('Model inputs'!B21&lt;=DATE(2027,9,1),DATE(2027,9,1)&lt;=EDATE('Model inputs'!B21,'Model inputs'!B19-1*1))),'Model inputs'!W23,"")),IF(IF(IF(AND('Model inputs'!B21&lt;=DATE(2027,10,1),DATE(2027,10,1)&lt;=EDATE('Model inputs'!B21,'Model inputs'!B19-1*1))="",FALSE,AND('Model inputs'!B21&lt;=DATE(2027,10,1),DATE(2027,10,1)&lt;=EDATE('Model inputs'!B21,'Model inputs'!B19-1*1))),'Model inputs'!X23,"")="",0,IF(IF(AND('Model inputs'!B21&lt;=DATE(2027,10,1),DATE(2027,10,1)&lt;=EDATE('Model inputs'!B21,'Model inputs'!B19-1*1))="",FALSE,AND('Model inputs'!B21&lt;=DATE(2027,10,1),DATE(2027,10,1)&lt;=EDATE('Model inputs'!B21,'Model inputs'!B19-1*1))),'Model inputs'!X23,"")),IF(IF(IF(AND('Model inputs'!B21&lt;=DATE(2027,11,1),DATE(2027,11,1)&lt;=EDATE('Model inputs'!B21,'Model inputs'!B19-1*1))="",FALSE,AND('Model inputs'!B21&lt;=DATE(2027,11,1),DATE(2027,11,1)&lt;=EDATE('Model inputs'!B21,'Model inputs'!B19-1*1))),'Model inputs'!Y23,"")="",0,IF(IF(AND('Model inputs'!B21&lt;=DATE(2027,11,1),DATE(2027,11,1)&lt;=EDATE('Model inputs'!B21,'Model inputs'!B19-1*1))="",FALSE,AND('Model inputs'!B21&lt;=DATE(2027,11,1),DATE(2027,11,1)&lt;=EDATE('Model inputs'!B21,'Model inputs'!B19-1*1))),'Model inputs'!Y23,"")),IF(IF(IF(AND('Model inputs'!B21&lt;=DATE(2027,12,1),DATE(2027,12,1)&lt;=EDATE('Model inputs'!B21,'Model inputs'!B19-1*1))="",FALSE,AND('Model inputs'!B21&lt;=DATE(2027,12,1),DATE(2027,12,1)&lt;=EDATE('Model inputs'!B21,'Model inputs'!B19-1*1))),'Model inputs'!Z23,"")="",0,IF(IF(AND('Model inputs'!B21&lt;=DATE(2027,12,1),DATE(2027,12,1)&lt;=EDATE('Model inputs'!B21,'Model inputs'!B19-1*1))="",FALSE,AND('Model inputs'!B21&lt;=DATE(2027,12,1),DATE(2027,12,1)&lt;=EDATE('Model inputs'!B21,'Model inputs'!B19-1*1))),'Model inputs'!Z23,"")))</f>
      </c>
    </row>
    <row r="317">
      <c r="A317" t="inlineStr" s="14">
        <is>
          <t xml:space="preserve">Calculation</t>
        </is>
      </c>
      <c r="B317" s="8">
        <f>SUM(IF(IF(IF(AND('Model inputs'!B20&lt;=DATE(2026,1,1),DATE(2026,1,1)&lt;=EDATE('Model inputs'!B20,'Model inputs'!B18-1*1))="",FALSE,AND('Model inputs'!B20&lt;=DATE(2026,1,1),DATE(2026,1,1)&lt;=EDATE('Model inputs'!B20,'Model inputs'!B18-1*1))),'Model inputs'!C28,"")="",0,IF(IF(AND('Model inputs'!B20&lt;=DATE(2026,1,1),DATE(2026,1,1)&lt;=EDATE('Model inputs'!B20,'Model inputs'!B18-1*1))="",FALSE,AND('Model inputs'!B20&lt;=DATE(2026,1,1),DATE(2026,1,1)&lt;=EDATE('Model inputs'!B20,'Model inputs'!B18-1*1))),'Model inputs'!C28,"")),IF(IF(IF(AND('Model inputs'!B20&lt;=DATE(2026,2,1),DATE(2026,2,1)&lt;=EDATE('Model inputs'!B20,'Model inputs'!B18-1*1))="",FALSE,AND('Model inputs'!B20&lt;=DATE(2026,2,1),DATE(2026,2,1)&lt;=EDATE('Model inputs'!B20,'Model inputs'!B18-1*1))),'Model inputs'!D28,"")="",0,IF(IF(AND('Model inputs'!B20&lt;=DATE(2026,2,1),DATE(2026,2,1)&lt;=EDATE('Model inputs'!B20,'Model inputs'!B18-1*1))="",FALSE,AND('Model inputs'!B20&lt;=DATE(2026,2,1),DATE(2026,2,1)&lt;=EDATE('Model inputs'!B20,'Model inputs'!B18-1*1))),'Model inputs'!D28,"")),IF(IF(IF(AND('Model inputs'!B20&lt;=DATE(2026,3,1),DATE(2026,3,1)&lt;=EDATE('Model inputs'!B20,'Model inputs'!B18-1*1))="",FALSE,AND('Model inputs'!B20&lt;=DATE(2026,3,1),DATE(2026,3,1)&lt;=EDATE('Model inputs'!B20,'Model inputs'!B18-1*1))),'Model inputs'!E28,"")="",0,IF(IF(AND('Model inputs'!B20&lt;=DATE(2026,3,1),DATE(2026,3,1)&lt;=EDATE('Model inputs'!B20,'Model inputs'!B18-1*1))="",FALSE,AND('Model inputs'!B20&lt;=DATE(2026,3,1),DATE(2026,3,1)&lt;=EDATE('Model inputs'!B20,'Model inputs'!B18-1*1))),'Model inputs'!E28,"")),IF(IF(IF(AND('Model inputs'!B20&lt;=DATE(2026,4,1),DATE(2026,4,1)&lt;=EDATE('Model inputs'!B20,'Model inputs'!B18-1*1))="",FALSE,AND('Model inputs'!B20&lt;=DATE(2026,4,1),DATE(2026,4,1)&lt;=EDATE('Model inputs'!B20,'Model inputs'!B18-1*1))),'Model inputs'!F28,"")="",0,IF(IF(AND('Model inputs'!B20&lt;=DATE(2026,4,1),DATE(2026,4,1)&lt;=EDATE('Model inputs'!B20,'Model inputs'!B18-1*1))="",FALSE,AND('Model inputs'!B20&lt;=DATE(2026,4,1),DATE(2026,4,1)&lt;=EDATE('Model inputs'!B20,'Model inputs'!B18-1*1))),'Model inputs'!F28,"")),IF(IF(IF(AND('Model inputs'!B20&lt;=DATE(2026,5,1),DATE(2026,5,1)&lt;=EDATE('Model inputs'!B20,'Model inputs'!B18-1*1))="",FALSE,AND('Model inputs'!B20&lt;=DATE(2026,5,1),DATE(2026,5,1)&lt;=EDATE('Model inputs'!B20,'Model inputs'!B18-1*1))),'Model inputs'!G28,"")="",0,IF(IF(AND('Model inputs'!B20&lt;=DATE(2026,5,1),DATE(2026,5,1)&lt;=EDATE('Model inputs'!B20,'Model inputs'!B18-1*1))="",FALSE,AND('Model inputs'!B20&lt;=DATE(2026,5,1),DATE(2026,5,1)&lt;=EDATE('Model inputs'!B20,'Model inputs'!B18-1*1))),'Model inputs'!G28,"")),IF(IF(IF(AND('Model inputs'!B20&lt;=DATE(2026,6,1),DATE(2026,6,1)&lt;=EDATE('Model inputs'!B20,'Model inputs'!B18-1*1))="",FALSE,AND('Model inputs'!B20&lt;=DATE(2026,6,1),DATE(2026,6,1)&lt;=EDATE('Model inputs'!B20,'Model inputs'!B18-1*1))),'Model inputs'!H28,"")="",0,IF(IF(AND('Model inputs'!B20&lt;=DATE(2026,6,1),DATE(2026,6,1)&lt;=EDATE('Model inputs'!B20,'Model inputs'!B18-1*1))="",FALSE,AND('Model inputs'!B20&lt;=DATE(2026,6,1),DATE(2026,6,1)&lt;=EDATE('Model inputs'!B20,'Model inputs'!B18-1*1))),'Model inputs'!H28,"")),IF(IF(IF(AND('Model inputs'!B20&lt;=DATE(2026,7,1),DATE(2026,7,1)&lt;=EDATE('Model inputs'!B20,'Model inputs'!B18-1*1))="",FALSE,AND('Model inputs'!B20&lt;=DATE(2026,7,1),DATE(2026,7,1)&lt;=EDATE('Model inputs'!B20,'Model inputs'!B18-1*1))),'Model inputs'!I28,"")="",0,IF(IF(AND('Model inputs'!B20&lt;=DATE(2026,7,1),DATE(2026,7,1)&lt;=EDATE('Model inputs'!B20,'Model inputs'!B18-1*1))="",FALSE,AND('Model inputs'!B20&lt;=DATE(2026,7,1),DATE(2026,7,1)&lt;=EDATE('Model inputs'!B20,'Model inputs'!B18-1*1))),'Model inputs'!I28,"")),IF(IF(IF(AND('Model inputs'!B20&lt;=DATE(2026,8,1),DATE(2026,8,1)&lt;=EDATE('Model inputs'!B20,'Model inputs'!B18-1*1))="",FALSE,AND('Model inputs'!B20&lt;=DATE(2026,8,1),DATE(2026,8,1)&lt;=EDATE('Model inputs'!B20,'Model inputs'!B18-1*1))),'Model inputs'!J28,"")="",0,IF(IF(AND('Model inputs'!B20&lt;=DATE(2026,8,1),DATE(2026,8,1)&lt;=EDATE('Model inputs'!B20,'Model inputs'!B18-1*1))="",FALSE,AND('Model inputs'!B20&lt;=DATE(2026,8,1),DATE(2026,8,1)&lt;=EDATE('Model inputs'!B20,'Model inputs'!B18-1*1))),'Model inputs'!J28,"")),IF(IF(IF(AND('Model inputs'!B20&lt;=DATE(2026,9,1),DATE(2026,9,1)&lt;=EDATE('Model inputs'!B20,'Model inputs'!B18-1*1))="",FALSE,AND('Model inputs'!B20&lt;=DATE(2026,9,1),DATE(2026,9,1)&lt;=EDATE('Model inputs'!B20,'Model inputs'!B18-1*1))),'Model inputs'!K28,"")="",0,IF(IF(AND('Model inputs'!B20&lt;=DATE(2026,9,1),DATE(2026,9,1)&lt;=EDATE('Model inputs'!B20,'Model inputs'!B18-1*1))="",FALSE,AND('Model inputs'!B20&lt;=DATE(2026,9,1),DATE(2026,9,1)&lt;=EDATE('Model inputs'!B20,'Model inputs'!B18-1*1))),'Model inputs'!K28,"")),IF(IF(IF(AND('Model inputs'!B20&lt;=DATE(2026,10,1),DATE(2026,10,1)&lt;=EDATE('Model inputs'!B20,'Model inputs'!B18-1*1))="",FALSE,AND('Model inputs'!B20&lt;=DATE(2026,10,1),DATE(2026,10,1)&lt;=EDATE('Model inputs'!B20,'Model inputs'!B18-1*1))),'Model inputs'!L28,"")="",0,IF(IF(AND('Model inputs'!B20&lt;=DATE(2026,10,1),DATE(2026,10,1)&lt;=EDATE('Model inputs'!B20,'Model inputs'!B18-1*1))="",FALSE,AND('Model inputs'!B20&lt;=DATE(2026,10,1),DATE(2026,10,1)&lt;=EDATE('Model inputs'!B20,'Model inputs'!B18-1*1))),'Model inputs'!L28,"")),IF(IF(IF(AND('Model inputs'!B20&lt;=DATE(2026,11,1),DATE(2026,11,1)&lt;=EDATE('Model inputs'!B20,'Model inputs'!B18-1*1))="",FALSE,AND('Model inputs'!B20&lt;=DATE(2026,11,1),DATE(2026,11,1)&lt;=EDATE('Model inputs'!B20,'Model inputs'!B18-1*1))),'Model inputs'!M28,"")="",0,IF(IF(AND('Model inputs'!B20&lt;=DATE(2026,11,1),DATE(2026,11,1)&lt;=EDATE('Model inputs'!B20,'Model inputs'!B18-1*1))="",FALSE,AND('Model inputs'!B20&lt;=DATE(2026,11,1),DATE(2026,11,1)&lt;=EDATE('Model inputs'!B20,'Model inputs'!B18-1*1))),'Model inputs'!M28,"")),IF(IF(IF(AND('Model inputs'!B20&lt;=DATE(2026,12,1),DATE(2026,12,1)&lt;=EDATE('Model inputs'!B20,'Model inputs'!B18-1*1))="",FALSE,AND('Model inputs'!B20&lt;=DATE(2026,12,1),DATE(2026,12,1)&lt;=EDATE('Model inputs'!B20,'Model inputs'!B18-1*1))),'Model inputs'!N28,"")="",0,IF(IF(AND('Model inputs'!B20&lt;=DATE(2026,12,1),DATE(2026,12,1)&lt;=EDATE('Model inputs'!B20,'Model inputs'!B18-1*1))="",FALSE,AND('Model inputs'!B20&lt;=DATE(2026,12,1),DATE(2026,12,1)&lt;=EDATE('Model inputs'!B20,'Model inputs'!B18-1*1))),'Model inputs'!N28,"")),IF(IF(IF(AND('Model inputs'!B20&lt;=DATE(2027,1,1),DATE(2027,1,1)&lt;=EDATE('Model inputs'!B20,'Model inputs'!B18-1*1))="",FALSE,AND('Model inputs'!B20&lt;=DATE(2027,1,1),DATE(2027,1,1)&lt;=EDATE('Model inputs'!B20,'Model inputs'!B18-1*1))),'Model inputs'!O28,"")="",0,IF(IF(AND('Model inputs'!B20&lt;=DATE(2027,1,1),DATE(2027,1,1)&lt;=EDATE('Model inputs'!B20,'Model inputs'!B18-1*1))="",FALSE,AND('Model inputs'!B20&lt;=DATE(2027,1,1),DATE(2027,1,1)&lt;=EDATE('Model inputs'!B20,'Model inputs'!B18-1*1))),'Model inputs'!O28,"")),IF(IF(IF(AND('Model inputs'!B20&lt;=DATE(2027,2,1),DATE(2027,2,1)&lt;=EDATE('Model inputs'!B20,'Model inputs'!B18-1*1))="",FALSE,AND('Model inputs'!B20&lt;=DATE(2027,2,1),DATE(2027,2,1)&lt;=EDATE('Model inputs'!B20,'Model inputs'!B18-1*1))),'Model inputs'!P28,"")="",0,IF(IF(AND('Model inputs'!B20&lt;=DATE(2027,2,1),DATE(2027,2,1)&lt;=EDATE('Model inputs'!B20,'Model inputs'!B18-1*1))="",FALSE,AND('Model inputs'!B20&lt;=DATE(2027,2,1),DATE(2027,2,1)&lt;=EDATE('Model inputs'!B20,'Model inputs'!B18-1*1))),'Model inputs'!P28,"")),IF(IF(IF(AND('Model inputs'!B20&lt;=DATE(2027,3,1),DATE(2027,3,1)&lt;=EDATE('Model inputs'!B20,'Model inputs'!B18-1*1))="",FALSE,AND('Model inputs'!B20&lt;=DATE(2027,3,1),DATE(2027,3,1)&lt;=EDATE('Model inputs'!B20,'Model inputs'!B18-1*1))),'Model inputs'!Q28,"")="",0,IF(IF(AND('Model inputs'!B20&lt;=DATE(2027,3,1),DATE(2027,3,1)&lt;=EDATE('Model inputs'!B20,'Model inputs'!B18-1*1))="",FALSE,AND('Model inputs'!B20&lt;=DATE(2027,3,1),DATE(2027,3,1)&lt;=EDATE('Model inputs'!B20,'Model inputs'!B18-1*1))),'Model inputs'!Q28,"")),IF(IF(IF(AND('Model inputs'!B20&lt;=DATE(2027,4,1),DATE(2027,4,1)&lt;=EDATE('Model inputs'!B20,'Model inputs'!B18-1*1))="",FALSE,AND('Model inputs'!B20&lt;=DATE(2027,4,1),DATE(2027,4,1)&lt;=EDATE('Model inputs'!B20,'Model inputs'!B18-1*1))),'Model inputs'!R28,"")="",0,IF(IF(AND('Model inputs'!B20&lt;=DATE(2027,4,1),DATE(2027,4,1)&lt;=EDATE('Model inputs'!B20,'Model inputs'!B18-1*1))="",FALSE,AND('Model inputs'!B20&lt;=DATE(2027,4,1),DATE(2027,4,1)&lt;=EDATE('Model inputs'!B20,'Model inputs'!B18-1*1))),'Model inputs'!R28,"")))</f>
      </c>
    </row>
    <row r="318">
      <c r="A318" t="inlineStr" s="14">
        <is>
          <t xml:space="preserve">Calculation</t>
        </is>
      </c>
      <c r="B318" s="8">
        <f>SUM(IF(IF(IF(AND('Model inputs'!B20&lt;=DATE(2027,5,1),DATE(2027,5,1)&lt;=EDATE('Model inputs'!B20,'Model inputs'!B18-1*1))="",FALSE,AND('Model inputs'!B20&lt;=DATE(2027,5,1),DATE(2027,5,1)&lt;=EDATE('Model inputs'!B20,'Model inputs'!B18-1*1))),'Model inputs'!S28,"")="",0,IF(IF(AND('Model inputs'!B20&lt;=DATE(2027,5,1),DATE(2027,5,1)&lt;=EDATE('Model inputs'!B20,'Model inputs'!B18-1*1))="",FALSE,AND('Model inputs'!B20&lt;=DATE(2027,5,1),DATE(2027,5,1)&lt;=EDATE('Model inputs'!B20,'Model inputs'!B18-1*1))),'Model inputs'!S28,"")),IF(IF(IF(AND('Model inputs'!B20&lt;=DATE(2027,6,1),DATE(2027,6,1)&lt;=EDATE('Model inputs'!B20,'Model inputs'!B18-1*1))="",FALSE,AND('Model inputs'!B20&lt;=DATE(2027,6,1),DATE(2027,6,1)&lt;=EDATE('Model inputs'!B20,'Model inputs'!B18-1*1))),'Model inputs'!T28,"")="",0,IF(IF(AND('Model inputs'!B20&lt;=DATE(2027,6,1),DATE(2027,6,1)&lt;=EDATE('Model inputs'!B20,'Model inputs'!B18-1*1))="",FALSE,AND('Model inputs'!B20&lt;=DATE(2027,6,1),DATE(2027,6,1)&lt;=EDATE('Model inputs'!B20,'Model inputs'!B18-1*1))),'Model inputs'!T28,"")),IF(IF(IF(AND('Model inputs'!B20&lt;=DATE(2027,7,1),DATE(2027,7,1)&lt;=EDATE('Model inputs'!B20,'Model inputs'!B18-1*1))="",FALSE,AND('Model inputs'!B20&lt;=DATE(2027,7,1),DATE(2027,7,1)&lt;=EDATE('Model inputs'!B20,'Model inputs'!B18-1*1))),'Model inputs'!U28,"")="",0,IF(IF(AND('Model inputs'!B20&lt;=DATE(2027,7,1),DATE(2027,7,1)&lt;=EDATE('Model inputs'!B20,'Model inputs'!B18-1*1))="",FALSE,AND('Model inputs'!B20&lt;=DATE(2027,7,1),DATE(2027,7,1)&lt;=EDATE('Model inputs'!B20,'Model inputs'!B18-1*1))),'Model inputs'!U28,"")),IF(IF(IF(AND('Model inputs'!B20&lt;=DATE(2027,8,1),DATE(2027,8,1)&lt;=EDATE('Model inputs'!B20,'Model inputs'!B18-1*1))="",FALSE,AND('Model inputs'!B20&lt;=DATE(2027,8,1),DATE(2027,8,1)&lt;=EDATE('Model inputs'!B20,'Model inputs'!B18-1*1))),'Model inputs'!V28,"")="",0,IF(IF(AND('Model inputs'!B20&lt;=DATE(2027,8,1),DATE(2027,8,1)&lt;=EDATE('Model inputs'!B20,'Model inputs'!B18-1*1))="",FALSE,AND('Model inputs'!B20&lt;=DATE(2027,8,1),DATE(2027,8,1)&lt;=EDATE('Model inputs'!B20,'Model inputs'!B18-1*1))),'Model inputs'!V28,"")),IF(IF(IF(AND('Model inputs'!B20&lt;=DATE(2027,9,1),DATE(2027,9,1)&lt;=EDATE('Model inputs'!B20,'Model inputs'!B18-1*1))="",FALSE,AND('Model inputs'!B20&lt;=DATE(2027,9,1),DATE(2027,9,1)&lt;=EDATE('Model inputs'!B20,'Model inputs'!B18-1*1))),'Model inputs'!W28,"")="",0,IF(IF(AND('Model inputs'!B20&lt;=DATE(2027,9,1),DATE(2027,9,1)&lt;=EDATE('Model inputs'!B20,'Model inputs'!B18-1*1))="",FALSE,AND('Model inputs'!B20&lt;=DATE(2027,9,1),DATE(2027,9,1)&lt;=EDATE('Model inputs'!B20,'Model inputs'!B18-1*1))),'Model inputs'!W28,"")),IF(IF(IF(AND('Model inputs'!B20&lt;=DATE(2027,10,1),DATE(2027,10,1)&lt;=EDATE('Model inputs'!B20,'Model inputs'!B18-1*1))="",FALSE,AND('Model inputs'!B20&lt;=DATE(2027,10,1),DATE(2027,10,1)&lt;=EDATE('Model inputs'!B20,'Model inputs'!B18-1*1))),'Model inputs'!X28,"")="",0,IF(IF(AND('Model inputs'!B20&lt;=DATE(2027,10,1),DATE(2027,10,1)&lt;=EDATE('Model inputs'!B20,'Model inputs'!B18-1*1))="",FALSE,AND('Model inputs'!B20&lt;=DATE(2027,10,1),DATE(2027,10,1)&lt;=EDATE('Model inputs'!B20,'Model inputs'!B18-1*1))),'Model inputs'!X28,"")),IF(IF(IF(AND('Model inputs'!B20&lt;=DATE(2027,11,1),DATE(2027,11,1)&lt;=EDATE('Model inputs'!B20,'Model inputs'!B18-1*1))="",FALSE,AND('Model inputs'!B20&lt;=DATE(2027,11,1),DATE(2027,11,1)&lt;=EDATE('Model inputs'!B20,'Model inputs'!B18-1*1))),'Model inputs'!Y28,"")="",0,IF(IF(AND('Model inputs'!B20&lt;=DATE(2027,11,1),DATE(2027,11,1)&lt;=EDATE('Model inputs'!B20,'Model inputs'!B18-1*1))="",FALSE,AND('Model inputs'!B20&lt;=DATE(2027,11,1),DATE(2027,11,1)&lt;=EDATE('Model inputs'!B20,'Model inputs'!B18-1*1))),'Model inputs'!Y28,"")),IF(IF(IF(AND('Model inputs'!B20&lt;=DATE(2027,12,1),DATE(2027,12,1)&lt;=EDATE('Model inputs'!B20,'Model inputs'!B18-1*1))="",FALSE,AND('Model inputs'!B20&lt;=DATE(2027,12,1),DATE(2027,12,1)&lt;=EDATE('Model inputs'!B20,'Model inputs'!B18-1*1))),'Model inputs'!Z28,"")="",0,IF(IF(AND('Model inputs'!B20&lt;=DATE(2027,12,1),DATE(2027,12,1)&lt;=EDATE('Model inputs'!B20,'Model inputs'!B18-1*1))="",FALSE,AND('Model inputs'!B20&lt;=DATE(2027,12,1),DATE(2027,12,1)&lt;=EDATE('Model inputs'!B20,'Model inputs'!B18-1*1))),'Model inputs'!Z28,"")))</f>
      </c>
    </row>
    <row r="319">
      <c r="A319" t="inlineStr" s="14">
        <is>
          <t xml:space="preserve">Calculation</t>
        </is>
      </c>
      <c r="B319" s="8">
        <f>SUM(IF(IF(IF(AND('Model inputs'!B21&lt;=DATE(2026,1,1),DATE(2026,1,1)&lt;=EDATE('Model inputs'!B21,'Model inputs'!B19-1*1))="",FALSE,AND('Model inputs'!B21&lt;=DATE(2026,1,1),DATE(2026,1,1)&lt;=EDATE('Model inputs'!B21,'Model inputs'!B19-1*1))),'Model inputs'!C29,"")="",0,IF(IF(AND('Model inputs'!B21&lt;=DATE(2026,1,1),DATE(2026,1,1)&lt;=EDATE('Model inputs'!B21,'Model inputs'!B19-1*1))="",FALSE,AND('Model inputs'!B21&lt;=DATE(2026,1,1),DATE(2026,1,1)&lt;=EDATE('Model inputs'!B21,'Model inputs'!B19-1*1))),'Model inputs'!C29,"")),IF(IF(IF(AND('Model inputs'!B21&lt;=DATE(2026,2,1),DATE(2026,2,1)&lt;=EDATE('Model inputs'!B21,'Model inputs'!B19-1*1))="",FALSE,AND('Model inputs'!B21&lt;=DATE(2026,2,1),DATE(2026,2,1)&lt;=EDATE('Model inputs'!B21,'Model inputs'!B19-1*1))),'Model inputs'!D29,"")="",0,IF(IF(AND('Model inputs'!B21&lt;=DATE(2026,2,1),DATE(2026,2,1)&lt;=EDATE('Model inputs'!B21,'Model inputs'!B19-1*1))="",FALSE,AND('Model inputs'!B21&lt;=DATE(2026,2,1),DATE(2026,2,1)&lt;=EDATE('Model inputs'!B21,'Model inputs'!B19-1*1))),'Model inputs'!D29,"")),IF(IF(IF(AND('Model inputs'!B21&lt;=DATE(2026,3,1),DATE(2026,3,1)&lt;=EDATE('Model inputs'!B21,'Model inputs'!B19-1*1))="",FALSE,AND('Model inputs'!B21&lt;=DATE(2026,3,1),DATE(2026,3,1)&lt;=EDATE('Model inputs'!B21,'Model inputs'!B19-1*1))),'Model inputs'!E29,"")="",0,IF(IF(AND('Model inputs'!B21&lt;=DATE(2026,3,1),DATE(2026,3,1)&lt;=EDATE('Model inputs'!B21,'Model inputs'!B19-1*1))="",FALSE,AND('Model inputs'!B21&lt;=DATE(2026,3,1),DATE(2026,3,1)&lt;=EDATE('Model inputs'!B21,'Model inputs'!B19-1*1))),'Model inputs'!E29,"")),IF(IF(IF(AND('Model inputs'!B21&lt;=DATE(2026,4,1),DATE(2026,4,1)&lt;=EDATE('Model inputs'!B21,'Model inputs'!B19-1*1))="",FALSE,AND('Model inputs'!B21&lt;=DATE(2026,4,1),DATE(2026,4,1)&lt;=EDATE('Model inputs'!B21,'Model inputs'!B19-1*1))),'Model inputs'!F29,"")="",0,IF(IF(AND('Model inputs'!B21&lt;=DATE(2026,4,1),DATE(2026,4,1)&lt;=EDATE('Model inputs'!B21,'Model inputs'!B19-1*1))="",FALSE,AND('Model inputs'!B21&lt;=DATE(2026,4,1),DATE(2026,4,1)&lt;=EDATE('Model inputs'!B21,'Model inputs'!B19-1*1))),'Model inputs'!F29,"")),IF(IF(IF(AND('Model inputs'!B21&lt;=DATE(2026,5,1),DATE(2026,5,1)&lt;=EDATE('Model inputs'!B21,'Model inputs'!B19-1*1))="",FALSE,AND('Model inputs'!B21&lt;=DATE(2026,5,1),DATE(2026,5,1)&lt;=EDATE('Model inputs'!B21,'Model inputs'!B19-1*1))),'Model inputs'!G29,"")="",0,IF(IF(AND('Model inputs'!B21&lt;=DATE(2026,5,1),DATE(2026,5,1)&lt;=EDATE('Model inputs'!B21,'Model inputs'!B19-1*1))="",FALSE,AND('Model inputs'!B21&lt;=DATE(2026,5,1),DATE(2026,5,1)&lt;=EDATE('Model inputs'!B21,'Model inputs'!B19-1*1))),'Model inputs'!G29,"")),IF(IF(IF(AND('Model inputs'!B21&lt;=DATE(2026,6,1),DATE(2026,6,1)&lt;=EDATE('Model inputs'!B21,'Model inputs'!B19-1*1))="",FALSE,AND('Model inputs'!B21&lt;=DATE(2026,6,1),DATE(2026,6,1)&lt;=EDATE('Model inputs'!B21,'Model inputs'!B19-1*1))),'Model inputs'!H29,"")="",0,IF(IF(AND('Model inputs'!B21&lt;=DATE(2026,6,1),DATE(2026,6,1)&lt;=EDATE('Model inputs'!B21,'Model inputs'!B19-1*1))="",FALSE,AND('Model inputs'!B21&lt;=DATE(2026,6,1),DATE(2026,6,1)&lt;=EDATE('Model inputs'!B21,'Model inputs'!B19-1*1))),'Model inputs'!H29,"")),IF(IF(IF(AND('Model inputs'!B21&lt;=DATE(2026,7,1),DATE(2026,7,1)&lt;=EDATE('Model inputs'!B21,'Model inputs'!B19-1*1))="",FALSE,AND('Model inputs'!B21&lt;=DATE(2026,7,1),DATE(2026,7,1)&lt;=EDATE('Model inputs'!B21,'Model inputs'!B19-1*1))),'Model inputs'!I29,"")="",0,IF(IF(AND('Model inputs'!B21&lt;=DATE(2026,7,1),DATE(2026,7,1)&lt;=EDATE('Model inputs'!B21,'Model inputs'!B19-1*1))="",FALSE,AND('Model inputs'!B21&lt;=DATE(2026,7,1),DATE(2026,7,1)&lt;=EDATE('Model inputs'!B21,'Model inputs'!B19-1*1))),'Model inputs'!I29,"")),IF(IF(IF(AND('Model inputs'!B21&lt;=DATE(2026,8,1),DATE(2026,8,1)&lt;=EDATE('Model inputs'!B21,'Model inputs'!B19-1*1))="",FALSE,AND('Model inputs'!B21&lt;=DATE(2026,8,1),DATE(2026,8,1)&lt;=EDATE('Model inputs'!B21,'Model inputs'!B19-1*1))),'Model inputs'!J29,"")="",0,IF(IF(AND('Model inputs'!B21&lt;=DATE(2026,8,1),DATE(2026,8,1)&lt;=EDATE('Model inputs'!B21,'Model inputs'!B19-1*1))="",FALSE,AND('Model inputs'!B21&lt;=DATE(2026,8,1),DATE(2026,8,1)&lt;=EDATE('Model inputs'!B21,'Model inputs'!B19-1*1))),'Model inputs'!J29,"")),IF(IF(IF(AND('Model inputs'!B21&lt;=DATE(2026,9,1),DATE(2026,9,1)&lt;=EDATE('Model inputs'!B21,'Model inputs'!B19-1*1))="",FALSE,AND('Model inputs'!B21&lt;=DATE(2026,9,1),DATE(2026,9,1)&lt;=EDATE('Model inputs'!B21,'Model inputs'!B19-1*1))),'Model inputs'!K29,"")="",0,IF(IF(AND('Model inputs'!B21&lt;=DATE(2026,9,1),DATE(2026,9,1)&lt;=EDATE('Model inputs'!B21,'Model inputs'!B19-1*1))="",FALSE,AND('Model inputs'!B21&lt;=DATE(2026,9,1),DATE(2026,9,1)&lt;=EDATE('Model inputs'!B21,'Model inputs'!B19-1*1))),'Model inputs'!K29,"")),IF(IF(IF(AND('Model inputs'!B21&lt;=DATE(2026,10,1),DATE(2026,10,1)&lt;=EDATE('Model inputs'!B21,'Model inputs'!B19-1*1))="",FALSE,AND('Model inputs'!B21&lt;=DATE(2026,10,1),DATE(2026,10,1)&lt;=EDATE('Model inputs'!B21,'Model inputs'!B19-1*1))),'Model inputs'!L29,"")="",0,IF(IF(AND('Model inputs'!B21&lt;=DATE(2026,10,1),DATE(2026,10,1)&lt;=EDATE('Model inputs'!B21,'Model inputs'!B19-1*1))="",FALSE,AND('Model inputs'!B21&lt;=DATE(2026,10,1),DATE(2026,10,1)&lt;=EDATE('Model inputs'!B21,'Model inputs'!B19-1*1))),'Model inputs'!L29,"")),IF(IF(IF(AND('Model inputs'!B21&lt;=DATE(2026,11,1),DATE(2026,11,1)&lt;=EDATE('Model inputs'!B21,'Model inputs'!B19-1*1))="",FALSE,AND('Model inputs'!B21&lt;=DATE(2026,11,1),DATE(2026,11,1)&lt;=EDATE('Model inputs'!B21,'Model inputs'!B19-1*1))),'Model inputs'!M29,"")="",0,IF(IF(AND('Model inputs'!B21&lt;=DATE(2026,11,1),DATE(2026,11,1)&lt;=EDATE('Model inputs'!B21,'Model inputs'!B19-1*1))="",FALSE,AND('Model inputs'!B21&lt;=DATE(2026,11,1),DATE(2026,11,1)&lt;=EDATE('Model inputs'!B21,'Model inputs'!B19-1*1))),'Model inputs'!M29,"")),IF(IF(IF(AND('Model inputs'!B21&lt;=DATE(2026,12,1),DATE(2026,12,1)&lt;=EDATE('Model inputs'!B21,'Model inputs'!B19-1*1))="",FALSE,AND('Model inputs'!B21&lt;=DATE(2026,12,1),DATE(2026,12,1)&lt;=EDATE('Model inputs'!B21,'Model inputs'!B19-1*1))),'Model inputs'!N29,"")="",0,IF(IF(AND('Model inputs'!B21&lt;=DATE(2026,12,1),DATE(2026,12,1)&lt;=EDATE('Model inputs'!B21,'Model inputs'!B19-1*1))="",FALSE,AND('Model inputs'!B21&lt;=DATE(2026,12,1),DATE(2026,12,1)&lt;=EDATE('Model inputs'!B21,'Model inputs'!B19-1*1))),'Model inputs'!N29,"")),IF(IF(IF(AND('Model inputs'!B21&lt;=DATE(2027,1,1),DATE(2027,1,1)&lt;=EDATE('Model inputs'!B21,'Model inputs'!B19-1*1))="",FALSE,AND('Model inputs'!B21&lt;=DATE(2027,1,1),DATE(2027,1,1)&lt;=EDATE('Model inputs'!B21,'Model inputs'!B19-1*1))),'Model inputs'!O29,"")="",0,IF(IF(AND('Model inputs'!B21&lt;=DATE(2027,1,1),DATE(2027,1,1)&lt;=EDATE('Model inputs'!B21,'Model inputs'!B19-1*1))="",FALSE,AND('Model inputs'!B21&lt;=DATE(2027,1,1),DATE(2027,1,1)&lt;=EDATE('Model inputs'!B21,'Model inputs'!B19-1*1))),'Model inputs'!O29,"")),IF(IF(IF(AND('Model inputs'!B21&lt;=DATE(2027,2,1),DATE(2027,2,1)&lt;=EDATE('Model inputs'!B21,'Model inputs'!B19-1*1))="",FALSE,AND('Model inputs'!B21&lt;=DATE(2027,2,1),DATE(2027,2,1)&lt;=EDATE('Model inputs'!B21,'Model inputs'!B19-1*1))),'Model inputs'!P29,"")="",0,IF(IF(AND('Model inputs'!B21&lt;=DATE(2027,2,1),DATE(2027,2,1)&lt;=EDATE('Model inputs'!B21,'Model inputs'!B19-1*1))="",FALSE,AND('Model inputs'!B21&lt;=DATE(2027,2,1),DATE(2027,2,1)&lt;=EDATE('Model inputs'!B21,'Model inputs'!B19-1*1))),'Model inputs'!P29,"")),IF(IF(IF(AND('Model inputs'!B21&lt;=DATE(2027,3,1),DATE(2027,3,1)&lt;=EDATE('Model inputs'!B21,'Model inputs'!B19-1*1))="",FALSE,AND('Model inputs'!B21&lt;=DATE(2027,3,1),DATE(2027,3,1)&lt;=EDATE('Model inputs'!B21,'Model inputs'!B19-1*1))),'Model inputs'!Q29,"")="",0,IF(IF(AND('Model inputs'!B21&lt;=DATE(2027,3,1),DATE(2027,3,1)&lt;=EDATE('Model inputs'!B21,'Model inputs'!B19-1*1))="",FALSE,AND('Model inputs'!B21&lt;=DATE(2027,3,1),DATE(2027,3,1)&lt;=EDATE('Model inputs'!B21,'Model inputs'!B19-1*1))),'Model inputs'!Q29,"")),IF(IF(IF(AND('Model inputs'!B21&lt;=DATE(2027,4,1),DATE(2027,4,1)&lt;=EDATE('Model inputs'!B21,'Model inputs'!B19-1*1))="",FALSE,AND('Model inputs'!B21&lt;=DATE(2027,4,1),DATE(2027,4,1)&lt;=EDATE('Model inputs'!B21,'Model inputs'!B19-1*1))),'Model inputs'!R29,"")="",0,IF(IF(AND('Model inputs'!B21&lt;=DATE(2027,4,1),DATE(2027,4,1)&lt;=EDATE('Model inputs'!B21,'Model inputs'!B19-1*1))="",FALSE,AND('Model inputs'!B21&lt;=DATE(2027,4,1),DATE(2027,4,1)&lt;=EDATE('Model inputs'!B21,'Model inputs'!B19-1*1))),'Model inputs'!R29,"")))</f>
      </c>
    </row>
    <row r="320">
      <c r="A320" t="inlineStr" s="14">
        <is>
          <t xml:space="preserve">Calculation</t>
        </is>
      </c>
      <c r="B320" s="8">
        <f>SUM(IF(IF(IF(AND('Model inputs'!B21&lt;=DATE(2027,5,1),DATE(2027,5,1)&lt;=EDATE('Model inputs'!B21,'Model inputs'!B19-1*1))="",FALSE,AND('Model inputs'!B21&lt;=DATE(2027,5,1),DATE(2027,5,1)&lt;=EDATE('Model inputs'!B21,'Model inputs'!B19-1*1))),'Model inputs'!S29,"")="",0,IF(IF(AND('Model inputs'!B21&lt;=DATE(2027,5,1),DATE(2027,5,1)&lt;=EDATE('Model inputs'!B21,'Model inputs'!B19-1*1))="",FALSE,AND('Model inputs'!B21&lt;=DATE(2027,5,1),DATE(2027,5,1)&lt;=EDATE('Model inputs'!B21,'Model inputs'!B19-1*1))),'Model inputs'!S29,"")),IF(IF(IF(AND('Model inputs'!B21&lt;=DATE(2027,6,1),DATE(2027,6,1)&lt;=EDATE('Model inputs'!B21,'Model inputs'!B19-1*1))="",FALSE,AND('Model inputs'!B21&lt;=DATE(2027,6,1),DATE(2027,6,1)&lt;=EDATE('Model inputs'!B21,'Model inputs'!B19-1*1))),'Model inputs'!T29,"")="",0,IF(IF(AND('Model inputs'!B21&lt;=DATE(2027,6,1),DATE(2027,6,1)&lt;=EDATE('Model inputs'!B21,'Model inputs'!B19-1*1))="",FALSE,AND('Model inputs'!B21&lt;=DATE(2027,6,1),DATE(2027,6,1)&lt;=EDATE('Model inputs'!B21,'Model inputs'!B19-1*1))),'Model inputs'!T29,"")),IF(IF(IF(AND('Model inputs'!B21&lt;=DATE(2027,7,1),DATE(2027,7,1)&lt;=EDATE('Model inputs'!B21,'Model inputs'!B19-1*1))="",FALSE,AND('Model inputs'!B21&lt;=DATE(2027,7,1),DATE(2027,7,1)&lt;=EDATE('Model inputs'!B21,'Model inputs'!B19-1*1))),'Model inputs'!U29,"")="",0,IF(IF(AND('Model inputs'!B21&lt;=DATE(2027,7,1),DATE(2027,7,1)&lt;=EDATE('Model inputs'!B21,'Model inputs'!B19-1*1))="",FALSE,AND('Model inputs'!B21&lt;=DATE(2027,7,1),DATE(2027,7,1)&lt;=EDATE('Model inputs'!B21,'Model inputs'!B19-1*1))),'Model inputs'!U29,"")),IF(IF(IF(AND('Model inputs'!B21&lt;=DATE(2027,8,1),DATE(2027,8,1)&lt;=EDATE('Model inputs'!B21,'Model inputs'!B19-1*1))="",FALSE,AND('Model inputs'!B21&lt;=DATE(2027,8,1),DATE(2027,8,1)&lt;=EDATE('Model inputs'!B21,'Model inputs'!B19-1*1))),'Model inputs'!V29,"")="",0,IF(IF(AND('Model inputs'!B21&lt;=DATE(2027,8,1),DATE(2027,8,1)&lt;=EDATE('Model inputs'!B21,'Model inputs'!B19-1*1))="",FALSE,AND('Model inputs'!B21&lt;=DATE(2027,8,1),DATE(2027,8,1)&lt;=EDATE('Model inputs'!B21,'Model inputs'!B19-1*1))),'Model inputs'!V29,"")),IF(IF(IF(AND('Model inputs'!B21&lt;=DATE(2027,9,1),DATE(2027,9,1)&lt;=EDATE('Model inputs'!B21,'Model inputs'!B19-1*1))="",FALSE,AND('Model inputs'!B21&lt;=DATE(2027,9,1),DATE(2027,9,1)&lt;=EDATE('Model inputs'!B21,'Model inputs'!B19-1*1))),'Model inputs'!W29,"")="",0,IF(IF(AND('Model inputs'!B21&lt;=DATE(2027,9,1),DATE(2027,9,1)&lt;=EDATE('Model inputs'!B21,'Model inputs'!B19-1*1))="",FALSE,AND('Model inputs'!B21&lt;=DATE(2027,9,1),DATE(2027,9,1)&lt;=EDATE('Model inputs'!B21,'Model inputs'!B19-1*1))),'Model inputs'!W29,"")),IF(IF(IF(AND('Model inputs'!B21&lt;=DATE(2027,10,1),DATE(2027,10,1)&lt;=EDATE('Model inputs'!B21,'Model inputs'!B19-1*1))="",FALSE,AND('Model inputs'!B21&lt;=DATE(2027,10,1),DATE(2027,10,1)&lt;=EDATE('Model inputs'!B21,'Model inputs'!B19-1*1))),'Model inputs'!X29,"")="",0,IF(IF(AND('Model inputs'!B21&lt;=DATE(2027,10,1),DATE(2027,10,1)&lt;=EDATE('Model inputs'!B21,'Model inputs'!B19-1*1))="",FALSE,AND('Model inputs'!B21&lt;=DATE(2027,10,1),DATE(2027,10,1)&lt;=EDATE('Model inputs'!B21,'Model inputs'!B19-1*1))),'Model inputs'!X29,"")),IF(IF(IF(AND('Model inputs'!B21&lt;=DATE(2027,11,1),DATE(2027,11,1)&lt;=EDATE('Model inputs'!B21,'Model inputs'!B19-1*1))="",FALSE,AND('Model inputs'!B21&lt;=DATE(2027,11,1),DATE(2027,11,1)&lt;=EDATE('Model inputs'!B21,'Model inputs'!B19-1*1))),'Model inputs'!Y29,"")="",0,IF(IF(AND('Model inputs'!B21&lt;=DATE(2027,11,1),DATE(2027,11,1)&lt;=EDATE('Model inputs'!B21,'Model inputs'!B19-1*1))="",FALSE,AND('Model inputs'!B21&lt;=DATE(2027,11,1),DATE(2027,11,1)&lt;=EDATE('Model inputs'!B21,'Model inputs'!B19-1*1))),'Model inputs'!Y29,"")),IF(IF(IF(AND('Model inputs'!B21&lt;=DATE(2027,12,1),DATE(2027,12,1)&lt;=EDATE('Model inputs'!B21,'Model inputs'!B19-1*1))="",FALSE,AND('Model inputs'!B21&lt;=DATE(2027,12,1),DATE(2027,12,1)&lt;=EDATE('Model inputs'!B21,'Model inputs'!B19-1*1))),'Model inputs'!Z29,"")="",0,IF(IF(AND('Model inputs'!B21&lt;=DATE(2027,12,1),DATE(2027,12,1)&lt;=EDATE('Model inputs'!B21,'Model inputs'!B19-1*1))="",FALSE,AND('Model inputs'!B21&lt;=DATE(2027,12,1),DATE(2027,12,1)&lt;=EDATE('Model inputs'!B21,'Model inputs'!B19-1*1))),'Model inputs'!Z29,"")))</f>
      </c>
    </row>
    <row r="321">
      <c r="A321" t="inlineStr" s="14">
        <is>
          <t xml:space="preserve">Calculation</t>
        </is>
      </c>
      <c r="B321" s="8">
        <f>SUM(IF(IF(IF(AND('Model inputs'!B20&lt;=DATE(2026,1,1),DATE(2026,1,1)&lt;=EDATE('Model inputs'!B20,'Model inputs'!B18-1*1))="",FALSE,AND('Model inputs'!B20&lt;=DATE(2026,1,1),DATE(2026,1,1)&lt;=EDATE('Model inputs'!B20,'Model inputs'!B18-1*1))),'Model inputs'!C82,"")="",0,IF(IF(AND('Model inputs'!B20&lt;=DATE(2026,1,1),DATE(2026,1,1)&lt;=EDATE('Model inputs'!B20,'Model inputs'!B18-1*1))="",FALSE,AND('Model inputs'!B20&lt;=DATE(2026,1,1),DATE(2026,1,1)&lt;=EDATE('Model inputs'!B20,'Model inputs'!B18-1*1))),'Model inputs'!C82,"")),IF(IF(IF(AND('Model inputs'!B20&lt;=DATE(2026,2,1),DATE(2026,2,1)&lt;=EDATE('Model inputs'!B20,'Model inputs'!B18-1*1))="",FALSE,AND('Model inputs'!B20&lt;=DATE(2026,2,1),DATE(2026,2,1)&lt;=EDATE('Model inputs'!B20,'Model inputs'!B18-1*1))),'Model inputs'!D82,"")="",0,IF(IF(AND('Model inputs'!B20&lt;=DATE(2026,2,1),DATE(2026,2,1)&lt;=EDATE('Model inputs'!B20,'Model inputs'!B18-1*1))="",FALSE,AND('Model inputs'!B20&lt;=DATE(2026,2,1),DATE(2026,2,1)&lt;=EDATE('Model inputs'!B20,'Model inputs'!B18-1*1))),'Model inputs'!D82,"")),IF(IF(IF(AND('Model inputs'!B20&lt;=DATE(2026,3,1),DATE(2026,3,1)&lt;=EDATE('Model inputs'!B20,'Model inputs'!B18-1*1))="",FALSE,AND('Model inputs'!B20&lt;=DATE(2026,3,1),DATE(2026,3,1)&lt;=EDATE('Model inputs'!B20,'Model inputs'!B18-1*1))),'Model inputs'!E82,"")="",0,IF(IF(AND('Model inputs'!B20&lt;=DATE(2026,3,1),DATE(2026,3,1)&lt;=EDATE('Model inputs'!B20,'Model inputs'!B18-1*1))="",FALSE,AND('Model inputs'!B20&lt;=DATE(2026,3,1),DATE(2026,3,1)&lt;=EDATE('Model inputs'!B20,'Model inputs'!B18-1*1))),'Model inputs'!E82,"")),IF(IF(IF(AND('Model inputs'!B20&lt;=DATE(2026,4,1),DATE(2026,4,1)&lt;=EDATE('Model inputs'!B20,'Model inputs'!B18-1*1))="",FALSE,AND('Model inputs'!B20&lt;=DATE(2026,4,1),DATE(2026,4,1)&lt;=EDATE('Model inputs'!B20,'Model inputs'!B18-1*1))),'Model inputs'!F82,"")="",0,IF(IF(AND('Model inputs'!B20&lt;=DATE(2026,4,1),DATE(2026,4,1)&lt;=EDATE('Model inputs'!B20,'Model inputs'!B18-1*1))="",FALSE,AND('Model inputs'!B20&lt;=DATE(2026,4,1),DATE(2026,4,1)&lt;=EDATE('Model inputs'!B20,'Model inputs'!B18-1*1))),'Model inputs'!F82,"")),IF(IF(IF(AND('Model inputs'!B20&lt;=DATE(2026,5,1),DATE(2026,5,1)&lt;=EDATE('Model inputs'!B20,'Model inputs'!B18-1*1))="",FALSE,AND('Model inputs'!B20&lt;=DATE(2026,5,1),DATE(2026,5,1)&lt;=EDATE('Model inputs'!B20,'Model inputs'!B18-1*1))),'Model inputs'!G82,"")="",0,IF(IF(AND('Model inputs'!B20&lt;=DATE(2026,5,1),DATE(2026,5,1)&lt;=EDATE('Model inputs'!B20,'Model inputs'!B18-1*1))="",FALSE,AND('Model inputs'!B20&lt;=DATE(2026,5,1),DATE(2026,5,1)&lt;=EDATE('Model inputs'!B20,'Model inputs'!B18-1*1))),'Model inputs'!G82,"")),IF(IF(IF(AND('Model inputs'!B20&lt;=DATE(2026,6,1),DATE(2026,6,1)&lt;=EDATE('Model inputs'!B20,'Model inputs'!B18-1*1))="",FALSE,AND('Model inputs'!B20&lt;=DATE(2026,6,1),DATE(2026,6,1)&lt;=EDATE('Model inputs'!B20,'Model inputs'!B18-1*1))),'Model inputs'!H82,"")="",0,IF(IF(AND('Model inputs'!B20&lt;=DATE(2026,6,1),DATE(2026,6,1)&lt;=EDATE('Model inputs'!B20,'Model inputs'!B18-1*1))="",FALSE,AND('Model inputs'!B20&lt;=DATE(2026,6,1),DATE(2026,6,1)&lt;=EDATE('Model inputs'!B20,'Model inputs'!B18-1*1))),'Model inputs'!H82,"")),IF(IF(IF(AND('Model inputs'!B20&lt;=DATE(2026,7,1),DATE(2026,7,1)&lt;=EDATE('Model inputs'!B20,'Model inputs'!B18-1*1))="",FALSE,AND('Model inputs'!B20&lt;=DATE(2026,7,1),DATE(2026,7,1)&lt;=EDATE('Model inputs'!B20,'Model inputs'!B18-1*1))),'Model inputs'!I82,"")="",0,IF(IF(AND('Model inputs'!B20&lt;=DATE(2026,7,1),DATE(2026,7,1)&lt;=EDATE('Model inputs'!B20,'Model inputs'!B18-1*1))="",FALSE,AND('Model inputs'!B20&lt;=DATE(2026,7,1),DATE(2026,7,1)&lt;=EDATE('Model inputs'!B20,'Model inputs'!B18-1*1))),'Model inputs'!I82,"")),IF(IF(IF(AND('Model inputs'!B20&lt;=DATE(2026,8,1),DATE(2026,8,1)&lt;=EDATE('Model inputs'!B20,'Model inputs'!B18-1*1))="",FALSE,AND('Model inputs'!B20&lt;=DATE(2026,8,1),DATE(2026,8,1)&lt;=EDATE('Model inputs'!B20,'Model inputs'!B18-1*1))),'Model inputs'!J82,"")="",0,IF(IF(AND('Model inputs'!B20&lt;=DATE(2026,8,1),DATE(2026,8,1)&lt;=EDATE('Model inputs'!B20,'Model inputs'!B18-1*1))="",FALSE,AND('Model inputs'!B20&lt;=DATE(2026,8,1),DATE(2026,8,1)&lt;=EDATE('Model inputs'!B20,'Model inputs'!B18-1*1))),'Model inputs'!J82,"")),IF(IF(IF(AND('Model inputs'!B20&lt;=DATE(2026,9,1),DATE(2026,9,1)&lt;=EDATE('Model inputs'!B20,'Model inputs'!B18-1*1))="",FALSE,AND('Model inputs'!B20&lt;=DATE(2026,9,1),DATE(2026,9,1)&lt;=EDATE('Model inputs'!B20,'Model inputs'!B18-1*1))),'Model inputs'!K82,"")="",0,IF(IF(AND('Model inputs'!B20&lt;=DATE(2026,9,1),DATE(2026,9,1)&lt;=EDATE('Model inputs'!B20,'Model inputs'!B18-1*1))="",FALSE,AND('Model inputs'!B20&lt;=DATE(2026,9,1),DATE(2026,9,1)&lt;=EDATE('Model inputs'!B20,'Model inputs'!B18-1*1))),'Model inputs'!K82,"")),IF(IF(IF(AND('Model inputs'!B20&lt;=DATE(2026,10,1),DATE(2026,10,1)&lt;=EDATE('Model inputs'!B20,'Model inputs'!B18-1*1))="",FALSE,AND('Model inputs'!B20&lt;=DATE(2026,10,1),DATE(2026,10,1)&lt;=EDATE('Model inputs'!B20,'Model inputs'!B18-1*1))),'Model inputs'!L82,"")="",0,IF(IF(AND('Model inputs'!B20&lt;=DATE(2026,10,1),DATE(2026,10,1)&lt;=EDATE('Model inputs'!B20,'Model inputs'!B18-1*1))="",FALSE,AND('Model inputs'!B20&lt;=DATE(2026,10,1),DATE(2026,10,1)&lt;=EDATE('Model inputs'!B20,'Model inputs'!B18-1*1))),'Model inputs'!L82,"")),IF(IF(IF(AND('Model inputs'!B20&lt;=DATE(2026,11,1),DATE(2026,11,1)&lt;=EDATE('Model inputs'!B20,'Model inputs'!B18-1*1))="",FALSE,AND('Model inputs'!B20&lt;=DATE(2026,11,1),DATE(2026,11,1)&lt;=EDATE('Model inputs'!B20,'Model inputs'!B18-1*1))),'Model inputs'!M82,"")="",0,IF(IF(AND('Model inputs'!B20&lt;=DATE(2026,11,1),DATE(2026,11,1)&lt;=EDATE('Model inputs'!B20,'Model inputs'!B18-1*1))="",FALSE,AND('Model inputs'!B20&lt;=DATE(2026,11,1),DATE(2026,11,1)&lt;=EDATE('Model inputs'!B20,'Model inputs'!B18-1*1))),'Model inputs'!M82,"")),IF(IF(IF(AND('Model inputs'!B20&lt;=DATE(2026,12,1),DATE(2026,12,1)&lt;=EDATE('Model inputs'!B20,'Model inputs'!B18-1*1))="",FALSE,AND('Model inputs'!B20&lt;=DATE(2026,12,1),DATE(2026,12,1)&lt;=EDATE('Model inputs'!B20,'Model inputs'!B18-1*1))),'Model inputs'!N82,"")="",0,IF(IF(AND('Model inputs'!B20&lt;=DATE(2026,12,1),DATE(2026,12,1)&lt;=EDATE('Model inputs'!B20,'Model inputs'!B18-1*1))="",FALSE,AND('Model inputs'!B20&lt;=DATE(2026,12,1),DATE(2026,12,1)&lt;=EDATE('Model inputs'!B20,'Model inputs'!B18-1*1))),'Model inputs'!N82,"")),IF(IF(IF(AND('Model inputs'!B20&lt;=DATE(2027,1,1),DATE(2027,1,1)&lt;=EDATE('Model inputs'!B20,'Model inputs'!B18-1*1))="",FALSE,AND('Model inputs'!B20&lt;=DATE(2027,1,1),DATE(2027,1,1)&lt;=EDATE('Model inputs'!B20,'Model inputs'!B18-1*1))),'Model inputs'!O82,"")="",0,IF(IF(AND('Model inputs'!B20&lt;=DATE(2027,1,1),DATE(2027,1,1)&lt;=EDATE('Model inputs'!B20,'Model inputs'!B18-1*1))="",FALSE,AND('Model inputs'!B20&lt;=DATE(2027,1,1),DATE(2027,1,1)&lt;=EDATE('Model inputs'!B20,'Model inputs'!B18-1*1))),'Model inputs'!O82,"")),IF(IF(IF(AND('Model inputs'!B20&lt;=DATE(2027,2,1),DATE(2027,2,1)&lt;=EDATE('Model inputs'!B20,'Model inputs'!B18-1*1))="",FALSE,AND('Model inputs'!B20&lt;=DATE(2027,2,1),DATE(2027,2,1)&lt;=EDATE('Model inputs'!B20,'Model inputs'!B18-1*1))),'Model inputs'!P82,"")="",0,IF(IF(AND('Model inputs'!B20&lt;=DATE(2027,2,1),DATE(2027,2,1)&lt;=EDATE('Model inputs'!B20,'Model inputs'!B18-1*1))="",FALSE,AND('Model inputs'!B20&lt;=DATE(2027,2,1),DATE(2027,2,1)&lt;=EDATE('Model inputs'!B20,'Model inputs'!B18-1*1))),'Model inputs'!P82,"")),IF(IF(IF(AND('Model inputs'!B20&lt;=DATE(2027,3,1),DATE(2027,3,1)&lt;=EDATE('Model inputs'!B20,'Model inputs'!B18-1*1))="",FALSE,AND('Model inputs'!B20&lt;=DATE(2027,3,1),DATE(2027,3,1)&lt;=EDATE('Model inputs'!B20,'Model inputs'!B18-1*1))),'Model inputs'!Q82,"")="",0,IF(IF(AND('Model inputs'!B20&lt;=DATE(2027,3,1),DATE(2027,3,1)&lt;=EDATE('Model inputs'!B20,'Model inputs'!B18-1*1))="",FALSE,AND('Model inputs'!B20&lt;=DATE(2027,3,1),DATE(2027,3,1)&lt;=EDATE('Model inputs'!B20,'Model inputs'!B18-1*1))),'Model inputs'!Q82,"")),IF(IF(IF(AND('Model inputs'!B20&lt;=DATE(2027,4,1),DATE(2027,4,1)&lt;=EDATE('Model inputs'!B20,'Model inputs'!B18-1*1))="",FALSE,AND('Model inputs'!B20&lt;=DATE(2027,4,1),DATE(2027,4,1)&lt;=EDATE('Model inputs'!B20,'Model inputs'!B18-1*1))),'Model inputs'!R82,"")="",0,IF(IF(AND('Model inputs'!B20&lt;=DATE(2027,4,1),DATE(2027,4,1)&lt;=EDATE('Model inputs'!B20,'Model inputs'!B18-1*1))="",FALSE,AND('Model inputs'!B20&lt;=DATE(2027,4,1),DATE(2027,4,1)&lt;=EDATE('Model inputs'!B20,'Model inputs'!B18-1*1))),'Model inputs'!R82,"")))</f>
      </c>
    </row>
    <row r="322">
      <c r="A322" t="inlineStr" s="14">
        <is>
          <t xml:space="preserve">Calculation</t>
        </is>
      </c>
      <c r="B322" s="8">
        <f>SUM(IF(IF(IF(AND('Model inputs'!B20&lt;=DATE(2027,5,1),DATE(2027,5,1)&lt;=EDATE('Model inputs'!B20,'Model inputs'!B18-1*1))="",FALSE,AND('Model inputs'!B20&lt;=DATE(2027,5,1),DATE(2027,5,1)&lt;=EDATE('Model inputs'!B20,'Model inputs'!B18-1*1))),'Model inputs'!S82,"")="",0,IF(IF(AND('Model inputs'!B20&lt;=DATE(2027,5,1),DATE(2027,5,1)&lt;=EDATE('Model inputs'!B20,'Model inputs'!B18-1*1))="",FALSE,AND('Model inputs'!B20&lt;=DATE(2027,5,1),DATE(2027,5,1)&lt;=EDATE('Model inputs'!B20,'Model inputs'!B18-1*1))),'Model inputs'!S82,"")),IF(IF(IF(AND('Model inputs'!B20&lt;=DATE(2027,6,1),DATE(2027,6,1)&lt;=EDATE('Model inputs'!B20,'Model inputs'!B18-1*1))="",FALSE,AND('Model inputs'!B20&lt;=DATE(2027,6,1),DATE(2027,6,1)&lt;=EDATE('Model inputs'!B20,'Model inputs'!B18-1*1))),'Model inputs'!T82,"")="",0,IF(IF(AND('Model inputs'!B20&lt;=DATE(2027,6,1),DATE(2027,6,1)&lt;=EDATE('Model inputs'!B20,'Model inputs'!B18-1*1))="",FALSE,AND('Model inputs'!B20&lt;=DATE(2027,6,1),DATE(2027,6,1)&lt;=EDATE('Model inputs'!B20,'Model inputs'!B18-1*1))),'Model inputs'!T82,"")),IF(IF(IF(AND('Model inputs'!B20&lt;=DATE(2027,7,1),DATE(2027,7,1)&lt;=EDATE('Model inputs'!B20,'Model inputs'!B18-1*1))="",FALSE,AND('Model inputs'!B20&lt;=DATE(2027,7,1),DATE(2027,7,1)&lt;=EDATE('Model inputs'!B20,'Model inputs'!B18-1*1))),'Model inputs'!U82,"")="",0,IF(IF(AND('Model inputs'!B20&lt;=DATE(2027,7,1),DATE(2027,7,1)&lt;=EDATE('Model inputs'!B20,'Model inputs'!B18-1*1))="",FALSE,AND('Model inputs'!B20&lt;=DATE(2027,7,1),DATE(2027,7,1)&lt;=EDATE('Model inputs'!B20,'Model inputs'!B18-1*1))),'Model inputs'!U82,"")),IF(IF(IF(AND('Model inputs'!B20&lt;=DATE(2027,8,1),DATE(2027,8,1)&lt;=EDATE('Model inputs'!B20,'Model inputs'!B18-1*1))="",FALSE,AND('Model inputs'!B20&lt;=DATE(2027,8,1),DATE(2027,8,1)&lt;=EDATE('Model inputs'!B20,'Model inputs'!B18-1*1))),'Model inputs'!V82,"")="",0,IF(IF(AND('Model inputs'!B20&lt;=DATE(2027,8,1),DATE(2027,8,1)&lt;=EDATE('Model inputs'!B20,'Model inputs'!B18-1*1))="",FALSE,AND('Model inputs'!B20&lt;=DATE(2027,8,1),DATE(2027,8,1)&lt;=EDATE('Model inputs'!B20,'Model inputs'!B18-1*1))),'Model inputs'!V82,"")),IF(IF(IF(AND('Model inputs'!B20&lt;=DATE(2027,9,1),DATE(2027,9,1)&lt;=EDATE('Model inputs'!B20,'Model inputs'!B18-1*1))="",FALSE,AND('Model inputs'!B20&lt;=DATE(2027,9,1),DATE(2027,9,1)&lt;=EDATE('Model inputs'!B20,'Model inputs'!B18-1*1))),'Model inputs'!W82,"")="",0,IF(IF(AND('Model inputs'!B20&lt;=DATE(2027,9,1),DATE(2027,9,1)&lt;=EDATE('Model inputs'!B20,'Model inputs'!B18-1*1))="",FALSE,AND('Model inputs'!B20&lt;=DATE(2027,9,1),DATE(2027,9,1)&lt;=EDATE('Model inputs'!B20,'Model inputs'!B18-1*1))),'Model inputs'!W82,"")),IF(IF(IF(AND('Model inputs'!B20&lt;=DATE(2027,10,1),DATE(2027,10,1)&lt;=EDATE('Model inputs'!B20,'Model inputs'!B18-1*1))="",FALSE,AND('Model inputs'!B20&lt;=DATE(2027,10,1),DATE(2027,10,1)&lt;=EDATE('Model inputs'!B20,'Model inputs'!B18-1*1))),'Model inputs'!X82,"")="",0,IF(IF(AND('Model inputs'!B20&lt;=DATE(2027,10,1),DATE(2027,10,1)&lt;=EDATE('Model inputs'!B20,'Model inputs'!B18-1*1))="",FALSE,AND('Model inputs'!B20&lt;=DATE(2027,10,1),DATE(2027,10,1)&lt;=EDATE('Model inputs'!B20,'Model inputs'!B18-1*1))),'Model inputs'!X82,"")),IF(IF(IF(AND('Model inputs'!B20&lt;=DATE(2027,11,1),DATE(2027,11,1)&lt;=EDATE('Model inputs'!B20,'Model inputs'!B18-1*1))="",FALSE,AND('Model inputs'!B20&lt;=DATE(2027,11,1),DATE(2027,11,1)&lt;=EDATE('Model inputs'!B20,'Model inputs'!B18-1*1))),'Model inputs'!Y82,"")="",0,IF(IF(AND('Model inputs'!B20&lt;=DATE(2027,11,1),DATE(2027,11,1)&lt;=EDATE('Model inputs'!B20,'Model inputs'!B18-1*1))="",FALSE,AND('Model inputs'!B20&lt;=DATE(2027,11,1),DATE(2027,11,1)&lt;=EDATE('Model inputs'!B20,'Model inputs'!B18-1*1))),'Model inputs'!Y82,"")),IF(IF(IF(AND('Model inputs'!B20&lt;=DATE(2027,12,1),DATE(2027,12,1)&lt;=EDATE('Model inputs'!B20,'Model inputs'!B18-1*1))="",FALSE,AND('Model inputs'!B20&lt;=DATE(2027,12,1),DATE(2027,12,1)&lt;=EDATE('Model inputs'!B20,'Model inputs'!B18-1*1))),'Model inputs'!Z82,"")="",0,IF(IF(AND('Model inputs'!B20&lt;=DATE(2027,12,1),DATE(2027,12,1)&lt;=EDATE('Model inputs'!B20,'Model inputs'!B18-1*1))="",FALSE,AND('Model inputs'!B20&lt;=DATE(2027,12,1),DATE(2027,12,1)&lt;=EDATE('Model inputs'!B20,'Model inputs'!B18-1*1))),'Model inputs'!Z82,"")))</f>
      </c>
    </row>
    <row r="323">
      <c r="A323" t="inlineStr" s="14">
        <is>
          <t xml:space="preserve">Calculation</t>
        </is>
      </c>
      <c r="B323" s="8">
        <f>SUM(IF(IF(IF(AND('Model inputs'!B21&lt;=DATE(2026,1,1),DATE(2026,1,1)&lt;=EDATE('Model inputs'!B21,'Model inputs'!B19-1*1))="",FALSE,AND('Model inputs'!B21&lt;=DATE(2026,1,1),DATE(2026,1,1)&lt;=EDATE('Model inputs'!B21,'Model inputs'!B19-1*1))),'Model inputs'!C83,"")="",0,IF(IF(AND('Model inputs'!B21&lt;=DATE(2026,1,1),DATE(2026,1,1)&lt;=EDATE('Model inputs'!B21,'Model inputs'!B19-1*1))="",FALSE,AND('Model inputs'!B21&lt;=DATE(2026,1,1),DATE(2026,1,1)&lt;=EDATE('Model inputs'!B21,'Model inputs'!B19-1*1))),'Model inputs'!C83,"")),IF(IF(IF(AND('Model inputs'!B21&lt;=DATE(2026,2,1),DATE(2026,2,1)&lt;=EDATE('Model inputs'!B21,'Model inputs'!B19-1*1))="",FALSE,AND('Model inputs'!B21&lt;=DATE(2026,2,1),DATE(2026,2,1)&lt;=EDATE('Model inputs'!B21,'Model inputs'!B19-1*1))),'Model inputs'!D83,"")="",0,IF(IF(AND('Model inputs'!B21&lt;=DATE(2026,2,1),DATE(2026,2,1)&lt;=EDATE('Model inputs'!B21,'Model inputs'!B19-1*1))="",FALSE,AND('Model inputs'!B21&lt;=DATE(2026,2,1),DATE(2026,2,1)&lt;=EDATE('Model inputs'!B21,'Model inputs'!B19-1*1))),'Model inputs'!D83,"")),IF(IF(IF(AND('Model inputs'!B21&lt;=DATE(2026,3,1),DATE(2026,3,1)&lt;=EDATE('Model inputs'!B21,'Model inputs'!B19-1*1))="",FALSE,AND('Model inputs'!B21&lt;=DATE(2026,3,1),DATE(2026,3,1)&lt;=EDATE('Model inputs'!B21,'Model inputs'!B19-1*1))),'Model inputs'!E83,"")="",0,IF(IF(AND('Model inputs'!B21&lt;=DATE(2026,3,1),DATE(2026,3,1)&lt;=EDATE('Model inputs'!B21,'Model inputs'!B19-1*1))="",FALSE,AND('Model inputs'!B21&lt;=DATE(2026,3,1),DATE(2026,3,1)&lt;=EDATE('Model inputs'!B21,'Model inputs'!B19-1*1))),'Model inputs'!E83,"")),IF(IF(IF(AND('Model inputs'!B21&lt;=DATE(2026,4,1),DATE(2026,4,1)&lt;=EDATE('Model inputs'!B21,'Model inputs'!B19-1*1))="",FALSE,AND('Model inputs'!B21&lt;=DATE(2026,4,1),DATE(2026,4,1)&lt;=EDATE('Model inputs'!B21,'Model inputs'!B19-1*1))),'Model inputs'!F83,"")="",0,IF(IF(AND('Model inputs'!B21&lt;=DATE(2026,4,1),DATE(2026,4,1)&lt;=EDATE('Model inputs'!B21,'Model inputs'!B19-1*1))="",FALSE,AND('Model inputs'!B21&lt;=DATE(2026,4,1),DATE(2026,4,1)&lt;=EDATE('Model inputs'!B21,'Model inputs'!B19-1*1))),'Model inputs'!F83,"")),IF(IF(IF(AND('Model inputs'!B21&lt;=DATE(2026,5,1),DATE(2026,5,1)&lt;=EDATE('Model inputs'!B21,'Model inputs'!B19-1*1))="",FALSE,AND('Model inputs'!B21&lt;=DATE(2026,5,1),DATE(2026,5,1)&lt;=EDATE('Model inputs'!B21,'Model inputs'!B19-1*1))),'Model inputs'!G83,"")="",0,IF(IF(AND('Model inputs'!B21&lt;=DATE(2026,5,1),DATE(2026,5,1)&lt;=EDATE('Model inputs'!B21,'Model inputs'!B19-1*1))="",FALSE,AND('Model inputs'!B21&lt;=DATE(2026,5,1),DATE(2026,5,1)&lt;=EDATE('Model inputs'!B21,'Model inputs'!B19-1*1))),'Model inputs'!G83,"")),IF(IF(IF(AND('Model inputs'!B21&lt;=DATE(2026,6,1),DATE(2026,6,1)&lt;=EDATE('Model inputs'!B21,'Model inputs'!B19-1*1))="",FALSE,AND('Model inputs'!B21&lt;=DATE(2026,6,1),DATE(2026,6,1)&lt;=EDATE('Model inputs'!B21,'Model inputs'!B19-1*1))),'Model inputs'!H83,"")="",0,IF(IF(AND('Model inputs'!B21&lt;=DATE(2026,6,1),DATE(2026,6,1)&lt;=EDATE('Model inputs'!B21,'Model inputs'!B19-1*1))="",FALSE,AND('Model inputs'!B21&lt;=DATE(2026,6,1),DATE(2026,6,1)&lt;=EDATE('Model inputs'!B21,'Model inputs'!B19-1*1))),'Model inputs'!H83,"")),IF(IF(IF(AND('Model inputs'!B21&lt;=DATE(2026,7,1),DATE(2026,7,1)&lt;=EDATE('Model inputs'!B21,'Model inputs'!B19-1*1))="",FALSE,AND('Model inputs'!B21&lt;=DATE(2026,7,1),DATE(2026,7,1)&lt;=EDATE('Model inputs'!B21,'Model inputs'!B19-1*1))),'Model inputs'!I83,"")="",0,IF(IF(AND('Model inputs'!B21&lt;=DATE(2026,7,1),DATE(2026,7,1)&lt;=EDATE('Model inputs'!B21,'Model inputs'!B19-1*1))="",FALSE,AND('Model inputs'!B21&lt;=DATE(2026,7,1),DATE(2026,7,1)&lt;=EDATE('Model inputs'!B21,'Model inputs'!B19-1*1))),'Model inputs'!I83,"")),IF(IF(IF(AND('Model inputs'!B21&lt;=DATE(2026,8,1),DATE(2026,8,1)&lt;=EDATE('Model inputs'!B21,'Model inputs'!B19-1*1))="",FALSE,AND('Model inputs'!B21&lt;=DATE(2026,8,1),DATE(2026,8,1)&lt;=EDATE('Model inputs'!B21,'Model inputs'!B19-1*1))),'Model inputs'!J83,"")="",0,IF(IF(AND('Model inputs'!B21&lt;=DATE(2026,8,1),DATE(2026,8,1)&lt;=EDATE('Model inputs'!B21,'Model inputs'!B19-1*1))="",FALSE,AND('Model inputs'!B21&lt;=DATE(2026,8,1),DATE(2026,8,1)&lt;=EDATE('Model inputs'!B21,'Model inputs'!B19-1*1))),'Model inputs'!J83,"")),IF(IF(IF(AND('Model inputs'!B21&lt;=DATE(2026,9,1),DATE(2026,9,1)&lt;=EDATE('Model inputs'!B21,'Model inputs'!B19-1*1))="",FALSE,AND('Model inputs'!B21&lt;=DATE(2026,9,1),DATE(2026,9,1)&lt;=EDATE('Model inputs'!B21,'Model inputs'!B19-1*1))),'Model inputs'!K83,"")="",0,IF(IF(AND('Model inputs'!B21&lt;=DATE(2026,9,1),DATE(2026,9,1)&lt;=EDATE('Model inputs'!B21,'Model inputs'!B19-1*1))="",FALSE,AND('Model inputs'!B21&lt;=DATE(2026,9,1),DATE(2026,9,1)&lt;=EDATE('Model inputs'!B21,'Model inputs'!B19-1*1))),'Model inputs'!K83,"")),IF(IF(IF(AND('Model inputs'!B21&lt;=DATE(2026,10,1),DATE(2026,10,1)&lt;=EDATE('Model inputs'!B21,'Model inputs'!B19-1*1))="",FALSE,AND('Model inputs'!B21&lt;=DATE(2026,10,1),DATE(2026,10,1)&lt;=EDATE('Model inputs'!B21,'Model inputs'!B19-1*1))),'Model inputs'!L83,"")="",0,IF(IF(AND('Model inputs'!B21&lt;=DATE(2026,10,1),DATE(2026,10,1)&lt;=EDATE('Model inputs'!B21,'Model inputs'!B19-1*1))="",FALSE,AND('Model inputs'!B21&lt;=DATE(2026,10,1),DATE(2026,10,1)&lt;=EDATE('Model inputs'!B21,'Model inputs'!B19-1*1))),'Model inputs'!L83,"")),IF(IF(IF(AND('Model inputs'!B21&lt;=DATE(2026,11,1),DATE(2026,11,1)&lt;=EDATE('Model inputs'!B21,'Model inputs'!B19-1*1))="",FALSE,AND('Model inputs'!B21&lt;=DATE(2026,11,1),DATE(2026,11,1)&lt;=EDATE('Model inputs'!B21,'Model inputs'!B19-1*1))),'Model inputs'!M83,"")="",0,IF(IF(AND('Model inputs'!B21&lt;=DATE(2026,11,1),DATE(2026,11,1)&lt;=EDATE('Model inputs'!B21,'Model inputs'!B19-1*1))="",FALSE,AND('Model inputs'!B21&lt;=DATE(2026,11,1),DATE(2026,11,1)&lt;=EDATE('Model inputs'!B21,'Model inputs'!B19-1*1))),'Model inputs'!M83,"")),IF(IF(IF(AND('Model inputs'!B21&lt;=DATE(2026,12,1),DATE(2026,12,1)&lt;=EDATE('Model inputs'!B21,'Model inputs'!B19-1*1))="",FALSE,AND('Model inputs'!B21&lt;=DATE(2026,12,1),DATE(2026,12,1)&lt;=EDATE('Model inputs'!B21,'Model inputs'!B19-1*1))),'Model inputs'!N83,"")="",0,IF(IF(AND('Model inputs'!B21&lt;=DATE(2026,12,1),DATE(2026,12,1)&lt;=EDATE('Model inputs'!B21,'Model inputs'!B19-1*1))="",FALSE,AND('Model inputs'!B21&lt;=DATE(2026,12,1),DATE(2026,12,1)&lt;=EDATE('Model inputs'!B21,'Model inputs'!B19-1*1))),'Model inputs'!N83,"")),IF(IF(IF(AND('Model inputs'!B21&lt;=DATE(2027,1,1),DATE(2027,1,1)&lt;=EDATE('Model inputs'!B21,'Model inputs'!B19-1*1))="",FALSE,AND('Model inputs'!B21&lt;=DATE(2027,1,1),DATE(2027,1,1)&lt;=EDATE('Model inputs'!B21,'Model inputs'!B19-1*1))),'Model inputs'!O83,"")="",0,IF(IF(AND('Model inputs'!B21&lt;=DATE(2027,1,1),DATE(2027,1,1)&lt;=EDATE('Model inputs'!B21,'Model inputs'!B19-1*1))="",FALSE,AND('Model inputs'!B21&lt;=DATE(2027,1,1),DATE(2027,1,1)&lt;=EDATE('Model inputs'!B21,'Model inputs'!B19-1*1))),'Model inputs'!O83,"")),IF(IF(IF(AND('Model inputs'!B21&lt;=DATE(2027,2,1),DATE(2027,2,1)&lt;=EDATE('Model inputs'!B21,'Model inputs'!B19-1*1))="",FALSE,AND('Model inputs'!B21&lt;=DATE(2027,2,1),DATE(2027,2,1)&lt;=EDATE('Model inputs'!B21,'Model inputs'!B19-1*1))),'Model inputs'!P83,"")="",0,IF(IF(AND('Model inputs'!B21&lt;=DATE(2027,2,1),DATE(2027,2,1)&lt;=EDATE('Model inputs'!B21,'Model inputs'!B19-1*1))="",FALSE,AND('Model inputs'!B21&lt;=DATE(2027,2,1),DATE(2027,2,1)&lt;=EDATE('Model inputs'!B21,'Model inputs'!B19-1*1))),'Model inputs'!P83,"")),IF(IF(IF(AND('Model inputs'!B21&lt;=DATE(2027,3,1),DATE(2027,3,1)&lt;=EDATE('Model inputs'!B21,'Model inputs'!B19-1*1))="",FALSE,AND('Model inputs'!B21&lt;=DATE(2027,3,1),DATE(2027,3,1)&lt;=EDATE('Model inputs'!B21,'Model inputs'!B19-1*1))),'Model inputs'!Q83,"")="",0,IF(IF(AND('Model inputs'!B21&lt;=DATE(2027,3,1),DATE(2027,3,1)&lt;=EDATE('Model inputs'!B21,'Model inputs'!B19-1*1))="",FALSE,AND('Model inputs'!B21&lt;=DATE(2027,3,1),DATE(2027,3,1)&lt;=EDATE('Model inputs'!B21,'Model inputs'!B19-1*1))),'Model inputs'!Q83,"")),IF(IF(IF(AND('Model inputs'!B21&lt;=DATE(2027,4,1),DATE(2027,4,1)&lt;=EDATE('Model inputs'!B21,'Model inputs'!B19-1*1))="",FALSE,AND('Model inputs'!B21&lt;=DATE(2027,4,1),DATE(2027,4,1)&lt;=EDATE('Model inputs'!B21,'Model inputs'!B19-1*1))),'Model inputs'!R83,"")="",0,IF(IF(AND('Model inputs'!B21&lt;=DATE(2027,4,1),DATE(2027,4,1)&lt;=EDATE('Model inputs'!B21,'Model inputs'!B19-1*1))="",FALSE,AND('Model inputs'!B21&lt;=DATE(2027,4,1),DATE(2027,4,1)&lt;=EDATE('Model inputs'!B21,'Model inputs'!B19-1*1))),'Model inputs'!R83,"")))</f>
      </c>
    </row>
    <row r="324">
      <c r="A324" t="inlineStr" s="14">
        <is>
          <t xml:space="preserve">Calculation</t>
        </is>
      </c>
      <c r="B324" s="8">
        <f>SUM(IF(IF(IF(AND('Model inputs'!B21&lt;=DATE(2027,5,1),DATE(2027,5,1)&lt;=EDATE('Model inputs'!B21,'Model inputs'!B19-1*1))="",FALSE,AND('Model inputs'!B21&lt;=DATE(2027,5,1),DATE(2027,5,1)&lt;=EDATE('Model inputs'!B21,'Model inputs'!B19-1*1))),'Model inputs'!S83,"")="",0,IF(IF(AND('Model inputs'!B21&lt;=DATE(2027,5,1),DATE(2027,5,1)&lt;=EDATE('Model inputs'!B21,'Model inputs'!B19-1*1))="",FALSE,AND('Model inputs'!B21&lt;=DATE(2027,5,1),DATE(2027,5,1)&lt;=EDATE('Model inputs'!B21,'Model inputs'!B19-1*1))),'Model inputs'!S83,"")),IF(IF(IF(AND('Model inputs'!B21&lt;=DATE(2027,6,1),DATE(2027,6,1)&lt;=EDATE('Model inputs'!B21,'Model inputs'!B19-1*1))="",FALSE,AND('Model inputs'!B21&lt;=DATE(2027,6,1),DATE(2027,6,1)&lt;=EDATE('Model inputs'!B21,'Model inputs'!B19-1*1))),'Model inputs'!T83,"")="",0,IF(IF(AND('Model inputs'!B21&lt;=DATE(2027,6,1),DATE(2027,6,1)&lt;=EDATE('Model inputs'!B21,'Model inputs'!B19-1*1))="",FALSE,AND('Model inputs'!B21&lt;=DATE(2027,6,1),DATE(2027,6,1)&lt;=EDATE('Model inputs'!B21,'Model inputs'!B19-1*1))),'Model inputs'!T83,"")),IF(IF(IF(AND('Model inputs'!B21&lt;=DATE(2027,7,1),DATE(2027,7,1)&lt;=EDATE('Model inputs'!B21,'Model inputs'!B19-1*1))="",FALSE,AND('Model inputs'!B21&lt;=DATE(2027,7,1),DATE(2027,7,1)&lt;=EDATE('Model inputs'!B21,'Model inputs'!B19-1*1))),'Model inputs'!U83,"")="",0,IF(IF(AND('Model inputs'!B21&lt;=DATE(2027,7,1),DATE(2027,7,1)&lt;=EDATE('Model inputs'!B21,'Model inputs'!B19-1*1))="",FALSE,AND('Model inputs'!B21&lt;=DATE(2027,7,1),DATE(2027,7,1)&lt;=EDATE('Model inputs'!B21,'Model inputs'!B19-1*1))),'Model inputs'!U83,"")),IF(IF(IF(AND('Model inputs'!B21&lt;=DATE(2027,8,1),DATE(2027,8,1)&lt;=EDATE('Model inputs'!B21,'Model inputs'!B19-1*1))="",FALSE,AND('Model inputs'!B21&lt;=DATE(2027,8,1),DATE(2027,8,1)&lt;=EDATE('Model inputs'!B21,'Model inputs'!B19-1*1))),'Model inputs'!V83,"")="",0,IF(IF(AND('Model inputs'!B21&lt;=DATE(2027,8,1),DATE(2027,8,1)&lt;=EDATE('Model inputs'!B21,'Model inputs'!B19-1*1))="",FALSE,AND('Model inputs'!B21&lt;=DATE(2027,8,1),DATE(2027,8,1)&lt;=EDATE('Model inputs'!B21,'Model inputs'!B19-1*1))),'Model inputs'!V83,"")),IF(IF(IF(AND('Model inputs'!B21&lt;=DATE(2027,9,1),DATE(2027,9,1)&lt;=EDATE('Model inputs'!B21,'Model inputs'!B19-1*1))="",FALSE,AND('Model inputs'!B21&lt;=DATE(2027,9,1),DATE(2027,9,1)&lt;=EDATE('Model inputs'!B21,'Model inputs'!B19-1*1))),'Model inputs'!W83,"")="",0,IF(IF(AND('Model inputs'!B21&lt;=DATE(2027,9,1),DATE(2027,9,1)&lt;=EDATE('Model inputs'!B21,'Model inputs'!B19-1*1))="",FALSE,AND('Model inputs'!B21&lt;=DATE(2027,9,1),DATE(2027,9,1)&lt;=EDATE('Model inputs'!B21,'Model inputs'!B19-1*1))),'Model inputs'!W83,"")),IF(IF(IF(AND('Model inputs'!B21&lt;=DATE(2027,10,1),DATE(2027,10,1)&lt;=EDATE('Model inputs'!B21,'Model inputs'!B19-1*1))="",FALSE,AND('Model inputs'!B21&lt;=DATE(2027,10,1),DATE(2027,10,1)&lt;=EDATE('Model inputs'!B21,'Model inputs'!B19-1*1))),'Model inputs'!X83,"")="",0,IF(IF(AND('Model inputs'!B21&lt;=DATE(2027,10,1),DATE(2027,10,1)&lt;=EDATE('Model inputs'!B21,'Model inputs'!B19-1*1))="",FALSE,AND('Model inputs'!B21&lt;=DATE(2027,10,1),DATE(2027,10,1)&lt;=EDATE('Model inputs'!B21,'Model inputs'!B19-1*1))),'Model inputs'!X83,"")),IF(IF(IF(AND('Model inputs'!B21&lt;=DATE(2027,11,1),DATE(2027,11,1)&lt;=EDATE('Model inputs'!B21,'Model inputs'!B19-1*1))="",FALSE,AND('Model inputs'!B21&lt;=DATE(2027,11,1),DATE(2027,11,1)&lt;=EDATE('Model inputs'!B21,'Model inputs'!B19-1*1))),'Model inputs'!Y83,"")="",0,IF(IF(AND('Model inputs'!B21&lt;=DATE(2027,11,1),DATE(2027,11,1)&lt;=EDATE('Model inputs'!B21,'Model inputs'!B19-1*1))="",FALSE,AND('Model inputs'!B21&lt;=DATE(2027,11,1),DATE(2027,11,1)&lt;=EDATE('Model inputs'!B21,'Model inputs'!B19-1*1))),'Model inputs'!Y83,"")),IF(IF(IF(AND('Model inputs'!B21&lt;=DATE(2027,12,1),DATE(2027,12,1)&lt;=EDATE('Model inputs'!B21,'Model inputs'!B19-1*1))="",FALSE,AND('Model inputs'!B21&lt;=DATE(2027,12,1),DATE(2027,12,1)&lt;=EDATE('Model inputs'!B21,'Model inputs'!B19-1*1))),'Model inputs'!Z83,"")="",0,IF(IF(AND('Model inputs'!B21&lt;=DATE(2027,12,1),DATE(2027,12,1)&lt;=EDATE('Model inputs'!B21,'Model inputs'!B19-1*1))="",FALSE,AND('Model inputs'!B21&lt;=DATE(2027,12,1),DATE(2027,12,1)&lt;=EDATE('Model inputs'!B21,'Model inputs'!B19-1*1))),'Model inputs'!Z83,"")))</f>
      </c>
    </row>
    <row r="325">
      <c r="A325" t="inlineStr" s="14">
        <is>
          <t xml:space="preserve">Calculation</t>
        </is>
      </c>
      <c r="B325">
        <f>IF(IF(EXACT("Annual deal-team",'Model inputs'!AA86)="",FALSE,EXACT("Annual deal-team",'Model inputs'!AA86)),IF('Model inputs'!L31="","",'Model inputs'!L31),"")</f>
      </c>
    </row>
    <row r="326">
      <c r="A326" t="inlineStr" s="14">
        <is>
          <t xml:space="preserve">Calculation</t>
        </is>
      </c>
      <c r="B326">
        <f>IF(IF(EXACT("Hybrid",'Model inputs'!AA86)="",FALSE,EXACT("Hybrid",'Model inputs'!AA86)),IF('Model inputs'!L32="","",'Model inputs'!L32),"")</f>
      </c>
    </row>
    <row r="327">
      <c r="A327" t="inlineStr" s="14">
        <is>
          <t xml:space="preserve">Calculation</t>
        </is>
      </c>
      <c r="B327">
        <f>IF(IF(EXACT("Per audit — base",'Model inputs'!AA86)="",FALSE,EXACT("Per audit — base",'Model inputs'!AA86)),IF('Model inputs'!L33="","",'Model inputs'!L33),"")</f>
      </c>
    </row>
    <row r="328">
      <c r="A328" t="inlineStr" s="14">
        <is>
          <t xml:space="preserve">Calculation</t>
        </is>
      </c>
      <c r="B328">
        <f>IF(IF(EXACT("Per audit — high",'Model inputs'!AA86)="",FALSE,EXACT("Per audit — high",'Model inputs'!AA86)),IF('Model inputs'!L34="","",'Model inputs'!L34),"")</f>
      </c>
    </row>
    <row r="329">
      <c r="A329" t="inlineStr" s="14">
        <is>
          <t xml:space="preserve">Calculation</t>
        </is>
      </c>
      <c r="B329">
        <f>IF(IF(EXACT("Per audit — low",'Model inputs'!AA86)="",FALSE,EXACT("Per audit — low",'Model inputs'!AA86)),IF('Model inputs'!L35="","",'Model inputs'!L35),"")</f>
      </c>
    </row>
    <row r="330">
      <c r="A330" t="inlineStr" s="14">
        <is>
          <t xml:space="preserve">Calculation</t>
        </is>
      </c>
      <c r="B330">
        <f>IF(IF(EXACT("Annual deal-team",'Model inputs'!AA86)="",FALSE,EXACT("Annual deal-team",'Model inputs'!AA86)),IF('Model inputs'!M31="","",'Model inputs'!M31),"")</f>
      </c>
    </row>
    <row r="331">
      <c r="A331" t="inlineStr" s="14">
        <is>
          <t xml:space="preserve">Calculation</t>
        </is>
      </c>
      <c r="B331">
        <f>IF(IF(EXACT("Hybrid",'Model inputs'!AA86)="",FALSE,EXACT("Hybrid",'Model inputs'!AA86)),IF('Model inputs'!M32="","",'Model inputs'!M32),"")</f>
      </c>
    </row>
    <row r="332">
      <c r="A332" t="inlineStr" s="14">
        <is>
          <t xml:space="preserve">Calculation</t>
        </is>
      </c>
      <c r="B332">
        <f>IF(IF(EXACT("Per audit — base",'Model inputs'!AA86)="",FALSE,EXACT("Per audit — base",'Model inputs'!AA86)),IF('Model inputs'!M33="","",'Model inputs'!M33),"")</f>
      </c>
    </row>
    <row r="333">
      <c r="A333" t="inlineStr" s="14">
        <is>
          <t xml:space="preserve">Calculation</t>
        </is>
      </c>
      <c r="B333">
        <f>IF(IF(EXACT("Per audit — high",'Model inputs'!AA86)="",FALSE,EXACT("Per audit — high",'Model inputs'!AA86)),IF('Model inputs'!M34="","",'Model inputs'!M34),"")</f>
      </c>
    </row>
    <row r="334">
      <c r="A334" t="inlineStr" s="14">
        <is>
          <t xml:space="preserve">Calculation</t>
        </is>
      </c>
      <c r="B334">
        <f>IF(IF(EXACT("Per audit — low",'Model inputs'!AA86)="",FALSE,EXACT("Per audit — low",'Model inputs'!AA86)),IF('Model inputs'!M35="","",'Model inputs'!M35),"")</f>
      </c>
    </row>
    <row r="335">
      <c r="A335" t="inlineStr" s="14">
        <is>
          <t xml:space="preserve">Calculation</t>
        </is>
      </c>
      <c r="B335">
        <f>IF(IF(EXACT("Annual deal-team",'Model inputs'!AA86)="",FALSE,EXACT("Annual deal-team",'Model inputs'!AA86)),IF('Model inputs'!N31="","",'Model inputs'!N31),"")</f>
      </c>
    </row>
    <row r="336">
      <c r="A336" t="inlineStr" s="14">
        <is>
          <t xml:space="preserve">Calculation</t>
        </is>
      </c>
      <c r="B336">
        <f>IF(IF(EXACT("Hybrid",'Model inputs'!AA86)="",FALSE,EXACT("Hybrid",'Model inputs'!AA86)),IF('Model inputs'!N32="","",'Model inputs'!N32),"")</f>
      </c>
    </row>
    <row r="337">
      <c r="A337" t="inlineStr" s="14">
        <is>
          <t xml:space="preserve">Calculation</t>
        </is>
      </c>
      <c r="B337">
        <f>IF(IF(EXACT("Per audit — base",'Model inputs'!AA86)="",FALSE,EXACT("Per audit — base",'Model inputs'!AA86)),IF('Model inputs'!N33="","",'Model inputs'!N33),"")</f>
      </c>
    </row>
    <row r="338">
      <c r="A338" t="inlineStr" s="14">
        <is>
          <t xml:space="preserve">Calculation</t>
        </is>
      </c>
      <c r="B338">
        <f>IF(IF(EXACT("Per audit — high",'Model inputs'!AA86)="",FALSE,EXACT("Per audit — high",'Model inputs'!AA86)),IF('Model inputs'!N34="","",'Model inputs'!N34),"")</f>
      </c>
    </row>
    <row r="339">
      <c r="A339" t="inlineStr" s="14">
        <is>
          <t xml:space="preserve">Calculation</t>
        </is>
      </c>
      <c r="B339">
        <f>IF(IF(EXACT("Per audit — low",'Model inputs'!AA86)="",FALSE,EXACT("Per audit — low",'Model inputs'!AA86)),IF('Model inputs'!N35="","",'Model inputs'!N35),"")</f>
      </c>
    </row>
    <row r="340">
      <c r="A340" t="inlineStr" s="14">
        <is>
          <t xml:space="preserve">Calculation</t>
        </is>
      </c>
      <c r="B340">
        <f>IF(IF(EXACT("Annual deal-team",'Model inputs'!AA86)="",FALSE,EXACT("Annual deal-team",'Model inputs'!AA86)),IF('Model inputs'!O31="","",'Model inputs'!O31),"")</f>
      </c>
    </row>
    <row r="341">
      <c r="A341" t="inlineStr" s="14">
        <is>
          <t xml:space="preserve">Calculation</t>
        </is>
      </c>
      <c r="B341">
        <f>IF(IF(EXACT("Hybrid",'Model inputs'!AA86)="",FALSE,EXACT("Hybrid",'Model inputs'!AA86)),IF('Model inputs'!O32="","",'Model inputs'!O32),"")</f>
      </c>
    </row>
    <row r="342">
      <c r="A342" t="inlineStr" s="14">
        <is>
          <t xml:space="preserve">Calculation</t>
        </is>
      </c>
      <c r="B342">
        <f>IF(IF(EXACT("Per audit — base",'Model inputs'!AA86)="",FALSE,EXACT("Per audit — base",'Model inputs'!AA86)),IF('Model inputs'!O33="","",'Model inputs'!O33),"")</f>
      </c>
    </row>
    <row r="343">
      <c r="A343" t="inlineStr" s="14">
        <is>
          <t xml:space="preserve">Calculation</t>
        </is>
      </c>
      <c r="B343">
        <f>IF(IF(EXACT("Per audit — high",'Model inputs'!AA86)="",FALSE,EXACT("Per audit — high",'Model inputs'!AA86)),IF('Model inputs'!O34="","",'Model inputs'!O34),"")</f>
      </c>
    </row>
    <row r="344">
      <c r="A344" t="inlineStr" s="14">
        <is>
          <t xml:space="preserve">Calculation</t>
        </is>
      </c>
      <c r="B344">
        <f>IF(IF(EXACT("Per audit — low",'Model inputs'!AA86)="",FALSE,EXACT("Per audit — low",'Model inputs'!AA86)),IF('Model inputs'!O35="","",'Model inputs'!O35),"")</f>
      </c>
    </row>
    <row r="345">
      <c r="A345" t="inlineStr" s="14">
        <is>
          <t xml:space="preserve">Calculation</t>
        </is>
      </c>
      <c r="B345">
        <f>IF(IF(EXACT("Annual deal-team",'Model inputs'!AA86)="",FALSE,EXACT("Annual deal-team",'Model inputs'!AA86)),IF('Model inputs'!P31="","",'Model inputs'!P31),"")</f>
      </c>
    </row>
    <row r="346">
      <c r="A346" t="inlineStr" s="14">
        <is>
          <t xml:space="preserve">Calculation</t>
        </is>
      </c>
      <c r="B346">
        <f>IF(IF(EXACT("Hybrid",'Model inputs'!AA86)="",FALSE,EXACT("Hybrid",'Model inputs'!AA86)),IF('Model inputs'!P32="","",'Model inputs'!P32),"")</f>
      </c>
    </row>
    <row r="347">
      <c r="A347" t="inlineStr" s="14">
        <is>
          <t xml:space="preserve">Calculation</t>
        </is>
      </c>
      <c r="B347">
        <f>IF(IF(EXACT("Per audit — base",'Model inputs'!AA86)="",FALSE,EXACT("Per audit — base",'Model inputs'!AA86)),IF('Model inputs'!P33="","",'Model inputs'!P33),"")</f>
      </c>
    </row>
    <row r="348">
      <c r="A348" t="inlineStr" s="14">
        <is>
          <t xml:space="preserve">Calculation</t>
        </is>
      </c>
      <c r="B348">
        <f>IF(IF(EXACT("Per audit — high",'Model inputs'!AA86)="",FALSE,EXACT("Per audit — high",'Model inputs'!AA86)),IF('Model inputs'!P34="","",'Model inputs'!P34),"")</f>
      </c>
    </row>
    <row r="349">
      <c r="A349" t="inlineStr" s="14">
        <is>
          <t xml:space="preserve">Calculation</t>
        </is>
      </c>
      <c r="B349">
        <f>IF(IF(EXACT("Per audit — low",'Model inputs'!AA86)="",FALSE,EXACT("Per audit — low",'Model inputs'!AA86)),IF('Model inputs'!P35="","",'Model inputs'!P35),"")</f>
      </c>
    </row>
    <row r="350">
      <c r="A350" t="inlineStr" s="14">
        <is>
          <t xml:space="preserve">Calculation</t>
        </is>
      </c>
      <c r="B350">
        <f>IF(IF(EXACT("Annual deal-team",'Model inputs'!AA86)="",FALSE,EXACT("Annual deal-team",'Model inputs'!AA86)),IF('Model inputs'!Q31="","",'Model inputs'!Q31),"")</f>
      </c>
    </row>
    <row r="351">
      <c r="A351" t="inlineStr" s="14">
        <is>
          <t xml:space="preserve">Calculation</t>
        </is>
      </c>
      <c r="B351">
        <f>IF(IF(EXACT("Hybrid",'Model inputs'!AA86)="",FALSE,EXACT("Hybrid",'Model inputs'!AA86)),IF('Model inputs'!Q32="","",'Model inputs'!Q32),"")</f>
      </c>
    </row>
    <row r="352">
      <c r="A352" t="inlineStr" s="14">
        <is>
          <t xml:space="preserve">Calculation</t>
        </is>
      </c>
      <c r="B352">
        <f>IF(IF(EXACT("Per audit — base",'Model inputs'!AA86)="",FALSE,EXACT("Per audit — base",'Model inputs'!AA86)),IF('Model inputs'!Q33="","",'Model inputs'!Q33),"")</f>
      </c>
    </row>
    <row r="353">
      <c r="A353" t="inlineStr" s="14">
        <is>
          <t xml:space="preserve">Calculation</t>
        </is>
      </c>
      <c r="B353">
        <f>IF(IF(EXACT("Per audit — high",'Model inputs'!AA86)="",FALSE,EXACT("Per audit — high",'Model inputs'!AA86)),IF('Model inputs'!Q34="","",'Model inputs'!Q34),"")</f>
      </c>
    </row>
    <row r="354">
      <c r="A354" t="inlineStr" s="14">
        <is>
          <t xml:space="preserve">Calculation</t>
        </is>
      </c>
      <c r="B354">
        <f>IF(IF(EXACT("Per audit — low",'Model inputs'!AA86)="",FALSE,EXACT("Per audit — low",'Model inputs'!AA86)),IF('Model inputs'!Q35="","",'Model inputs'!Q35),"")</f>
      </c>
    </row>
    <row r="355">
      <c r="A355" t="inlineStr" s="14">
        <is>
          <t xml:space="preserve">Calculation</t>
        </is>
      </c>
      <c r="B355">
        <f>IF(IF(EXACT("Annual deal-team",'Model inputs'!AA86)="",FALSE,EXACT("Annual deal-team",'Model inputs'!AA86)),IF('Model inputs'!R31="","",'Model inputs'!R31),"")</f>
      </c>
    </row>
    <row r="356">
      <c r="A356" t="inlineStr" s="14">
        <is>
          <t xml:space="preserve">Calculation</t>
        </is>
      </c>
      <c r="B356">
        <f>IF(IF(EXACT("Hybrid",'Model inputs'!AA86)="",FALSE,EXACT("Hybrid",'Model inputs'!AA86)),IF('Model inputs'!R32="","",'Model inputs'!R32),"")</f>
      </c>
    </row>
    <row r="357">
      <c r="A357" t="inlineStr" s="14">
        <is>
          <t xml:space="preserve">Calculation</t>
        </is>
      </c>
      <c r="B357">
        <f>IF(IF(EXACT("Per audit — base",'Model inputs'!AA86)="",FALSE,EXACT("Per audit — base",'Model inputs'!AA86)),IF('Model inputs'!R33="","",'Model inputs'!R33),"")</f>
      </c>
    </row>
    <row r="358">
      <c r="A358" t="inlineStr" s="14">
        <is>
          <t xml:space="preserve">Calculation</t>
        </is>
      </c>
      <c r="B358">
        <f>IF(IF(EXACT("Per audit — high",'Model inputs'!AA86)="",FALSE,EXACT("Per audit — high",'Model inputs'!AA86)),IF('Model inputs'!R34="","",'Model inputs'!R34),"")</f>
      </c>
    </row>
    <row r="359">
      <c r="A359" t="inlineStr" s="14">
        <is>
          <t xml:space="preserve">Calculation</t>
        </is>
      </c>
      <c r="B359">
        <f>IF(IF(EXACT("Per audit — low",'Model inputs'!AA86)="",FALSE,EXACT("Per audit — low",'Model inputs'!AA86)),IF('Model inputs'!R35="","",'Model inputs'!R35),"")</f>
      </c>
    </row>
    <row r="360">
      <c r="A360" t="inlineStr" s="14">
        <is>
          <t xml:space="preserve">Calculation</t>
        </is>
      </c>
      <c r="B360">
        <f>IF(IF(EXACT("Annual deal-team",'Model inputs'!AA86)="",FALSE,EXACT("Annual deal-team",'Model inputs'!AA86)),IF('Model inputs'!S31="","",'Model inputs'!S31),"")</f>
      </c>
    </row>
    <row r="361">
      <c r="A361" t="inlineStr" s="14">
        <is>
          <t xml:space="preserve">Calculation</t>
        </is>
      </c>
      <c r="B361">
        <f>IF(IF(EXACT("Hybrid",'Model inputs'!AA86)="",FALSE,EXACT("Hybrid",'Model inputs'!AA86)),IF('Model inputs'!S32="","",'Model inputs'!S32),"")</f>
      </c>
    </row>
    <row r="362">
      <c r="A362" t="inlineStr" s="14">
        <is>
          <t xml:space="preserve">Calculation</t>
        </is>
      </c>
      <c r="B362">
        <f>IF(IF(EXACT("Per audit — base",'Model inputs'!AA86)="",FALSE,EXACT("Per audit — base",'Model inputs'!AA86)),IF('Model inputs'!S33="","",'Model inputs'!S33),"")</f>
      </c>
    </row>
    <row r="363">
      <c r="A363" t="inlineStr" s="14">
        <is>
          <t xml:space="preserve">Calculation</t>
        </is>
      </c>
      <c r="B363">
        <f>IF(IF(EXACT("Per audit — high",'Model inputs'!AA86)="",FALSE,EXACT("Per audit — high",'Model inputs'!AA86)),IF('Model inputs'!S34="","",'Model inputs'!S34),"")</f>
      </c>
    </row>
    <row r="364">
      <c r="A364" t="inlineStr" s="14">
        <is>
          <t xml:space="preserve">Calculation</t>
        </is>
      </c>
      <c r="B364">
        <f>IF(IF(EXACT("Per audit — low",'Model inputs'!AA86)="",FALSE,EXACT("Per audit — low",'Model inputs'!AA86)),IF('Model inputs'!S35="","",'Model inputs'!S35),"")</f>
      </c>
    </row>
    <row r="365">
      <c r="A365" t="inlineStr" s="14">
        <is>
          <t xml:space="preserve">Calculation</t>
        </is>
      </c>
      <c r="B365">
        <f>IF(IF(EXACT("Annual deal-team",'Model inputs'!AA86)="",FALSE,EXACT("Annual deal-team",'Model inputs'!AA86)),IF('Model inputs'!T31="","",'Model inputs'!T31),"")</f>
      </c>
    </row>
    <row r="366">
      <c r="A366" t="inlineStr" s="14">
        <is>
          <t xml:space="preserve">Calculation</t>
        </is>
      </c>
      <c r="B366">
        <f>IF(IF(EXACT("Hybrid",'Model inputs'!AA86)="",FALSE,EXACT("Hybrid",'Model inputs'!AA86)),IF('Model inputs'!T32="","",'Model inputs'!T32),"")</f>
      </c>
    </row>
    <row r="367">
      <c r="A367" t="inlineStr" s="14">
        <is>
          <t xml:space="preserve">Calculation</t>
        </is>
      </c>
      <c r="B367">
        <f>IF(IF(EXACT("Per audit — base",'Model inputs'!AA86)="",FALSE,EXACT("Per audit — base",'Model inputs'!AA86)),IF('Model inputs'!T33="","",'Model inputs'!T33),"")</f>
      </c>
    </row>
    <row r="368">
      <c r="A368" t="inlineStr" s="14">
        <is>
          <t xml:space="preserve">Calculation</t>
        </is>
      </c>
      <c r="B368">
        <f>IF(IF(EXACT("Per audit — high",'Model inputs'!AA86)="",FALSE,EXACT("Per audit — high",'Model inputs'!AA86)),IF('Model inputs'!T34="","",'Model inputs'!T34),"")</f>
      </c>
    </row>
    <row r="369">
      <c r="A369" t="inlineStr" s="14">
        <is>
          <t xml:space="preserve">Calculation</t>
        </is>
      </c>
      <c r="B369">
        <f>IF(IF(EXACT("Per audit — low",'Model inputs'!AA86)="",FALSE,EXACT("Per audit — low",'Model inputs'!AA86)),IF('Model inputs'!T35="","",'Model inputs'!T35),"")</f>
      </c>
    </row>
    <row r="370">
      <c r="A370" t="inlineStr" s="14">
        <is>
          <t xml:space="preserve">Calculation</t>
        </is>
      </c>
      <c r="B370">
        <f>IF(IF(EXACT("Annual deal-team",'Model inputs'!AA86)="",FALSE,EXACT("Annual deal-team",'Model inputs'!AA86)),IF('Model inputs'!U31="","",'Model inputs'!U31),"")</f>
      </c>
    </row>
    <row r="371">
      <c r="A371" t="inlineStr" s="14">
        <is>
          <t xml:space="preserve">Calculation</t>
        </is>
      </c>
      <c r="B371">
        <f>IF(IF(EXACT("Hybrid",'Model inputs'!AA86)="",FALSE,EXACT("Hybrid",'Model inputs'!AA86)),IF('Model inputs'!U32="","",'Model inputs'!U32),"")</f>
      </c>
    </row>
    <row r="372">
      <c r="A372" t="inlineStr" s="14">
        <is>
          <t xml:space="preserve">Calculation</t>
        </is>
      </c>
      <c r="B372">
        <f>IF(IF(EXACT("Per audit — base",'Model inputs'!AA86)="",FALSE,EXACT("Per audit — base",'Model inputs'!AA86)),IF('Model inputs'!U33="","",'Model inputs'!U33),"")</f>
      </c>
    </row>
    <row r="373">
      <c r="A373" t="inlineStr" s="14">
        <is>
          <t xml:space="preserve">Calculation</t>
        </is>
      </c>
      <c r="B373">
        <f>IF(IF(EXACT("Per audit — high",'Model inputs'!AA86)="",FALSE,EXACT("Per audit — high",'Model inputs'!AA86)),IF('Model inputs'!U34="","",'Model inputs'!U34),"")</f>
      </c>
    </row>
    <row r="374">
      <c r="A374" t="inlineStr" s="14">
        <is>
          <t xml:space="preserve">Calculation</t>
        </is>
      </c>
      <c r="B374">
        <f>IF(IF(EXACT("Per audit — low",'Model inputs'!AA86)="",FALSE,EXACT("Per audit — low",'Model inputs'!AA86)),IF('Model inputs'!U35="","",'Model inputs'!U35),"")</f>
      </c>
    </row>
    <row r="375">
      <c r="A375" t="inlineStr" s="14">
        <is>
          <t xml:space="preserve">Calculation</t>
        </is>
      </c>
      <c r="B375">
        <f>IF(IF(EXACT("Annual deal-team",'Model inputs'!AA86)="",FALSE,EXACT("Annual deal-team",'Model inputs'!AA86)),IF('Model inputs'!V31="","",'Model inputs'!V31),"")</f>
      </c>
    </row>
    <row r="376">
      <c r="A376" t="inlineStr" s="14">
        <is>
          <t xml:space="preserve">Calculation</t>
        </is>
      </c>
      <c r="B376">
        <f>IF(IF(EXACT("Hybrid",'Model inputs'!AA86)="",FALSE,EXACT("Hybrid",'Model inputs'!AA86)),IF('Model inputs'!V32="","",'Model inputs'!V32),"")</f>
      </c>
    </row>
    <row r="377">
      <c r="A377" t="inlineStr" s="14">
        <is>
          <t xml:space="preserve">Calculation</t>
        </is>
      </c>
      <c r="B377">
        <f>IF(IF(EXACT("Per audit — base",'Model inputs'!AA86)="",FALSE,EXACT("Per audit — base",'Model inputs'!AA86)),IF('Model inputs'!V33="","",'Model inputs'!V33),"")</f>
      </c>
    </row>
    <row r="378">
      <c r="A378" t="inlineStr" s="14">
        <is>
          <t xml:space="preserve">Calculation</t>
        </is>
      </c>
      <c r="B378">
        <f>IF(IF(EXACT("Per audit — high",'Model inputs'!AA86)="",FALSE,EXACT("Per audit — high",'Model inputs'!AA86)),IF('Model inputs'!V34="","",'Model inputs'!V34),"")</f>
      </c>
    </row>
    <row r="379">
      <c r="A379" t="inlineStr" s="14">
        <is>
          <t xml:space="preserve">Calculation</t>
        </is>
      </c>
      <c r="B379">
        <f>IF(IF(EXACT("Per audit — low",'Model inputs'!AA86)="",FALSE,EXACT("Per audit — low",'Model inputs'!AA86)),IF('Model inputs'!V35="","",'Model inputs'!V35),"")</f>
      </c>
    </row>
    <row r="380">
      <c r="A380" t="inlineStr" s="14">
        <is>
          <t xml:space="preserve">Calculation</t>
        </is>
      </c>
      <c r="B380">
        <f>IF(IF(EXACT("Annual deal-team",'Model inputs'!AA86)="",FALSE,EXACT("Annual deal-team",'Model inputs'!AA86)),IF('Model inputs'!W31="","",'Model inputs'!W31),"")</f>
      </c>
    </row>
    <row r="381">
      <c r="A381" t="inlineStr" s="14">
        <is>
          <t xml:space="preserve">Calculation</t>
        </is>
      </c>
      <c r="B381">
        <f>IF(IF(EXACT("Hybrid",'Model inputs'!AA86)="",FALSE,EXACT("Hybrid",'Model inputs'!AA86)),IF('Model inputs'!W32="","",'Model inputs'!W32),"")</f>
      </c>
    </row>
    <row r="382">
      <c r="A382" t="inlineStr" s="14">
        <is>
          <t xml:space="preserve">Calculation</t>
        </is>
      </c>
      <c r="B382">
        <f>IF(IF(EXACT("Per audit — base",'Model inputs'!AA86)="",FALSE,EXACT("Per audit — base",'Model inputs'!AA86)),IF('Model inputs'!W33="","",'Model inputs'!W33),"")</f>
      </c>
    </row>
    <row r="383">
      <c r="A383" t="inlineStr" s="14">
        <is>
          <t xml:space="preserve">Calculation</t>
        </is>
      </c>
      <c r="B383">
        <f>IF(IF(EXACT("Per audit — high",'Model inputs'!AA86)="",FALSE,EXACT("Per audit — high",'Model inputs'!AA86)),IF('Model inputs'!W34="","",'Model inputs'!W34),"")</f>
      </c>
    </row>
    <row r="384">
      <c r="A384" t="inlineStr" s="14">
        <is>
          <t xml:space="preserve">Calculation</t>
        </is>
      </c>
      <c r="B384">
        <f>IF(IF(EXACT("Per audit — low",'Model inputs'!AA86)="",FALSE,EXACT("Per audit — low",'Model inputs'!AA86)),IF('Model inputs'!W35="","",'Model inputs'!W35),"")</f>
      </c>
    </row>
    <row r="385">
      <c r="A385" t="inlineStr" s="14">
        <is>
          <t xml:space="preserve">Calculation</t>
        </is>
      </c>
      <c r="B385">
        <f>IF(IF(EXACT("Annual deal-team",'Model inputs'!AA86)="",FALSE,EXACT("Annual deal-team",'Model inputs'!AA86)),IF('Model inputs'!X31="","",'Model inputs'!X31),"")</f>
      </c>
    </row>
    <row r="386">
      <c r="A386" t="inlineStr" s="14">
        <is>
          <t xml:space="preserve">Calculation</t>
        </is>
      </c>
      <c r="B386">
        <f>IF(IF(EXACT("Hybrid",'Model inputs'!AA86)="",FALSE,EXACT("Hybrid",'Model inputs'!AA86)),IF('Model inputs'!X32="","",'Model inputs'!X32),"")</f>
      </c>
    </row>
    <row r="387">
      <c r="A387" t="inlineStr" s="14">
        <is>
          <t xml:space="preserve">Calculation</t>
        </is>
      </c>
      <c r="B387">
        <f>IF(IF(EXACT("Per audit — base",'Model inputs'!AA86)="",FALSE,EXACT("Per audit — base",'Model inputs'!AA86)),IF('Model inputs'!X33="","",'Model inputs'!X33),"")</f>
      </c>
    </row>
    <row r="388">
      <c r="A388" t="inlineStr" s="14">
        <is>
          <t xml:space="preserve">Calculation</t>
        </is>
      </c>
      <c r="B388">
        <f>IF(IF(EXACT("Per audit — high",'Model inputs'!AA86)="",FALSE,EXACT("Per audit — high",'Model inputs'!AA86)),IF('Model inputs'!X34="","",'Model inputs'!X34),"")</f>
      </c>
    </row>
    <row r="389">
      <c r="A389" t="inlineStr" s="14">
        <is>
          <t xml:space="preserve">Calculation</t>
        </is>
      </c>
      <c r="B389">
        <f>IF(IF(EXACT("Per audit — low",'Model inputs'!AA86)="",FALSE,EXACT("Per audit — low",'Model inputs'!AA86)),IF('Model inputs'!X35="","",'Model inputs'!X35),"")</f>
      </c>
    </row>
    <row r="390">
      <c r="A390" t="inlineStr" s="14">
        <is>
          <t xml:space="preserve">Calculation</t>
        </is>
      </c>
      <c r="B390">
        <f>IF(IF(EXACT("Annual deal-team",'Model inputs'!AA86)="",FALSE,EXACT("Annual deal-team",'Model inputs'!AA86)),IF('Model inputs'!Y31="","",'Model inputs'!Y31),"")</f>
      </c>
    </row>
    <row r="391">
      <c r="A391" t="inlineStr" s="14">
        <is>
          <t xml:space="preserve">Calculation</t>
        </is>
      </c>
      <c r="B391">
        <f>IF(IF(EXACT("Hybrid",'Model inputs'!AA86)="",FALSE,EXACT("Hybrid",'Model inputs'!AA86)),IF('Model inputs'!Y32="","",'Model inputs'!Y32),"")</f>
      </c>
    </row>
    <row r="392">
      <c r="A392" t="inlineStr" s="14">
        <is>
          <t xml:space="preserve">Calculation</t>
        </is>
      </c>
      <c r="B392">
        <f>IF(IF(EXACT("Per audit — base",'Model inputs'!AA86)="",FALSE,EXACT("Per audit — base",'Model inputs'!AA86)),IF('Model inputs'!Y33="","",'Model inputs'!Y33),"")</f>
      </c>
    </row>
    <row r="393">
      <c r="A393" t="inlineStr" s="14">
        <is>
          <t xml:space="preserve">Calculation</t>
        </is>
      </c>
      <c r="B393">
        <f>IF(IF(EXACT("Per audit — high",'Model inputs'!AA86)="",FALSE,EXACT("Per audit — high",'Model inputs'!AA86)),IF('Model inputs'!Y34="","",'Model inputs'!Y34),"")</f>
      </c>
    </row>
    <row r="394">
      <c r="A394" t="inlineStr" s="14">
        <is>
          <t xml:space="preserve">Calculation</t>
        </is>
      </c>
      <c r="B394">
        <f>IF(IF(EXACT("Per audit — low",'Model inputs'!AA86)="",FALSE,EXACT("Per audit — low",'Model inputs'!AA86)),IF('Model inputs'!Y35="","",'Model inputs'!Y35),"")</f>
      </c>
    </row>
    <row r="395">
      <c r="A395" t="inlineStr" s="14">
        <is>
          <t xml:space="preserve">Calculation</t>
        </is>
      </c>
      <c r="B395">
        <f>IF(IF(EXACT("Annual deal-team",'Model inputs'!AA86)="",FALSE,EXACT("Annual deal-team",'Model inputs'!AA86)),IF('Model inputs'!Z31="","",'Model inputs'!Z31),"")</f>
      </c>
    </row>
    <row r="396">
      <c r="A396" t="inlineStr" s="14">
        <is>
          <t xml:space="preserve">Calculation</t>
        </is>
      </c>
      <c r="B396">
        <f>IF(IF(EXACT("Hybrid",'Model inputs'!AA86)="",FALSE,EXACT("Hybrid",'Model inputs'!AA86)),IF('Model inputs'!Z32="","",'Model inputs'!Z32),"")</f>
      </c>
    </row>
    <row r="397">
      <c r="A397" t="inlineStr" s="14">
        <is>
          <t xml:space="preserve">Calculation</t>
        </is>
      </c>
      <c r="B397">
        <f>IF(IF(EXACT("Per audit — base",'Model inputs'!AA86)="",FALSE,EXACT("Per audit — base",'Model inputs'!AA86)),IF('Model inputs'!Z33="","",'Model inputs'!Z33),"")</f>
      </c>
    </row>
    <row r="398">
      <c r="A398" t="inlineStr" s="14">
        <is>
          <t xml:space="preserve">Calculation</t>
        </is>
      </c>
      <c r="B398">
        <f>IF(IF(EXACT("Per audit — high",'Model inputs'!AA86)="",FALSE,EXACT("Per audit — high",'Model inputs'!AA86)),IF('Model inputs'!Z34="","",'Model inputs'!Z34),"")</f>
      </c>
    </row>
    <row r="399">
      <c r="A399" t="inlineStr" s="14">
        <is>
          <t xml:space="preserve">Calculation</t>
        </is>
      </c>
      <c r="B399">
        <f>IF(IF(EXACT("Per audit — low",'Model inputs'!AA86)="",FALSE,EXACT("Per audit — low",'Model inputs'!AA86)),IF('Model inputs'!Z35="","",'Model inputs'!Z35),"")</f>
      </c>
    </row>
    <row r="400">
      <c r="A400" t="inlineStr" s="14">
        <is>
          <t xml:space="preserve">Calculation</t>
        </is>
      </c>
      <c r="B400">
        <f>IF(IF(EXACT("Annual deal-team",'Model inputs'!AA87)="",FALSE,EXACT("Annual deal-team",'Model inputs'!AA87)),IF('Model inputs'!L37="","",'Model inputs'!L37),"")</f>
      </c>
    </row>
    <row r="401">
      <c r="A401" t="inlineStr" s="14">
        <is>
          <t xml:space="preserve">Calculation</t>
        </is>
      </c>
      <c r="B401">
        <f>IF(IF(EXACT("Hybrid",'Model inputs'!AA87)="",FALSE,EXACT("Hybrid",'Model inputs'!AA87)),IF('Model inputs'!L38="","",'Model inputs'!L38),"")</f>
      </c>
    </row>
    <row r="402">
      <c r="A402" t="inlineStr" s="14">
        <is>
          <t xml:space="preserve">Calculation</t>
        </is>
      </c>
      <c r="B402">
        <f>IF(IF(EXACT("Per audit — base",'Model inputs'!AA87)="",FALSE,EXACT("Per audit — base",'Model inputs'!AA87)),IF('Model inputs'!L39="","",'Model inputs'!L39),"")</f>
      </c>
    </row>
    <row r="403">
      <c r="A403" t="inlineStr" s="14">
        <is>
          <t xml:space="preserve">Calculation</t>
        </is>
      </c>
      <c r="B403">
        <f>IF(IF(EXACT("Per audit — high",'Model inputs'!AA87)="",FALSE,EXACT("Per audit — high",'Model inputs'!AA87)),IF('Model inputs'!L40="","",'Model inputs'!L40),"")</f>
      </c>
    </row>
    <row r="404">
      <c r="A404" t="inlineStr" s="14">
        <is>
          <t xml:space="preserve">Calculation</t>
        </is>
      </c>
      <c r="B404">
        <f>IF(IF(EXACT("Per audit — low",'Model inputs'!AA87)="",FALSE,EXACT("Per audit — low",'Model inputs'!AA87)),IF('Model inputs'!L41="","",'Model inputs'!L41),"")</f>
      </c>
    </row>
    <row r="405">
      <c r="A405" t="inlineStr" s="14">
        <is>
          <t xml:space="preserve">Calculation</t>
        </is>
      </c>
      <c r="B405">
        <f>IF(IF(EXACT("Annual deal-team",'Model inputs'!AA87)="",FALSE,EXACT("Annual deal-team",'Model inputs'!AA87)),IF('Model inputs'!M37="","",'Model inputs'!M37),"")</f>
      </c>
    </row>
    <row r="406">
      <c r="A406" t="inlineStr" s="14">
        <is>
          <t xml:space="preserve">Calculation</t>
        </is>
      </c>
      <c r="B406">
        <f>IF(IF(EXACT("Hybrid",'Model inputs'!AA87)="",FALSE,EXACT("Hybrid",'Model inputs'!AA87)),IF('Model inputs'!M38="","",'Model inputs'!M38),"")</f>
      </c>
    </row>
    <row r="407">
      <c r="A407" t="inlineStr" s="14">
        <is>
          <t xml:space="preserve">Calculation</t>
        </is>
      </c>
      <c r="B407">
        <f>IF(IF(EXACT("Per audit — base",'Model inputs'!AA87)="",FALSE,EXACT("Per audit — base",'Model inputs'!AA87)),IF('Model inputs'!M39="","",'Model inputs'!M39),"")</f>
      </c>
    </row>
    <row r="408">
      <c r="A408" t="inlineStr" s="14">
        <is>
          <t xml:space="preserve">Calculation</t>
        </is>
      </c>
      <c r="B408">
        <f>IF(IF(EXACT("Per audit — high",'Model inputs'!AA87)="",FALSE,EXACT("Per audit — high",'Model inputs'!AA87)),IF('Model inputs'!M40="","",'Model inputs'!M40),"")</f>
      </c>
    </row>
    <row r="409">
      <c r="A409" t="inlineStr" s="14">
        <is>
          <t xml:space="preserve">Calculation</t>
        </is>
      </c>
      <c r="B409">
        <f>IF(IF(EXACT("Per audit — low",'Model inputs'!AA87)="",FALSE,EXACT("Per audit — low",'Model inputs'!AA87)),IF('Model inputs'!M41="","",'Model inputs'!M41),"")</f>
      </c>
    </row>
    <row r="410">
      <c r="A410" t="inlineStr" s="14">
        <is>
          <t xml:space="preserve">Calculation</t>
        </is>
      </c>
      <c r="B410">
        <f>IF(IF(EXACT("Annual deal-team",'Model inputs'!AA87)="",FALSE,EXACT("Annual deal-team",'Model inputs'!AA87)),IF('Model inputs'!N37="","",'Model inputs'!N37),"")</f>
      </c>
    </row>
    <row r="411">
      <c r="A411" t="inlineStr" s="14">
        <is>
          <t xml:space="preserve">Calculation</t>
        </is>
      </c>
      <c r="B411">
        <f>IF(IF(EXACT("Hybrid",'Model inputs'!AA87)="",FALSE,EXACT("Hybrid",'Model inputs'!AA87)),IF('Model inputs'!N38="","",'Model inputs'!N38),"")</f>
      </c>
    </row>
    <row r="412">
      <c r="A412" t="inlineStr" s="14">
        <is>
          <t xml:space="preserve">Calculation</t>
        </is>
      </c>
      <c r="B412">
        <f>IF(IF(EXACT("Per audit — base",'Model inputs'!AA87)="",FALSE,EXACT("Per audit — base",'Model inputs'!AA87)),IF('Model inputs'!N39="","",'Model inputs'!N39),"")</f>
      </c>
    </row>
    <row r="413">
      <c r="A413" t="inlineStr" s="14">
        <is>
          <t xml:space="preserve">Calculation</t>
        </is>
      </c>
      <c r="B413">
        <f>IF(IF(EXACT("Per audit — high",'Model inputs'!AA87)="",FALSE,EXACT("Per audit — high",'Model inputs'!AA87)),IF('Model inputs'!N40="","",'Model inputs'!N40),"")</f>
      </c>
    </row>
    <row r="414">
      <c r="A414" t="inlineStr" s="14">
        <is>
          <t xml:space="preserve">Calculation</t>
        </is>
      </c>
      <c r="B414">
        <f>IF(IF(EXACT("Per audit — low",'Model inputs'!AA87)="",FALSE,EXACT("Per audit — low",'Model inputs'!AA87)),IF('Model inputs'!N41="","",'Model inputs'!N41),"")</f>
      </c>
    </row>
    <row r="415">
      <c r="A415" t="inlineStr" s="14">
        <is>
          <t xml:space="preserve">Calculation</t>
        </is>
      </c>
      <c r="B415">
        <f>IF(IF(EXACT("Annual deal-team",'Model inputs'!AA87)="",FALSE,EXACT("Annual deal-team",'Model inputs'!AA87)),IF('Model inputs'!O37="","",'Model inputs'!O37),"")</f>
      </c>
    </row>
    <row r="416">
      <c r="A416" t="inlineStr" s="14">
        <is>
          <t xml:space="preserve">Calculation</t>
        </is>
      </c>
      <c r="B416">
        <f>IF(IF(EXACT("Hybrid",'Model inputs'!AA87)="",FALSE,EXACT("Hybrid",'Model inputs'!AA87)),IF('Model inputs'!O38="","",'Model inputs'!O38),"")</f>
      </c>
    </row>
    <row r="417">
      <c r="A417" t="inlineStr" s="14">
        <is>
          <t xml:space="preserve">Calculation</t>
        </is>
      </c>
      <c r="B417">
        <f>IF(IF(EXACT("Per audit — base",'Model inputs'!AA87)="",FALSE,EXACT("Per audit — base",'Model inputs'!AA87)),IF('Model inputs'!O39="","",'Model inputs'!O39),"")</f>
      </c>
    </row>
    <row r="418">
      <c r="A418" t="inlineStr" s="14">
        <is>
          <t xml:space="preserve">Calculation</t>
        </is>
      </c>
      <c r="B418">
        <f>IF(IF(EXACT("Per audit — high",'Model inputs'!AA87)="",FALSE,EXACT("Per audit — high",'Model inputs'!AA87)),IF('Model inputs'!O40="","",'Model inputs'!O40),"")</f>
      </c>
    </row>
    <row r="419">
      <c r="A419" t="inlineStr" s="14">
        <is>
          <t xml:space="preserve">Calculation</t>
        </is>
      </c>
      <c r="B419">
        <f>IF(IF(EXACT("Per audit — low",'Model inputs'!AA87)="",FALSE,EXACT("Per audit — low",'Model inputs'!AA87)),IF('Model inputs'!O41="","",'Model inputs'!O41),"")</f>
      </c>
    </row>
    <row r="420">
      <c r="A420" t="inlineStr" s="14">
        <is>
          <t xml:space="preserve">Calculation</t>
        </is>
      </c>
      <c r="B420">
        <f>IF(IF(EXACT("Annual deal-team",'Model inputs'!AA87)="",FALSE,EXACT("Annual deal-team",'Model inputs'!AA87)),IF('Model inputs'!P37="","",'Model inputs'!P37),"")</f>
      </c>
    </row>
    <row r="421">
      <c r="A421" t="inlineStr" s="14">
        <is>
          <t xml:space="preserve">Calculation</t>
        </is>
      </c>
      <c r="B421">
        <f>IF(IF(EXACT("Hybrid",'Model inputs'!AA87)="",FALSE,EXACT("Hybrid",'Model inputs'!AA87)),IF('Model inputs'!P38="","",'Model inputs'!P38),"")</f>
      </c>
    </row>
    <row r="422">
      <c r="A422" t="inlineStr" s="14">
        <is>
          <t xml:space="preserve">Calculation</t>
        </is>
      </c>
      <c r="B422">
        <f>IF(IF(EXACT("Per audit — base",'Model inputs'!AA87)="",FALSE,EXACT("Per audit — base",'Model inputs'!AA87)),IF('Model inputs'!P39="","",'Model inputs'!P39),"")</f>
      </c>
    </row>
    <row r="423">
      <c r="A423" t="inlineStr" s="14">
        <is>
          <t xml:space="preserve">Calculation</t>
        </is>
      </c>
      <c r="B423">
        <f>IF(IF(EXACT("Per audit — high",'Model inputs'!AA87)="",FALSE,EXACT("Per audit — high",'Model inputs'!AA87)),IF('Model inputs'!P40="","",'Model inputs'!P40),"")</f>
      </c>
    </row>
    <row r="424">
      <c r="A424" t="inlineStr" s="14">
        <is>
          <t xml:space="preserve">Calculation</t>
        </is>
      </c>
      <c r="B424">
        <f>IF(IF(EXACT("Per audit — low",'Model inputs'!AA87)="",FALSE,EXACT("Per audit — low",'Model inputs'!AA87)),IF('Model inputs'!P41="","",'Model inputs'!P41),"")</f>
      </c>
    </row>
    <row r="425">
      <c r="A425" t="inlineStr" s="14">
        <is>
          <t xml:space="preserve">Calculation</t>
        </is>
      </c>
      <c r="B425">
        <f>IF(IF(EXACT("Annual deal-team",'Model inputs'!AA87)="",FALSE,EXACT("Annual deal-team",'Model inputs'!AA87)),IF('Model inputs'!Q37="","",'Model inputs'!Q37),"")</f>
      </c>
    </row>
    <row r="426">
      <c r="A426" t="inlineStr" s="14">
        <is>
          <t xml:space="preserve">Calculation</t>
        </is>
      </c>
      <c r="B426">
        <f>IF(IF(EXACT("Hybrid",'Model inputs'!AA87)="",FALSE,EXACT("Hybrid",'Model inputs'!AA87)),IF('Model inputs'!Q38="","",'Model inputs'!Q38),"")</f>
      </c>
    </row>
    <row r="427">
      <c r="A427" t="inlineStr" s="14">
        <is>
          <t xml:space="preserve">Calculation</t>
        </is>
      </c>
      <c r="B427">
        <f>IF(IF(EXACT("Per audit — base",'Model inputs'!AA87)="",FALSE,EXACT("Per audit — base",'Model inputs'!AA87)),IF('Model inputs'!Q39="","",'Model inputs'!Q39),"")</f>
      </c>
    </row>
    <row r="428">
      <c r="A428" t="inlineStr" s="14">
        <is>
          <t xml:space="preserve">Calculation</t>
        </is>
      </c>
      <c r="B428">
        <f>IF(IF(EXACT("Per audit — high",'Model inputs'!AA87)="",FALSE,EXACT("Per audit — high",'Model inputs'!AA87)),IF('Model inputs'!Q40="","",'Model inputs'!Q40),"")</f>
      </c>
    </row>
    <row r="429">
      <c r="A429" t="inlineStr" s="14">
        <is>
          <t xml:space="preserve">Calculation</t>
        </is>
      </c>
      <c r="B429">
        <f>IF(IF(EXACT("Per audit — low",'Model inputs'!AA87)="",FALSE,EXACT("Per audit — low",'Model inputs'!AA87)),IF('Model inputs'!Q41="","",'Model inputs'!Q41),"")</f>
      </c>
    </row>
    <row r="430">
      <c r="A430" t="inlineStr" s="14">
        <is>
          <t xml:space="preserve">Calculation</t>
        </is>
      </c>
      <c r="B430">
        <f>IF(IF(EXACT("Annual deal-team",'Model inputs'!AA87)="",FALSE,EXACT("Annual deal-team",'Model inputs'!AA87)),IF('Model inputs'!R37="","",'Model inputs'!R37),"")</f>
      </c>
    </row>
    <row r="431">
      <c r="A431" t="inlineStr" s="14">
        <is>
          <t xml:space="preserve">Calculation</t>
        </is>
      </c>
      <c r="B431">
        <f>IF(IF(EXACT("Hybrid",'Model inputs'!AA87)="",FALSE,EXACT("Hybrid",'Model inputs'!AA87)),IF('Model inputs'!R38="","",'Model inputs'!R38),"")</f>
      </c>
    </row>
    <row r="432">
      <c r="A432" t="inlineStr" s="14">
        <is>
          <t xml:space="preserve">Calculation</t>
        </is>
      </c>
      <c r="B432">
        <f>IF(IF(EXACT("Per audit — base",'Model inputs'!AA87)="",FALSE,EXACT("Per audit — base",'Model inputs'!AA87)),IF('Model inputs'!R39="","",'Model inputs'!R39),"")</f>
      </c>
    </row>
    <row r="433">
      <c r="A433" t="inlineStr" s="14">
        <is>
          <t xml:space="preserve">Calculation</t>
        </is>
      </c>
      <c r="B433">
        <f>IF(IF(EXACT("Per audit — high",'Model inputs'!AA87)="",FALSE,EXACT("Per audit — high",'Model inputs'!AA87)),IF('Model inputs'!R40="","",'Model inputs'!R40),"")</f>
      </c>
    </row>
    <row r="434">
      <c r="A434" t="inlineStr" s="14">
        <is>
          <t xml:space="preserve">Calculation</t>
        </is>
      </c>
      <c r="B434">
        <f>IF(IF(EXACT("Per audit — low",'Model inputs'!AA87)="",FALSE,EXACT("Per audit — low",'Model inputs'!AA87)),IF('Model inputs'!R41="","",'Model inputs'!R41),"")</f>
      </c>
    </row>
    <row r="435">
      <c r="A435" t="inlineStr" s="14">
        <is>
          <t xml:space="preserve">Calculation</t>
        </is>
      </c>
      <c r="B435">
        <f>IF(IF(EXACT("Annual deal-team",'Model inputs'!AA87)="",FALSE,EXACT("Annual deal-team",'Model inputs'!AA87)),IF('Model inputs'!S37="","",'Model inputs'!S37),"")</f>
      </c>
    </row>
    <row r="436">
      <c r="A436" t="inlineStr" s="14">
        <is>
          <t xml:space="preserve">Calculation</t>
        </is>
      </c>
      <c r="B436">
        <f>IF(IF(EXACT("Hybrid",'Model inputs'!AA87)="",FALSE,EXACT("Hybrid",'Model inputs'!AA87)),IF('Model inputs'!S38="","",'Model inputs'!S38),"")</f>
      </c>
    </row>
    <row r="437">
      <c r="A437" t="inlineStr" s="14">
        <is>
          <t xml:space="preserve">Calculation</t>
        </is>
      </c>
      <c r="B437">
        <f>IF(IF(EXACT("Per audit — base",'Model inputs'!AA87)="",FALSE,EXACT("Per audit — base",'Model inputs'!AA87)),IF('Model inputs'!S39="","",'Model inputs'!S39),"")</f>
      </c>
    </row>
    <row r="438">
      <c r="A438" t="inlineStr" s="14">
        <is>
          <t xml:space="preserve">Calculation</t>
        </is>
      </c>
      <c r="B438">
        <f>IF(IF(EXACT("Per audit — high",'Model inputs'!AA87)="",FALSE,EXACT("Per audit — high",'Model inputs'!AA87)),IF('Model inputs'!S40="","",'Model inputs'!S40),"")</f>
      </c>
    </row>
    <row r="439">
      <c r="A439" t="inlineStr" s="14">
        <is>
          <t xml:space="preserve">Calculation</t>
        </is>
      </c>
      <c r="B439">
        <f>IF(IF(EXACT("Per audit — low",'Model inputs'!AA87)="",FALSE,EXACT("Per audit — low",'Model inputs'!AA87)),IF('Model inputs'!S41="","",'Model inputs'!S41),"")</f>
      </c>
    </row>
    <row r="440">
      <c r="A440" t="inlineStr" s="14">
        <is>
          <t xml:space="preserve">Calculation</t>
        </is>
      </c>
      <c r="B440">
        <f>IF(IF(EXACT("Annual deal-team",'Model inputs'!AA87)="",FALSE,EXACT("Annual deal-team",'Model inputs'!AA87)),IF('Model inputs'!T37="","",'Model inputs'!T37),"")</f>
      </c>
    </row>
    <row r="441">
      <c r="A441" t="inlineStr" s="14">
        <is>
          <t xml:space="preserve">Calculation</t>
        </is>
      </c>
      <c r="B441">
        <f>IF(IF(EXACT("Hybrid",'Model inputs'!AA87)="",FALSE,EXACT("Hybrid",'Model inputs'!AA87)),IF('Model inputs'!T38="","",'Model inputs'!T38),"")</f>
      </c>
    </row>
    <row r="442">
      <c r="A442" t="inlineStr" s="14">
        <is>
          <t xml:space="preserve">Calculation</t>
        </is>
      </c>
      <c r="B442">
        <f>IF(IF(EXACT("Per audit — base",'Model inputs'!AA87)="",FALSE,EXACT("Per audit — base",'Model inputs'!AA87)),IF('Model inputs'!T39="","",'Model inputs'!T39),"")</f>
      </c>
    </row>
    <row r="443">
      <c r="A443" t="inlineStr" s="14">
        <is>
          <t xml:space="preserve">Calculation</t>
        </is>
      </c>
      <c r="B443">
        <f>IF(IF(EXACT("Per audit — high",'Model inputs'!AA87)="",FALSE,EXACT("Per audit — high",'Model inputs'!AA87)),IF('Model inputs'!T40="","",'Model inputs'!T40),"")</f>
      </c>
    </row>
    <row r="444">
      <c r="A444" t="inlineStr" s="14">
        <is>
          <t xml:space="preserve">Calculation</t>
        </is>
      </c>
      <c r="B444">
        <f>IF(IF(EXACT("Per audit — low",'Model inputs'!AA87)="",FALSE,EXACT("Per audit — low",'Model inputs'!AA87)),IF('Model inputs'!T41="","",'Model inputs'!T41),"")</f>
      </c>
    </row>
    <row r="445">
      <c r="A445" t="inlineStr" s="14">
        <is>
          <t xml:space="preserve">Calculation</t>
        </is>
      </c>
      <c r="B445">
        <f>IF(IF(EXACT("Annual deal-team",'Model inputs'!AA87)="",FALSE,EXACT("Annual deal-team",'Model inputs'!AA87)),IF('Model inputs'!U37="","",'Model inputs'!U37),"")</f>
      </c>
    </row>
    <row r="446">
      <c r="A446" t="inlineStr" s="14">
        <is>
          <t xml:space="preserve">Calculation</t>
        </is>
      </c>
      <c r="B446">
        <f>IF(IF(EXACT("Hybrid",'Model inputs'!AA87)="",FALSE,EXACT("Hybrid",'Model inputs'!AA87)),IF('Model inputs'!U38="","",'Model inputs'!U38),"")</f>
      </c>
    </row>
    <row r="447">
      <c r="A447" t="inlineStr" s="14">
        <is>
          <t xml:space="preserve">Calculation</t>
        </is>
      </c>
      <c r="B447">
        <f>IF(IF(EXACT("Per audit — base",'Model inputs'!AA87)="",FALSE,EXACT("Per audit — base",'Model inputs'!AA87)),IF('Model inputs'!U39="","",'Model inputs'!U39),"")</f>
      </c>
    </row>
    <row r="448">
      <c r="A448" t="inlineStr" s="14">
        <is>
          <t xml:space="preserve">Calculation</t>
        </is>
      </c>
      <c r="B448">
        <f>IF(IF(EXACT("Per audit — high",'Model inputs'!AA87)="",FALSE,EXACT("Per audit — high",'Model inputs'!AA87)),IF('Model inputs'!U40="","",'Model inputs'!U40),"")</f>
      </c>
    </row>
    <row r="449">
      <c r="A449" t="inlineStr" s="14">
        <is>
          <t xml:space="preserve">Calculation</t>
        </is>
      </c>
      <c r="B449">
        <f>IF(IF(EXACT("Per audit — low",'Model inputs'!AA87)="",FALSE,EXACT("Per audit — low",'Model inputs'!AA87)),IF('Model inputs'!U41="","",'Model inputs'!U41),"")</f>
      </c>
    </row>
    <row r="450">
      <c r="A450" t="inlineStr" s="14">
        <is>
          <t xml:space="preserve">Calculation</t>
        </is>
      </c>
      <c r="B450">
        <f>IF(IF(EXACT("Annual deal-team",'Model inputs'!AA87)="",FALSE,EXACT("Annual deal-team",'Model inputs'!AA87)),IF('Model inputs'!V37="","",'Model inputs'!V37),"")</f>
      </c>
    </row>
    <row r="451">
      <c r="A451" t="inlineStr" s="14">
        <is>
          <t xml:space="preserve">Calculation</t>
        </is>
      </c>
      <c r="B451">
        <f>IF(IF(EXACT("Hybrid",'Model inputs'!AA87)="",FALSE,EXACT("Hybrid",'Model inputs'!AA87)),IF('Model inputs'!V38="","",'Model inputs'!V38),"")</f>
      </c>
    </row>
    <row r="452">
      <c r="A452" t="inlineStr" s="14">
        <is>
          <t xml:space="preserve">Calculation</t>
        </is>
      </c>
      <c r="B452">
        <f>IF(IF(EXACT("Per audit — base",'Model inputs'!AA87)="",FALSE,EXACT("Per audit — base",'Model inputs'!AA87)),IF('Model inputs'!V39="","",'Model inputs'!V39),"")</f>
      </c>
    </row>
    <row r="453">
      <c r="A453" t="inlineStr" s="14">
        <is>
          <t xml:space="preserve">Calculation</t>
        </is>
      </c>
      <c r="B453">
        <f>IF(IF(EXACT("Per audit — high",'Model inputs'!AA87)="",FALSE,EXACT("Per audit — high",'Model inputs'!AA87)),IF('Model inputs'!V40="","",'Model inputs'!V40),"")</f>
      </c>
    </row>
    <row r="454">
      <c r="A454" t="inlineStr" s="14">
        <is>
          <t xml:space="preserve">Calculation</t>
        </is>
      </c>
      <c r="B454">
        <f>IF(IF(EXACT("Per audit — low",'Model inputs'!AA87)="",FALSE,EXACT("Per audit — low",'Model inputs'!AA87)),IF('Model inputs'!V41="","",'Model inputs'!V41),"")</f>
      </c>
    </row>
    <row r="455">
      <c r="A455" t="inlineStr" s="14">
        <is>
          <t xml:space="preserve">Calculation</t>
        </is>
      </c>
      <c r="B455">
        <f>IF(IF(EXACT("Annual deal-team",'Model inputs'!AA87)="",FALSE,EXACT("Annual deal-team",'Model inputs'!AA87)),IF('Model inputs'!W37="","",'Model inputs'!W37),"")</f>
      </c>
    </row>
    <row r="456">
      <c r="A456" t="inlineStr" s="14">
        <is>
          <t xml:space="preserve">Calculation</t>
        </is>
      </c>
      <c r="B456">
        <f>IF(IF(EXACT("Hybrid",'Model inputs'!AA87)="",FALSE,EXACT("Hybrid",'Model inputs'!AA87)),IF('Model inputs'!W38="","",'Model inputs'!W38),"")</f>
      </c>
    </row>
    <row r="457">
      <c r="A457" t="inlineStr" s="14">
        <is>
          <t xml:space="preserve">Calculation</t>
        </is>
      </c>
      <c r="B457">
        <f>IF(IF(EXACT("Per audit — base",'Model inputs'!AA87)="",FALSE,EXACT("Per audit — base",'Model inputs'!AA87)),IF('Model inputs'!W39="","",'Model inputs'!W39),"")</f>
      </c>
    </row>
    <row r="458">
      <c r="A458" t="inlineStr" s="14">
        <is>
          <t xml:space="preserve">Calculation</t>
        </is>
      </c>
      <c r="B458">
        <f>IF(IF(EXACT("Per audit — high",'Model inputs'!AA87)="",FALSE,EXACT("Per audit — high",'Model inputs'!AA87)),IF('Model inputs'!W40="","",'Model inputs'!W40),"")</f>
      </c>
    </row>
    <row r="459">
      <c r="A459" t="inlineStr" s="14">
        <is>
          <t xml:space="preserve">Calculation</t>
        </is>
      </c>
      <c r="B459">
        <f>IF(IF(EXACT("Per audit — low",'Model inputs'!AA87)="",FALSE,EXACT("Per audit — low",'Model inputs'!AA87)),IF('Model inputs'!W41="","",'Model inputs'!W41),"")</f>
      </c>
    </row>
    <row r="460">
      <c r="A460" t="inlineStr" s="14">
        <is>
          <t xml:space="preserve">Calculation</t>
        </is>
      </c>
      <c r="B460">
        <f>IF(IF(EXACT("Annual deal-team",'Model inputs'!AA87)="",FALSE,EXACT("Annual deal-team",'Model inputs'!AA87)),IF('Model inputs'!X37="","",'Model inputs'!X37),"")</f>
      </c>
    </row>
    <row r="461">
      <c r="A461" t="inlineStr" s="14">
        <is>
          <t xml:space="preserve">Calculation</t>
        </is>
      </c>
      <c r="B461">
        <f>IF(IF(EXACT("Hybrid",'Model inputs'!AA87)="",FALSE,EXACT("Hybrid",'Model inputs'!AA87)),IF('Model inputs'!X38="","",'Model inputs'!X38),"")</f>
      </c>
    </row>
    <row r="462">
      <c r="A462" t="inlineStr" s="14">
        <is>
          <t xml:space="preserve">Calculation</t>
        </is>
      </c>
      <c r="B462">
        <f>IF(IF(EXACT("Per audit — base",'Model inputs'!AA87)="",FALSE,EXACT("Per audit — base",'Model inputs'!AA87)),IF('Model inputs'!X39="","",'Model inputs'!X39),"")</f>
      </c>
    </row>
    <row r="463">
      <c r="A463" t="inlineStr" s="14">
        <is>
          <t xml:space="preserve">Calculation</t>
        </is>
      </c>
      <c r="B463">
        <f>IF(IF(EXACT("Per audit — high",'Model inputs'!AA87)="",FALSE,EXACT("Per audit — high",'Model inputs'!AA87)),IF('Model inputs'!X40="","",'Model inputs'!X40),"")</f>
      </c>
    </row>
    <row r="464">
      <c r="A464" t="inlineStr" s="14">
        <is>
          <t xml:space="preserve">Calculation</t>
        </is>
      </c>
      <c r="B464">
        <f>IF(IF(EXACT("Per audit — low",'Model inputs'!AA87)="",FALSE,EXACT("Per audit — low",'Model inputs'!AA87)),IF('Model inputs'!X41="","",'Model inputs'!X41),"")</f>
      </c>
    </row>
    <row r="465">
      <c r="A465" t="inlineStr" s="14">
        <is>
          <t xml:space="preserve">Calculation</t>
        </is>
      </c>
      <c r="B465">
        <f>IF(IF(EXACT("Annual deal-team",'Model inputs'!AA87)="",FALSE,EXACT("Annual deal-team",'Model inputs'!AA87)),IF('Model inputs'!Y37="","",'Model inputs'!Y37),"")</f>
      </c>
    </row>
    <row r="466">
      <c r="A466" t="inlineStr" s="14">
        <is>
          <t xml:space="preserve">Calculation</t>
        </is>
      </c>
      <c r="B466">
        <f>IF(IF(EXACT("Hybrid",'Model inputs'!AA87)="",FALSE,EXACT("Hybrid",'Model inputs'!AA87)),IF('Model inputs'!Y38="","",'Model inputs'!Y38),"")</f>
      </c>
    </row>
    <row r="467">
      <c r="A467" t="inlineStr" s="14">
        <is>
          <t xml:space="preserve">Calculation</t>
        </is>
      </c>
      <c r="B467">
        <f>IF(IF(EXACT("Per audit — base",'Model inputs'!AA87)="",FALSE,EXACT("Per audit — base",'Model inputs'!AA87)),IF('Model inputs'!Y39="","",'Model inputs'!Y39),"")</f>
      </c>
    </row>
    <row r="468">
      <c r="A468" t="inlineStr" s="14">
        <is>
          <t xml:space="preserve">Calculation</t>
        </is>
      </c>
      <c r="B468">
        <f>IF(IF(EXACT("Per audit — high",'Model inputs'!AA87)="",FALSE,EXACT("Per audit — high",'Model inputs'!AA87)),IF('Model inputs'!Y40="","",'Model inputs'!Y40),"")</f>
      </c>
    </row>
    <row r="469">
      <c r="A469" t="inlineStr" s="14">
        <is>
          <t xml:space="preserve">Calculation</t>
        </is>
      </c>
      <c r="B469">
        <f>IF(IF(EXACT("Per audit — low",'Model inputs'!AA87)="",FALSE,EXACT("Per audit — low",'Model inputs'!AA87)),IF('Model inputs'!Y41="","",'Model inputs'!Y41),"")</f>
      </c>
    </row>
    <row r="470">
      <c r="A470" t="inlineStr" s="14">
        <is>
          <t xml:space="preserve">Calculation</t>
        </is>
      </c>
      <c r="B470">
        <f>IF(IF(EXACT("Annual deal-team",'Model inputs'!AA87)="",FALSE,EXACT("Annual deal-team",'Model inputs'!AA87)),IF('Model inputs'!Z37="","",'Model inputs'!Z37),"")</f>
      </c>
    </row>
    <row r="471">
      <c r="A471" t="inlineStr" s="14">
        <is>
          <t xml:space="preserve">Calculation</t>
        </is>
      </c>
      <c r="B471">
        <f>IF(IF(EXACT("Hybrid",'Model inputs'!AA87)="",FALSE,EXACT("Hybrid",'Model inputs'!AA87)),IF('Model inputs'!Z38="","",'Model inputs'!Z38),"")</f>
      </c>
    </row>
    <row r="472">
      <c r="A472" t="inlineStr" s="14">
        <is>
          <t xml:space="preserve">Calculation</t>
        </is>
      </c>
      <c r="B472">
        <f>IF(IF(EXACT("Per audit — base",'Model inputs'!AA87)="",FALSE,EXACT("Per audit — base",'Model inputs'!AA87)),IF('Model inputs'!Z39="","",'Model inputs'!Z39),"")</f>
      </c>
    </row>
    <row r="473">
      <c r="A473" t="inlineStr" s="14">
        <is>
          <t xml:space="preserve">Calculation</t>
        </is>
      </c>
      <c r="B473">
        <f>IF(IF(EXACT("Per audit — high",'Model inputs'!AA87)="",FALSE,EXACT("Per audit — high",'Model inputs'!AA87)),IF('Model inputs'!Z40="","",'Model inputs'!Z40),"")</f>
      </c>
    </row>
    <row r="474">
      <c r="A474" t="inlineStr" s="14">
        <is>
          <t xml:space="preserve">Calculation</t>
        </is>
      </c>
      <c r="B474">
        <f>IF(IF(EXACT("Per audit — low",'Model inputs'!AA87)="",FALSE,EXACT("Per audit — low",'Model inputs'!AA87)),IF('Model inputs'!Z41="","",'Model inputs'!Z41),"")</f>
      </c>
    </row>
    <row r="475">
      <c r="A475" t="inlineStr" s="14">
        <is>
          <t xml:space="preserve">Calculation</t>
        </is>
      </c>
      <c r="B475">
        <f>IF(IF(EXACT("Annual deal-team",'Model inputs'!AA86)="",FALSE,EXACT("Annual deal-team",'Model inputs'!AA86)),IF('Model inputs'!L43="","",'Model inputs'!L43),"")</f>
      </c>
    </row>
    <row r="476">
      <c r="A476" t="inlineStr" s="14">
        <is>
          <t xml:space="preserve">Calculation</t>
        </is>
      </c>
      <c r="B476">
        <f>IF(IF(EXACT("Hybrid",'Model inputs'!AA86)="",FALSE,EXACT("Hybrid",'Model inputs'!AA86)),IF('Model inputs'!L44="","",'Model inputs'!L44),"")</f>
      </c>
    </row>
    <row r="477">
      <c r="A477" t="inlineStr" s="14">
        <is>
          <t xml:space="preserve">Calculation</t>
        </is>
      </c>
      <c r="B477">
        <f>IF(IF(EXACT("Per audit — base",'Model inputs'!AA86)="",FALSE,EXACT("Per audit — base",'Model inputs'!AA86)),IF('Model inputs'!L45="","",'Model inputs'!L45),"")</f>
      </c>
    </row>
    <row r="478">
      <c r="A478" t="inlineStr" s="14">
        <is>
          <t xml:space="preserve">Calculation</t>
        </is>
      </c>
      <c r="B478">
        <f>IF(IF(EXACT("Per audit — high",'Model inputs'!AA86)="",FALSE,EXACT("Per audit — high",'Model inputs'!AA86)),IF('Model inputs'!L46="","",'Model inputs'!L46),"")</f>
      </c>
    </row>
    <row r="479">
      <c r="A479" t="inlineStr" s="14">
        <is>
          <t xml:space="preserve">Calculation</t>
        </is>
      </c>
      <c r="B479">
        <f>IF(IF(EXACT("Per audit — low",'Model inputs'!AA86)="",FALSE,EXACT("Per audit — low",'Model inputs'!AA86)),IF('Model inputs'!L47="","",'Model inputs'!L47),"")</f>
      </c>
    </row>
    <row r="480">
      <c r="A480" t="inlineStr" s="14">
        <is>
          <t xml:space="preserve">Calculation</t>
        </is>
      </c>
      <c r="B480">
        <f>IF(IF(EXACT("Annual deal-team",'Model inputs'!AA86)="",FALSE,EXACT("Annual deal-team",'Model inputs'!AA86)),IF('Model inputs'!M43="","",'Model inputs'!M43),"")</f>
      </c>
    </row>
    <row r="481">
      <c r="A481" t="inlineStr" s="14">
        <is>
          <t xml:space="preserve">Calculation</t>
        </is>
      </c>
      <c r="B481">
        <f>IF(IF(EXACT("Hybrid",'Model inputs'!AA86)="",FALSE,EXACT("Hybrid",'Model inputs'!AA86)),IF('Model inputs'!M44="","",'Model inputs'!M44),"")</f>
      </c>
    </row>
    <row r="482">
      <c r="A482" t="inlineStr" s="14">
        <is>
          <t xml:space="preserve">Calculation</t>
        </is>
      </c>
      <c r="B482">
        <f>IF(IF(EXACT("Per audit — base",'Model inputs'!AA86)="",FALSE,EXACT("Per audit — base",'Model inputs'!AA86)),IF('Model inputs'!M45="","",'Model inputs'!M45),"")</f>
      </c>
    </row>
    <row r="483">
      <c r="A483" t="inlineStr" s="14">
        <is>
          <t xml:space="preserve">Calculation</t>
        </is>
      </c>
      <c r="B483">
        <f>IF(IF(EXACT("Per audit — high",'Model inputs'!AA86)="",FALSE,EXACT("Per audit — high",'Model inputs'!AA86)),IF('Model inputs'!M46="","",'Model inputs'!M46),"")</f>
      </c>
    </row>
    <row r="484">
      <c r="A484" t="inlineStr" s="14">
        <is>
          <t xml:space="preserve">Calculation</t>
        </is>
      </c>
      <c r="B484">
        <f>IF(IF(EXACT("Per audit — low",'Model inputs'!AA86)="",FALSE,EXACT("Per audit — low",'Model inputs'!AA86)),IF('Model inputs'!M47="","",'Model inputs'!M47),"")</f>
      </c>
    </row>
    <row r="485">
      <c r="A485" t="inlineStr" s="14">
        <is>
          <t xml:space="preserve">Calculation</t>
        </is>
      </c>
      <c r="B485">
        <f>IF(IF(EXACT("Annual deal-team",'Model inputs'!AA86)="",FALSE,EXACT("Annual deal-team",'Model inputs'!AA86)),IF('Model inputs'!N43="","",'Model inputs'!N43),"")</f>
      </c>
    </row>
    <row r="486">
      <c r="A486" t="inlineStr" s="14">
        <is>
          <t xml:space="preserve">Calculation</t>
        </is>
      </c>
      <c r="B486">
        <f>IF(IF(EXACT("Hybrid",'Model inputs'!AA86)="",FALSE,EXACT("Hybrid",'Model inputs'!AA86)),IF('Model inputs'!N44="","",'Model inputs'!N44),"")</f>
      </c>
    </row>
    <row r="487">
      <c r="A487" t="inlineStr" s="14">
        <is>
          <t xml:space="preserve">Calculation</t>
        </is>
      </c>
      <c r="B487">
        <f>IF(IF(EXACT("Per audit — base",'Model inputs'!AA86)="",FALSE,EXACT("Per audit — base",'Model inputs'!AA86)),IF('Model inputs'!N45="","",'Model inputs'!N45),"")</f>
      </c>
    </row>
    <row r="488">
      <c r="A488" t="inlineStr" s="14">
        <is>
          <t xml:space="preserve">Calculation</t>
        </is>
      </c>
      <c r="B488">
        <f>IF(IF(EXACT("Per audit — high",'Model inputs'!AA86)="",FALSE,EXACT("Per audit — high",'Model inputs'!AA86)),IF('Model inputs'!N46="","",'Model inputs'!N46),"")</f>
      </c>
    </row>
    <row r="489">
      <c r="A489" t="inlineStr" s="14">
        <is>
          <t xml:space="preserve">Calculation</t>
        </is>
      </c>
      <c r="B489">
        <f>IF(IF(EXACT("Per audit — low",'Model inputs'!AA86)="",FALSE,EXACT("Per audit — low",'Model inputs'!AA86)),IF('Model inputs'!N47="","",'Model inputs'!N47),"")</f>
      </c>
    </row>
    <row r="490">
      <c r="A490" t="inlineStr" s="14">
        <is>
          <t xml:space="preserve">Calculation</t>
        </is>
      </c>
      <c r="B490">
        <f>IF(IF(EXACT("Annual deal-team",'Model inputs'!AA86)="",FALSE,EXACT("Annual deal-team",'Model inputs'!AA86)),IF('Model inputs'!O43="","",'Model inputs'!O43),"")</f>
      </c>
    </row>
    <row r="491">
      <c r="A491" t="inlineStr" s="14">
        <is>
          <t xml:space="preserve">Calculation</t>
        </is>
      </c>
      <c r="B491">
        <f>IF(IF(EXACT("Hybrid",'Model inputs'!AA86)="",FALSE,EXACT("Hybrid",'Model inputs'!AA86)),IF('Model inputs'!O44="","",'Model inputs'!O44),"")</f>
      </c>
    </row>
    <row r="492">
      <c r="A492" t="inlineStr" s="14">
        <is>
          <t xml:space="preserve">Calculation</t>
        </is>
      </c>
      <c r="B492">
        <f>IF(IF(EXACT("Per audit — base",'Model inputs'!AA86)="",FALSE,EXACT("Per audit — base",'Model inputs'!AA86)),IF('Model inputs'!O45="","",'Model inputs'!O45),"")</f>
      </c>
    </row>
    <row r="493">
      <c r="A493" t="inlineStr" s="14">
        <is>
          <t xml:space="preserve">Calculation</t>
        </is>
      </c>
      <c r="B493">
        <f>IF(IF(EXACT("Per audit — high",'Model inputs'!AA86)="",FALSE,EXACT("Per audit — high",'Model inputs'!AA86)),IF('Model inputs'!O46="","",'Model inputs'!O46),"")</f>
      </c>
    </row>
    <row r="494">
      <c r="A494" t="inlineStr" s="14">
        <is>
          <t xml:space="preserve">Calculation</t>
        </is>
      </c>
      <c r="B494">
        <f>IF(IF(EXACT("Per audit — low",'Model inputs'!AA86)="",FALSE,EXACT("Per audit — low",'Model inputs'!AA86)),IF('Model inputs'!O47="","",'Model inputs'!O47),"")</f>
      </c>
    </row>
    <row r="495">
      <c r="A495" t="inlineStr" s="14">
        <is>
          <t xml:space="preserve">Calculation</t>
        </is>
      </c>
      <c r="B495">
        <f>IF(IF(EXACT("Annual deal-team",'Model inputs'!AA86)="",FALSE,EXACT("Annual deal-team",'Model inputs'!AA86)),IF('Model inputs'!P43="","",'Model inputs'!P43),"")</f>
      </c>
    </row>
    <row r="496">
      <c r="A496" t="inlineStr" s="14">
        <is>
          <t xml:space="preserve">Calculation</t>
        </is>
      </c>
      <c r="B496">
        <f>IF(IF(EXACT("Hybrid",'Model inputs'!AA86)="",FALSE,EXACT("Hybrid",'Model inputs'!AA86)),IF('Model inputs'!P44="","",'Model inputs'!P44),"")</f>
      </c>
    </row>
    <row r="497">
      <c r="A497" t="inlineStr" s="14">
        <is>
          <t xml:space="preserve">Calculation</t>
        </is>
      </c>
      <c r="B497">
        <f>IF(IF(EXACT("Per audit — base",'Model inputs'!AA86)="",FALSE,EXACT("Per audit — base",'Model inputs'!AA86)),IF('Model inputs'!P45="","",'Model inputs'!P45),"")</f>
      </c>
    </row>
    <row r="498">
      <c r="A498" t="inlineStr" s="14">
        <is>
          <t xml:space="preserve">Calculation</t>
        </is>
      </c>
      <c r="B498">
        <f>IF(IF(EXACT("Per audit — high",'Model inputs'!AA86)="",FALSE,EXACT("Per audit — high",'Model inputs'!AA86)),IF('Model inputs'!P46="","",'Model inputs'!P46),"")</f>
      </c>
    </row>
    <row r="499">
      <c r="A499" t="inlineStr" s="14">
        <is>
          <t xml:space="preserve">Calculation</t>
        </is>
      </c>
      <c r="B499">
        <f>IF(IF(EXACT("Per audit — low",'Model inputs'!AA86)="",FALSE,EXACT("Per audit — low",'Model inputs'!AA86)),IF('Model inputs'!P47="","",'Model inputs'!P47),"")</f>
      </c>
    </row>
    <row r="500">
      <c r="A500" t="inlineStr" s="14">
        <is>
          <t xml:space="preserve">Calculation</t>
        </is>
      </c>
      <c r="B500">
        <f>IF(IF(EXACT("Annual deal-team",'Model inputs'!AA86)="",FALSE,EXACT("Annual deal-team",'Model inputs'!AA86)),IF('Model inputs'!Q43="","",'Model inputs'!Q43),"")</f>
      </c>
    </row>
    <row r="501">
      <c r="A501" t="inlineStr" s="14">
        <is>
          <t xml:space="preserve">Calculation</t>
        </is>
      </c>
      <c r="B501">
        <f>IF(IF(EXACT("Hybrid",'Model inputs'!AA86)="",FALSE,EXACT("Hybrid",'Model inputs'!AA86)),IF('Model inputs'!Q44="","",'Model inputs'!Q44),"")</f>
      </c>
    </row>
    <row r="502">
      <c r="A502" t="inlineStr" s="14">
        <is>
          <t xml:space="preserve">Calculation</t>
        </is>
      </c>
      <c r="B502">
        <f>IF(IF(EXACT("Per audit — base",'Model inputs'!AA86)="",FALSE,EXACT("Per audit — base",'Model inputs'!AA86)),IF('Model inputs'!Q45="","",'Model inputs'!Q45),"")</f>
      </c>
    </row>
    <row r="503">
      <c r="A503" t="inlineStr" s="14">
        <is>
          <t xml:space="preserve">Calculation</t>
        </is>
      </c>
      <c r="B503">
        <f>IF(IF(EXACT("Per audit — high",'Model inputs'!AA86)="",FALSE,EXACT("Per audit — high",'Model inputs'!AA86)),IF('Model inputs'!Q46="","",'Model inputs'!Q46),"")</f>
      </c>
    </row>
    <row r="504">
      <c r="A504" t="inlineStr" s="14">
        <is>
          <t xml:space="preserve">Calculation</t>
        </is>
      </c>
      <c r="B504">
        <f>IF(IF(EXACT("Per audit — low",'Model inputs'!AA86)="",FALSE,EXACT("Per audit — low",'Model inputs'!AA86)),IF('Model inputs'!Q47="","",'Model inputs'!Q47),"")</f>
      </c>
    </row>
    <row r="505">
      <c r="A505" t="inlineStr" s="14">
        <is>
          <t xml:space="preserve">Calculation</t>
        </is>
      </c>
      <c r="B505">
        <f>IF(IF(EXACT("Annual deal-team",'Model inputs'!AA86)="",FALSE,EXACT("Annual deal-team",'Model inputs'!AA86)),IF('Model inputs'!R43="","",'Model inputs'!R43),"")</f>
      </c>
    </row>
    <row r="506">
      <c r="A506" t="inlineStr" s="14">
        <is>
          <t xml:space="preserve">Calculation</t>
        </is>
      </c>
      <c r="B506">
        <f>IF(IF(EXACT("Hybrid",'Model inputs'!AA86)="",FALSE,EXACT("Hybrid",'Model inputs'!AA86)),IF('Model inputs'!R44="","",'Model inputs'!R44),"")</f>
      </c>
    </row>
    <row r="507">
      <c r="A507" t="inlineStr" s="14">
        <is>
          <t xml:space="preserve">Calculation</t>
        </is>
      </c>
      <c r="B507">
        <f>IF(IF(EXACT("Per audit — base",'Model inputs'!AA86)="",FALSE,EXACT("Per audit — base",'Model inputs'!AA86)),IF('Model inputs'!R45="","",'Model inputs'!R45),"")</f>
      </c>
    </row>
    <row r="508">
      <c r="A508" t="inlineStr" s="14">
        <is>
          <t xml:space="preserve">Calculation</t>
        </is>
      </c>
      <c r="B508">
        <f>IF(IF(EXACT("Per audit — high",'Model inputs'!AA86)="",FALSE,EXACT("Per audit — high",'Model inputs'!AA86)),IF('Model inputs'!R46="","",'Model inputs'!R46),"")</f>
      </c>
    </row>
    <row r="509">
      <c r="A509" t="inlineStr" s="14">
        <is>
          <t xml:space="preserve">Calculation</t>
        </is>
      </c>
      <c r="B509">
        <f>IF(IF(EXACT("Per audit — low",'Model inputs'!AA86)="",FALSE,EXACT("Per audit — low",'Model inputs'!AA86)),IF('Model inputs'!R47="","",'Model inputs'!R47),"")</f>
      </c>
    </row>
    <row r="510">
      <c r="A510" t="inlineStr" s="14">
        <is>
          <t xml:space="preserve">Calculation</t>
        </is>
      </c>
      <c r="B510">
        <f>IF(IF(EXACT("Annual deal-team",'Model inputs'!AA86)="",FALSE,EXACT("Annual deal-team",'Model inputs'!AA86)),IF('Model inputs'!S43="","",'Model inputs'!S43),"")</f>
      </c>
    </row>
    <row r="511">
      <c r="A511" t="inlineStr" s="14">
        <is>
          <t xml:space="preserve">Calculation</t>
        </is>
      </c>
      <c r="B511">
        <f>IF(IF(EXACT("Hybrid",'Model inputs'!AA86)="",FALSE,EXACT("Hybrid",'Model inputs'!AA86)),IF('Model inputs'!S44="","",'Model inputs'!S44),"")</f>
      </c>
    </row>
    <row r="512">
      <c r="A512" t="inlineStr" s="14">
        <is>
          <t xml:space="preserve">Calculation</t>
        </is>
      </c>
      <c r="B512">
        <f>IF(IF(EXACT("Per audit — base",'Model inputs'!AA86)="",FALSE,EXACT("Per audit — base",'Model inputs'!AA86)),IF('Model inputs'!S45="","",'Model inputs'!S45),"")</f>
      </c>
    </row>
    <row r="513">
      <c r="A513" t="inlineStr" s="14">
        <is>
          <t xml:space="preserve">Calculation</t>
        </is>
      </c>
      <c r="B513">
        <f>IF(IF(EXACT("Per audit — high",'Model inputs'!AA86)="",FALSE,EXACT("Per audit — high",'Model inputs'!AA86)),IF('Model inputs'!S46="","",'Model inputs'!S46),"")</f>
      </c>
    </row>
    <row r="514">
      <c r="A514" t="inlineStr" s="14">
        <is>
          <t xml:space="preserve">Calculation</t>
        </is>
      </c>
      <c r="B514">
        <f>IF(IF(EXACT("Per audit — low",'Model inputs'!AA86)="",FALSE,EXACT("Per audit — low",'Model inputs'!AA86)),IF('Model inputs'!S47="","",'Model inputs'!S47),"")</f>
      </c>
    </row>
    <row r="515">
      <c r="A515" t="inlineStr" s="14">
        <is>
          <t xml:space="preserve">Calculation</t>
        </is>
      </c>
      <c r="B515">
        <f>IF(IF(EXACT("Annual deal-team",'Model inputs'!AA86)="",FALSE,EXACT("Annual deal-team",'Model inputs'!AA86)),IF('Model inputs'!T43="","",'Model inputs'!T43),"")</f>
      </c>
    </row>
    <row r="516">
      <c r="A516" t="inlineStr" s="14">
        <is>
          <t xml:space="preserve">Calculation</t>
        </is>
      </c>
      <c r="B516">
        <f>IF(IF(EXACT("Hybrid",'Model inputs'!AA86)="",FALSE,EXACT("Hybrid",'Model inputs'!AA86)),IF('Model inputs'!T44="","",'Model inputs'!T44),"")</f>
      </c>
    </row>
    <row r="517">
      <c r="A517" t="inlineStr" s="14">
        <is>
          <t xml:space="preserve">Calculation</t>
        </is>
      </c>
      <c r="B517">
        <f>IF(IF(EXACT("Per audit — base",'Model inputs'!AA86)="",FALSE,EXACT("Per audit — base",'Model inputs'!AA86)),IF('Model inputs'!T45="","",'Model inputs'!T45),"")</f>
      </c>
    </row>
    <row r="518">
      <c r="A518" t="inlineStr" s="14">
        <is>
          <t xml:space="preserve">Calculation</t>
        </is>
      </c>
      <c r="B518">
        <f>IF(IF(EXACT("Per audit — high",'Model inputs'!AA86)="",FALSE,EXACT("Per audit — high",'Model inputs'!AA86)),IF('Model inputs'!T46="","",'Model inputs'!T46),"")</f>
      </c>
    </row>
    <row r="519">
      <c r="A519" t="inlineStr" s="14">
        <is>
          <t xml:space="preserve">Calculation</t>
        </is>
      </c>
      <c r="B519">
        <f>IF(IF(EXACT("Per audit — low",'Model inputs'!AA86)="",FALSE,EXACT("Per audit — low",'Model inputs'!AA86)),IF('Model inputs'!T47="","",'Model inputs'!T47),"")</f>
      </c>
    </row>
    <row r="520">
      <c r="A520" t="inlineStr" s="14">
        <is>
          <t xml:space="preserve">Calculation</t>
        </is>
      </c>
      <c r="B520">
        <f>IF(IF(EXACT("Annual deal-team",'Model inputs'!AA86)="",FALSE,EXACT("Annual deal-team",'Model inputs'!AA86)),IF('Model inputs'!U43="","",'Model inputs'!U43),"")</f>
      </c>
    </row>
    <row r="521">
      <c r="A521" t="inlineStr" s="14">
        <is>
          <t xml:space="preserve">Calculation</t>
        </is>
      </c>
      <c r="B521">
        <f>IF(IF(EXACT("Hybrid",'Model inputs'!AA86)="",FALSE,EXACT("Hybrid",'Model inputs'!AA86)),IF('Model inputs'!U44="","",'Model inputs'!U44),"")</f>
      </c>
    </row>
    <row r="522">
      <c r="A522" t="inlineStr" s="14">
        <is>
          <t xml:space="preserve">Calculation</t>
        </is>
      </c>
      <c r="B522">
        <f>IF(IF(EXACT("Per audit — base",'Model inputs'!AA86)="",FALSE,EXACT("Per audit — base",'Model inputs'!AA86)),IF('Model inputs'!U45="","",'Model inputs'!U45),"")</f>
      </c>
    </row>
    <row r="523">
      <c r="A523" t="inlineStr" s="14">
        <is>
          <t xml:space="preserve">Calculation</t>
        </is>
      </c>
      <c r="B523">
        <f>IF(IF(EXACT("Per audit — high",'Model inputs'!AA86)="",FALSE,EXACT("Per audit — high",'Model inputs'!AA86)),IF('Model inputs'!U46="","",'Model inputs'!U46),"")</f>
      </c>
    </row>
    <row r="524">
      <c r="A524" t="inlineStr" s="14">
        <is>
          <t xml:space="preserve">Calculation</t>
        </is>
      </c>
      <c r="B524">
        <f>IF(IF(EXACT("Per audit — low",'Model inputs'!AA86)="",FALSE,EXACT("Per audit — low",'Model inputs'!AA86)),IF('Model inputs'!U47="","",'Model inputs'!U47),"")</f>
      </c>
    </row>
    <row r="525">
      <c r="A525" t="inlineStr" s="14">
        <is>
          <t xml:space="preserve">Calculation</t>
        </is>
      </c>
      <c r="B525">
        <f>IF(IF(EXACT("Annual deal-team",'Model inputs'!AA86)="",FALSE,EXACT("Annual deal-team",'Model inputs'!AA86)),IF('Model inputs'!V43="","",'Model inputs'!V43),"")</f>
      </c>
    </row>
    <row r="526">
      <c r="A526" t="inlineStr" s="14">
        <is>
          <t xml:space="preserve">Calculation</t>
        </is>
      </c>
      <c r="B526">
        <f>IF(IF(EXACT("Hybrid",'Model inputs'!AA86)="",FALSE,EXACT("Hybrid",'Model inputs'!AA86)),IF('Model inputs'!V44="","",'Model inputs'!V44),"")</f>
      </c>
    </row>
    <row r="527">
      <c r="A527" t="inlineStr" s="14">
        <is>
          <t xml:space="preserve">Calculation</t>
        </is>
      </c>
      <c r="B527">
        <f>IF(IF(EXACT("Per audit — base",'Model inputs'!AA86)="",FALSE,EXACT("Per audit — base",'Model inputs'!AA86)),IF('Model inputs'!V45="","",'Model inputs'!V45),"")</f>
      </c>
    </row>
    <row r="528">
      <c r="A528" t="inlineStr" s="14">
        <is>
          <t xml:space="preserve">Calculation</t>
        </is>
      </c>
      <c r="B528">
        <f>IF(IF(EXACT("Per audit — high",'Model inputs'!AA86)="",FALSE,EXACT("Per audit — high",'Model inputs'!AA86)),IF('Model inputs'!V46="","",'Model inputs'!V46),"")</f>
      </c>
    </row>
    <row r="529">
      <c r="A529" t="inlineStr" s="14">
        <is>
          <t xml:space="preserve">Calculation</t>
        </is>
      </c>
      <c r="B529">
        <f>IF(IF(EXACT("Per audit — low",'Model inputs'!AA86)="",FALSE,EXACT("Per audit — low",'Model inputs'!AA86)),IF('Model inputs'!V47="","",'Model inputs'!V47),"")</f>
      </c>
    </row>
    <row r="530">
      <c r="A530" t="inlineStr" s="14">
        <is>
          <t xml:space="preserve">Calculation</t>
        </is>
      </c>
      <c r="B530">
        <f>IF(IF(EXACT("Annual deal-team",'Model inputs'!AA86)="",FALSE,EXACT("Annual deal-team",'Model inputs'!AA86)),IF('Model inputs'!W43="","",'Model inputs'!W43),"")</f>
      </c>
    </row>
    <row r="531">
      <c r="A531" t="inlineStr" s="14">
        <is>
          <t xml:space="preserve">Calculation</t>
        </is>
      </c>
      <c r="B531">
        <f>IF(IF(EXACT("Hybrid",'Model inputs'!AA86)="",FALSE,EXACT("Hybrid",'Model inputs'!AA86)),IF('Model inputs'!W44="","",'Model inputs'!W44),"")</f>
      </c>
    </row>
    <row r="532">
      <c r="A532" t="inlineStr" s="14">
        <is>
          <t xml:space="preserve">Calculation</t>
        </is>
      </c>
      <c r="B532">
        <f>IF(IF(EXACT("Per audit — base",'Model inputs'!AA86)="",FALSE,EXACT("Per audit — base",'Model inputs'!AA86)),IF('Model inputs'!W45="","",'Model inputs'!W45),"")</f>
      </c>
    </row>
    <row r="533">
      <c r="A533" t="inlineStr" s="14">
        <is>
          <t xml:space="preserve">Calculation</t>
        </is>
      </c>
      <c r="B533">
        <f>IF(IF(EXACT("Per audit — high",'Model inputs'!AA86)="",FALSE,EXACT("Per audit — high",'Model inputs'!AA86)),IF('Model inputs'!W46="","",'Model inputs'!W46),"")</f>
      </c>
    </row>
    <row r="534">
      <c r="A534" t="inlineStr" s="14">
        <is>
          <t xml:space="preserve">Calculation</t>
        </is>
      </c>
      <c r="B534">
        <f>IF(IF(EXACT("Per audit — low",'Model inputs'!AA86)="",FALSE,EXACT("Per audit — low",'Model inputs'!AA86)),IF('Model inputs'!W47="","",'Model inputs'!W47),"")</f>
      </c>
    </row>
    <row r="535">
      <c r="A535" t="inlineStr" s="14">
        <is>
          <t xml:space="preserve">Calculation</t>
        </is>
      </c>
      <c r="B535">
        <f>IF(IF(EXACT("Annual deal-team",'Model inputs'!AA86)="",FALSE,EXACT("Annual deal-team",'Model inputs'!AA86)),IF('Model inputs'!X43="","",'Model inputs'!X43),"")</f>
      </c>
    </row>
    <row r="536">
      <c r="A536" t="inlineStr" s="14">
        <is>
          <t xml:space="preserve">Calculation</t>
        </is>
      </c>
      <c r="B536">
        <f>IF(IF(EXACT("Hybrid",'Model inputs'!AA86)="",FALSE,EXACT("Hybrid",'Model inputs'!AA86)),IF('Model inputs'!X44="","",'Model inputs'!X44),"")</f>
      </c>
    </row>
    <row r="537">
      <c r="A537" t="inlineStr" s="14">
        <is>
          <t xml:space="preserve">Calculation</t>
        </is>
      </c>
      <c r="B537">
        <f>IF(IF(EXACT("Per audit — base",'Model inputs'!AA86)="",FALSE,EXACT("Per audit — base",'Model inputs'!AA86)),IF('Model inputs'!X45="","",'Model inputs'!X45),"")</f>
      </c>
    </row>
    <row r="538">
      <c r="A538" t="inlineStr" s="14">
        <is>
          <t xml:space="preserve">Calculation</t>
        </is>
      </c>
      <c r="B538">
        <f>IF(IF(EXACT("Per audit — high",'Model inputs'!AA86)="",FALSE,EXACT("Per audit — high",'Model inputs'!AA86)),IF('Model inputs'!X46="","",'Model inputs'!X46),"")</f>
      </c>
    </row>
    <row r="539">
      <c r="A539" t="inlineStr" s="14">
        <is>
          <t xml:space="preserve">Calculation</t>
        </is>
      </c>
      <c r="B539">
        <f>IF(IF(EXACT("Per audit — low",'Model inputs'!AA86)="",FALSE,EXACT("Per audit — low",'Model inputs'!AA86)),IF('Model inputs'!X47="","",'Model inputs'!X47),"")</f>
      </c>
    </row>
    <row r="540">
      <c r="A540" t="inlineStr" s="14">
        <is>
          <t xml:space="preserve">Calculation</t>
        </is>
      </c>
      <c r="B540">
        <f>IF(IF(EXACT("Annual deal-team",'Model inputs'!AA86)="",FALSE,EXACT("Annual deal-team",'Model inputs'!AA86)),IF('Model inputs'!Y43="","",'Model inputs'!Y43),"")</f>
      </c>
    </row>
    <row r="541">
      <c r="A541" t="inlineStr" s="14">
        <is>
          <t xml:space="preserve">Calculation</t>
        </is>
      </c>
      <c r="B541">
        <f>IF(IF(EXACT("Hybrid",'Model inputs'!AA86)="",FALSE,EXACT("Hybrid",'Model inputs'!AA86)),IF('Model inputs'!Y44="","",'Model inputs'!Y44),"")</f>
      </c>
    </row>
    <row r="542">
      <c r="A542" t="inlineStr" s="14">
        <is>
          <t xml:space="preserve">Calculation</t>
        </is>
      </c>
      <c r="B542">
        <f>IF(IF(EXACT("Per audit — base",'Model inputs'!AA86)="",FALSE,EXACT("Per audit — base",'Model inputs'!AA86)),IF('Model inputs'!Y45="","",'Model inputs'!Y45),"")</f>
      </c>
    </row>
    <row r="543">
      <c r="A543" t="inlineStr" s="14">
        <is>
          <t xml:space="preserve">Calculation</t>
        </is>
      </c>
      <c r="B543">
        <f>IF(IF(EXACT("Per audit — high",'Model inputs'!AA86)="",FALSE,EXACT("Per audit — high",'Model inputs'!AA86)),IF('Model inputs'!Y46="","",'Model inputs'!Y46),"")</f>
      </c>
    </row>
    <row r="544">
      <c r="A544" t="inlineStr" s="14">
        <is>
          <t xml:space="preserve">Calculation</t>
        </is>
      </c>
      <c r="B544">
        <f>IF(IF(EXACT("Per audit — low",'Model inputs'!AA86)="",FALSE,EXACT("Per audit — low",'Model inputs'!AA86)),IF('Model inputs'!Y47="","",'Model inputs'!Y47),"")</f>
      </c>
    </row>
    <row r="545">
      <c r="A545" t="inlineStr" s="14">
        <is>
          <t xml:space="preserve">Calculation</t>
        </is>
      </c>
      <c r="B545">
        <f>IF(IF(EXACT("Annual deal-team",'Model inputs'!AA86)="",FALSE,EXACT("Annual deal-team",'Model inputs'!AA86)),IF('Model inputs'!Z43="","",'Model inputs'!Z43),"")</f>
      </c>
    </row>
    <row r="546">
      <c r="A546" t="inlineStr" s="14">
        <is>
          <t xml:space="preserve">Calculation</t>
        </is>
      </c>
      <c r="B546">
        <f>IF(IF(EXACT("Hybrid",'Model inputs'!AA86)="",FALSE,EXACT("Hybrid",'Model inputs'!AA86)),IF('Model inputs'!Z44="","",'Model inputs'!Z44),"")</f>
      </c>
    </row>
    <row r="547">
      <c r="A547" t="inlineStr" s="14">
        <is>
          <t xml:space="preserve">Calculation</t>
        </is>
      </c>
      <c r="B547">
        <f>IF(IF(EXACT("Per audit — base",'Model inputs'!AA86)="",FALSE,EXACT("Per audit — base",'Model inputs'!AA86)),IF('Model inputs'!Z45="","",'Model inputs'!Z45),"")</f>
      </c>
    </row>
    <row r="548">
      <c r="A548" t="inlineStr" s="14">
        <is>
          <t xml:space="preserve">Calculation</t>
        </is>
      </c>
      <c r="B548">
        <f>IF(IF(EXACT("Per audit — high",'Model inputs'!AA86)="",FALSE,EXACT("Per audit — high",'Model inputs'!AA86)),IF('Model inputs'!Z46="","",'Model inputs'!Z46),"")</f>
      </c>
    </row>
    <row r="549">
      <c r="A549" t="inlineStr" s="14">
        <is>
          <t xml:space="preserve">Calculation</t>
        </is>
      </c>
      <c r="B549">
        <f>IF(IF(EXACT("Per audit — low",'Model inputs'!AA86)="",FALSE,EXACT("Per audit — low",'Model inputs'!AA86)),IF('Model inputs'!Z47="","",'Model inputs'!Z47),"")</f>
      </c>
    </row>
    <row r="550">
      <c r="A550" t="inlineStr" s="14">
        <is>
          <t xml:space="preserve">Calculation</t>
        </is>
      </c>
      <c r="B550">
        <f>IF(IF(EXACT("Annual deal-team",'Model inputs'!AA87)="",FALSE,EXACT("Annual deal-team",'Model inputs'!AA87)),IF('Model inputs'!L49="","",'Model inputs'!L49),"")</f>
      </c>
    </row>
    <row r="551">
      <c r="A551" t="inlineStr" s="14">
        <is>
          <t xml:space="preserve">Calculation</t>
        </is>
      </c>
      <c r="B551">
        <f>IF(IF(EXACT("Hybrid",'Model inputs'!AA87)="",FALSE,EXACT("Hybrid",'Model inputs'!AA87)),IF('Model inputs'!L50="","",'Model inputs'!L50),"")</f>
      </c>
    </row>
    <row r="552">
      <c r="A552" t="inlineStr" s="14">
        <is>
          <t xml:space="preserve">Calculation</t>
        </is>
      </c>
      <c r="B552">
        <f>IF(IF(EXACT("Per audit — base",'Model inputs'!AA87)="",FALSE,EXACT("Per audit — base",'Model inputs'!AA87)),IF('Model inputs'!L51="","",'Model inputs'!L51),"")</f>
      </c>
    </row>
    <row r="553">
      <c r="A553" t="inlineStr" s="14">
        <is>
          <t xml:space="preserve">Calculation</t>
        </is>
      </c>
      <c r="B553">
        <f>IF(IF(EXACT("Per audit — high",'Model inputs'!AA87)="",FALSE,EXACT("Per audit — high",'Model inputs'!AA87)),IF('Model inputs'!L52="","",'Model inputs'!L52),"")</f>
      </c>
    </row>
    <row r="554">
      <c r="A554" t="inlineStr" s="14">
        <is>
          <t xml:space="preserve">Calculation</t>
        </is>
      </c>
      <c r="B554">
        <f>IF(IF(EXACT("Per audit — low",'Model inputs'!AA87)="",FALSE,EXACT("Per audit — low",'Model inputs'!AA87)),IF('Model inputs'!L53="","",'Model inputs'!L53),"")</f>
      </c>
    </row>
    <row r="555">
      <c r="A555" t="inlineStr" s="14">
        <is>
          <t xml:space="preserve">Calculation</t>
        </is>
      </c>
      <c r="B555">
        <f>IF(IF(EXACT("Annual deal-team",'Model inputs'!AA87)="",FALSE,EXACT("Annual deal-team",'Model inputs'!AA87)),IF('Model inputs'!M49="","",'Model inputs'!M49),"")</f>
      </c>
    </row>
    <row r="556">
      <c r="A556" t="inlineStr" s="14">
        <is>
          <t xml:space="preserve">Calculation</t>
        </is>
      </c>
      <c r="B556">
        <f>IF(IF(EXACT("Hybrid",'Model inputs'!AA87)="",FALSE,EXACT("Hybrid",'Model inputs'!AA87)),IF('Model inputs'!M50="","",'Model inputs'!M50),"")</f>
      </c>
    </row>
    <row r="557">
      <c r="A557" t="inlineStr" s="14">
        <is>
          <t xml:space="preserve">Calculation</t>
        </is>
      </c>
      <c r="B557">
        <f>IF(IF(EXACT("Per audit — base",'Model inputs'!AA87)="",FALSE,EXACT("Per audit — base",'Model inputs'!AA87)),IF('Model inputs'!M51="","",'Model inputs'!M51),"")</f>
      </c>
    </row>
    <row r="558">
      <c r="A558" t="inlineStr" s="14">
        <is>
          <t xml:space="preserve">Calculation</t>
        </is>
      </c>
      <c r="B558">
        <f>IF(IF(EXACT("Per audit — high",'Model inputs'!AA87)="",FALSE,EXACT("Per audit — high",'Model inputs'!AA87)),IF('Model inputs'!M52="","",'Model inputs'!M52),"")</f>
      </c>
    </row>
    <row r="559">
      <c r="A559" t="inlineStr" s="14">
        <is>
          <t xml:space="preserve">Calculation</t>
        </is>
      </c>
      <c r="B559">
        <f>IF(IF(EXACT("Per audit — low",'Model inputs'!AA87)="",FALSE,EXACT("Per audit — low",'Model inputs'!AA87)),IF('Model inputs'!M53="","",'Model inputs'!M53),"")</f>
      </c>
    </row>
    <row r="560">
      <c r="A560" t="inlineStr" s="14">
        <is>
          <t xml:space="preserve">Calculation</t>
        </is>
      </c>
      <c r="B560">
        <f>IF(IF(EXACT("Annual deal-team",'Model inputs'!AA87)="",FALSE,EXACT("Annual deal-team",'Model inputs'!AA87)),IF('Model inputs'!N49="","",'Model inputs'!N49),"")</f>
      </c>
    </row>
    <row r="561">
      <c r="A561" t="inlineStr" s="14">
        <is>
          <t xml:space="preserve">Calculation</t>
        </is>
      </c>
      <c r="B561">
        <f>IF(IF(EXACT("Hybrid",'Model inputs'!AA87)="",FALSE,EXACT("Hybrid",'Model inputs'!AA87)),IF('Model inputs'!N50="","",'Model inputs'!N50),"")</f>
      </c>
    </row>
    <row r="562">
      <c r="A562" t="inlineStr" s="14">
        <is>
          <t xml:space="preserve">Calculation</t>
        </is>
      </c>
      <c r="B562">
        <f>IF(IF(EXACT("Per audit — base",'Model inputs'!AA87)="",FALSE,EXACT("Per audit — base",'Model inputs'!AA87)),IF('Model inputs'!N51="","",'Model inputs'!N51),"")</f>
      </c>
    </row>
    <row r="563">
      <c r="A563" t="inlineStr" s="14">
        <is>
          <t xml:space="preserve">Calculation</t>
        </is>
      </c>
      <c r="B563">
        <f>IF(IF(EXACT("Per audit — high",'Model inputs'!AA87)="",FALSE,EXACT("Per audit — high",'Model inputs'!AA87)),IF('Model inputs'!N52="","",'Model inputs'!N52),"")</f>
      </c>
    </row>
    <row r="564">
      <c r="A564" t="inlineStr" s="14">
        <is>
          <t xml:space="preserve">Calculation</t>
        </is>
      </c>
      <c r="B564">
        <f>IF(IF(EXACT("Per audit — low",'Model inputs'!AA87)="",FALSE,EXACT("Per audit — low",'Model inputs'!AA87)),IF('Model inputs'!N53="","",'Model inputs'!N53),"")</f>
      </c>
    </row>
    <row r="565">
      <c r="A565" t="inlineStr" s="14">
        <is>
          <t xml:space="preserve">Calculation</t>
        </is>
      </c>
      <c r="B565">
        <f>IF(IF(EXACT("Annual deal-team",'Model inputs'!AA87)="",FALSE,EXACT("Annual deal-team",'Model inputs'!AA87)),IF('Model inputs'!O49="","",'Model inputs'!O49),"")</f>
      </c>
    </row>
    <row r="566">
      <c r="A566" t="inlineStr" s="14">
        <is>
          <t xml:space="preserve">Calculation</t>
        </is>
      </c>
      <c r="B566">
        <f>IF(IF(EXACT("Hybrid",'Model inputs'!AA87)="",FALSE,EXACT("Hybrid",'Model inputs'!AA87)),IF('Model inputs'!O50="","",'Model inputs'!O50),"")</f>
      </c>
    </row>
    <row r="567">
      <c r="A567" t="inlineStr" s="14">
        <is>
          <t xml:space="preserve">Calculation</t>
        </is>
      </c>
      <c r="B567">
        <f>IF(IF(EXACT("Per audit — base",'Model inputs'!AA87)="",FALSE,EXACT("Per audit — base",'Model inputs'!AA87)),IF('Model inputs'!O51="","",'Model inputs'!O51),"")</f>
      </c>
    </row>
    <row r="568">
      <c r="A568" t="inlineStr" s="14">
        <is>
          <t xml:space="preserve">Calculation</t>
        </is>
      </c>
      <c r="B568">
        <f>IF(IF(EXACT("Per audit — high",'Model inputs'!AA87)="",FALSE,EXACT("Per audit — high",'Model inputs'!AA87)),IF('Model inputs'!O52="","",'Model inputs'!O52),"")</f>
      </c>
    </row>
    <row r="569">
      <c r="A569" t="inlineStr" s="14">
        <is>
          <t xml:space="preserve">Calculation</t>
        </is>
      </c>
      <c r="B569">
        <f>IF(IF(EXACT("Per audit — low",'Model inputs'!AA87)="",FALSE,EXACT("Per audit — low",'Model inputs'!AA87)),IF('Model inputs'!O53="","",'Model inputs'!O53),"")</f>
      </c>
    </row>
    <row r="570">
      <c r="A570" t="inlineStr" s="14">
        <is>
          <t xml:space="preserve">Calculation</t>
        </is>
      </c>
      <c r="B570">
        <f>IF(IF(EXACT("Annual deal-team",'Model inputs'!AA87)="",FALSE,EXACT("Annual deal-team",'Model inputs'!AA87)),IF('Model inputs'!P49="","",'Model inputs'!P49),"")</f>
      </c>
    </row>
    <row r="571">
      <c r="A571" t="inlineStr" s="14">
        <is>
          <t xml:space="preserve">Calculation</t>
        </is>
      </c>
      <c r="B571">
        <f>IF(IF(EXACT("Hybrid",'Model inputs'!AA87)="",FALSE,EXACT("Hybrid",'Model inputs'!AA87)),IF('Model inputs'!P50="","",'Model inputs'!P50),"")</f>
      </c>
    </row>
    <row r="572">
      <c r="A572" t="inlineStr" s="14">
        <is>
          <t xml:space="preserve">Calculation</t>
        </is>
      </c>
      <c r="B572">
        <f>IF(IF(EXACT("Per audit — base",'Model inputs'!AA87)="",FALSE,EXACT("Per audit — base",'Model inputs'!AA87)),IF('Model inputs'!P51="","",'Model inputs'!P51),"")</f>
      </c>
    </row>
    <row r="573">
      <c r="A573" t="inlineStr" s="14">
        <is>
          <t xml:space="preserve">Calculation</t>
        </is>
      </c>
      <c r="B573">
        <f>IF(IF(EXACT("Per audit — high",'Model inputs'!AA87)="",FALSE,EXACT("Per audit — high",'Model inputs'!AA87)),IF('Model inputs'!P52="","",'Model inputs'!P52),"")</f>
      </c>
    </row>
    <row r="574">
      <c r="A574" t="inlineStr" s="14">
        <is>
          <t xml:space="preserve">Calculation</t>
        </is>
      </c>
      <c r="B574">
        <f>IF(IF(EXACT("Per audit — low",'Model inputs'!AA87)="",FALSE,EXACT("Per audit — low",'Model inputs'!AA87)),IF('Model inputs'!P53="","",'Model inputs'!P53),"")</f>
      </c>
    </row>
    <row r="575">
      <c r="A575" t="inlineStr" s="14">
        <is>
          <t xml:space="preserve">Calculation</t>
        </is>
      </c>
      <c r="B575">
        <f>IF(IF(EXACT("Annual deal-team",'Model inputs'!AA87)="",FALSE,EXACT("Annual deal-team",'Model inputs'!AA87)),IF('Model inputs'!Q49="","",'Model inputs'!Q49),"")</f>
      </c>
    </row>
    <row r="576">
      <c r="A576" t="inlineStr" s="14">
        <is>
          <t xml:space="preserve">Calculation</t>
        </is>
      </c>
      <c r="B576">
        <f>IF(IF(EXACT("Hybrid",'Model inputs'!AA87)="",FALSE,EXACT("Hybrid",'Model inputs'!AA87)),IF('Model inputs'!Q50="","",'Model inputs'!Q50),"")</f>
      </c>
    </row>
    <row r="577">
      <c r="A577" t="inlineStr" s="14">
        <is>
          <t xml:space="preserve">Calculation</t>
        </is>
      </c>
      <c r="B577">
        <f>IF(IF(EXACT("Per audit — base",'Model inputs'!AA87)="",FALSE,EXACT("Per audit — base",'Model inputs'!AA87)),IF('Model inputs'!Q51="","",'Model inputs'!Q51),"")</f>
      </c>
    </row>
    <row r="578">
      <c r="A578" t="inlineStr" s="14">
        <is>
          <t xml:space="preserve">Calculation</t>
        </is>
      </c>
      <c r="B578">
        <f>IF(IF(EXACT("Per audit — high",'Model inputs'!AA87)="",FALSE,EXACT("Per audit — high",'Model inputs'!AA87)),IF('Model inputs'!Q52="","",'Model inputs'!Q52),"")</f>
      </c>
    </row>
    <row r="579">
      <c r="A579" t="inlineStr" s="14">
        <is>
          <t xml:space="preserve">Calculation</t>
        </is>
      </c>
      <c r="B579">
        <f>IF(IF(EXACT("Per audit — low",'Model inputs'!AA87)="",FALSE,EXACT("Per audit — low",'Model inputs'!AA87)),IF('Model inputs'!Q53="","",'Model inputs'!Q53),"")</f>
      </c>
    </row>
    <row r="580">
      <c r="A580" t="inlineStr" s="14">
        <is>
          <t xml:space="preserve">Calculation</t>
        </is>
      </c>
      <c r="B580">
        <f>IF(IF(EXACT("Annual deal-team",'Model inputs'!AA87)="",FALSE,EXACT("Annual deal-team",'Model inputs'!AA87)),IF('Model inputs'!R49="","",'Model inputs'!R49),"")</f>
      </c>
    </row>
    <row r="581">
      <c r="A581" t="inlineStr" s="14">
        <is>
          <t xml:space="preserve">Calculation</t>
        </is>
      </c>
      <c r="B581">
        <f>IF(IF(EXACT("Hybrid",'Model inputs'!AA87)="",FALSE,EXACT("Hybrid",'Model inputs'!AA87)),IF('Model inputs'!R50="","",'Model inputs'!R50),"")</f>
      </c>
    </row>
    <row r="582">
      <c r="A582" t="inlineStr" s="14">
        <is>
          <t xml:space="preserve">Calculation</t>
        </is>
      </c>
      <c r="B582">
        <f>IF(IF(EXACT("Per audit — base",'Model inputs'!AA87)="",FALSE,EXACT("Per audit — base",'Model inputs'!AA87)),IF('Model inputs'!R51="","",'Model inputs'!R51),"")</f>
      </c>
    </row>
    <row r="583">
      <c r="A583" t="inlineStr" s="14">
        <is>
          <t xml:space="preserve">Calculation</t>
        </is>
      </c>
      <c r="B583">
        <f>IF(IF(EXACT("Per audit — high",'Model inputs'!AA87)="",FALSE,EXACT("Per audit — high",'Model inputs'!AA87)),IF('Model inputs'!R52="","",'Model inputs'!R52),"")</f>
      </c>
    </row>
    <row r="584">
      <c r="A584" t="inlineStr" s="14">
        <is>
          <t xml:space="preserve">Calculation</t>
        </is>
      </c>
      <c r="B584">
        <f>IF(IF(EXACT("Per audit — low",'Model inputs'!AA87)="",FALSE,EXACT("Per audit — low",'Model inputs'!AA87)),IF('Model inputs'!R53="","",'Model inputs'!R53),"")</f>
      </c>
    </row>
    <row r="585">
      <c r="A585" t="inlineStr" s="14">
        <is>
          <t xml:space="preserve">Calculation</t>
        </is>
      </c>
      <c r="B585">
        <f>IF(IF(EXACT("Annual deal-team",'Model inputs'!AA87)="",FALSE,EXACT("Annual deal-team",'Model inputs'!AA87)),IF('Model inputs'!S49="","",'Model inputs'!S49),"")</f>
      </c>
    </row>
    <row r="586">
      <c r="A586" t="inlineStr" s="14">
        <is>
          <t xml:space="preserve">Calculation</t>
        </is>
      </c>
      <c r="B586">
        <f>IF(IF(EXACT("Hybrid",'Model inputs'!AA87)="",FALSE,EXACT("Hybrid",'Model inputs'!AA87)),IF('Model inputs'!S50="","",'Model inputs'!S50),"")</f>
      </c>
    </row>
    <row r="587">
      <c r="A587" t="inlineStr" s="14">
        <is>
          <t xml:space="preserve">Calculation</t>
        </is>
      </c>
      <c r="B587">
        <f>IF(IF(EXACT("Per audit — base",'Model inputs'!AA87)="",FALSE,EXACT("Per audit — base",'Model inputs'!AA87)),IF('Model inputs'!S51="","",'Model inputs'!S51),"")</f>
      </c>
    </row>
    <row r="588">
      <c r="A588" t="inlineStr" s="14">
        <is>
          <t xml:space="preserve">Calculation</t>
        </is>
      </c>
      <c r="B588">
        <f>IF(IF(EXACT("Per audit — high",'Model inputs'!AA87)="",FALSE,EXACT("Per audit — high",'Model inputs'!AA87)),IF('Model inputs'!S52="","",'Model inputs'!S52),"")</f>
      </c>
    </row>
    <row r="589">
      <c r="A589" t="inlineStr" s="14">
        <is>
          <t xml:space="preserve">Calculation</t>
        </is>
      </c>
      <c r="B589">
        <f>IF(IF(EXACT("Per audit — low",'Model inputs'!AA87)="",FALSE,EXACT("Per audit — low",'Model inputs'!AA87)),IF('Model inputs'!S53="","",'Model inputs'!S53),"")</f>
      </c>
    </row>
    <row r="590">
      <c r="A590" t="inlineStr" s="14">
        <is>
          <t xml:space="preserve">Calculation</t>
        </is>
      </c>
      <c r="B590">
        <f>IF(IF(EXACT("Annual deal-team",'Model inputs'!AA87)="",FALSE,EXACT("Annual deal-team",'Model inputs'!AA87)),IF('Model inputs'!T49="","",'Model inputs'!T49),"")</f>
      </c>
    </row>
    <row r="591">
      <c r="A591" t="inlineStr" s="14">
        <is>
          <t xml:space="preserve">Calculation</t>
        </is>
      </c>
      <c r="B591">
        <f>IF(IF(EXACT("Hybrid",'Model inputs'!AA87)="",FALSE,EXACT("Hybrid",'Model inputs'!AA87)),IF('Model inputs'!T50="","",'Model inputs'!T50),"")</f>
      </c>
    </row>
    <row r="592">
      <c r="A592" t="inlineStr" s="14">
        <is>
          <t xml:space="preserve">Calculation</t>
        </is>
      </c>
      <c r="B592">
        <f>IF(IF(EXACT("Per audit — base",'Model inputs'!AA87)="",FALSE,EXACT("Per audit — base",'Model inputs'!AA87)),IF('Model inputs'!T51="","",'Model inputs'!T51),"")</f>
      </c>
    </row>
    <row r="593">
      <c r="A593" t="inlineStr" s="14">
        <is>
          <t xml:space="preserve">Calculation</t>
        </is>
      </c>
      <c r="B593">
        <f>IF(IF(EXACT("Per audit — high",'Model inputs'!AA87)="",FALSE,EXACT("Per audit — high",'Model inputs'!AA87)),IF('Model inputs'!T52="","",'Model inputs'!T52),"")</f>
      </c>
    </row>
    <row r="594">
      <c r="A594" t="inlineStr" s="14">
        <is>
          <t xml:space="preserve">Calculation</t>
        </is>
      </c>
      <c r="B594">
        <f>IF(IF(EXACT("Per audit — low",'Model inputs'!AA87)="",FALSE,EXACT("Per audit — low",'Model inputs'!AA87)),IF('Model inputs'!T53="","",'Model inputs'!T53),"")</f>
      </c>
    </row>
    <row r="595">
      <c r="A595" t="inlineStr" s="14">
        <is>
          <t xml:space="preserve">Calculation</t>
        </is>
      </c>
      <c r="B595">
        <f>IF(IF(EXACT("Annual deal-team",'Model inputs'!AA87)="",FALSE,EXACT("Annual deal-team",'Model inputs'!AA87)),IF('Model inputs'!U49="","",'Model inputs'!U49),"")</f>
      </c>
    </row>
    <row r="596">
      <c r="A596" t="inlineStr" s="14">
        <is>
          <t xml:space="preserve">Calculation</t>
        </is>
      </c>
      <c r="B596">
        <f>IF(IF(EXACT("Hybrid",'Model inputs'!AA87)="",FALSE,EXACT("Hybrid",'Model inputs'!AA87)),IF('Model inputs'!U50="","",'Model inputs'!U50),"")</f>
      </c>
    </row>
    <row r="597">
      <c r="A597" t="inlineStr" s="14">
        <is>
          <t xml:space="preserve">Calculation</t>
        </is>
      </c>
      <c r="B597">
        <f>IF(IF(EXACT("Per audit — base",'Model inputs'!AA87)="",FALSE,EXACT("Per audit — base",'Model inputs'!AA87)),IF('Model inputs'!U51="","",'Model inputs'!U51),"")</f>
      </c>
    </row>
    <row r="598">
      <c r="A598" t="inlineStr" s="14">
        <is>
          <t xml:space="preserve">Calculation</t>
        </is>
      </c>
      <c r="B598">
        <f>IF(IF(EXACT("Per audit — high",'Model inputs'!AA87)="",FALSE,EXACT("Per audit — high",'Model inputs'!AA87)),IF('Model inputs'!U52="","",'Model inputs'!U52),"")</f>
      </c>
    </row>
    <row r="599">
      <c r="A599" t="inlineStr" s="14">
        <is>
          <t xml:space="preserve">Calculation</t>
        </is>
      </c>
      <c r="B599">
        <f>IF(IF(EXACT("Per audit — low",'Model inputs'!AA87)="",FALSE,EXACT("Per audit — low",'Model inputs'!AA87)),IF('Model inputs'!U53="","",'Model inputs'!U53),"")</f>
      </c>
    </row>
    <row r="600">
      <c r="A600" t="inlineStr" s="14">
        <is>
          <t xml:space="preserve">Calculation</t>
        </is>
      </c>
      <c r="B600">
        <f>IF(IF(EXACT("Annual deal-team",'Model inputs'!AA87)="",FALSE,EXACT("Annual deal-team",'Model inputs'!AA87)),IF('Model inputs'!V49="","",'Model inputs'!V49),"")</f>
      </c>
    </row>
    <row r="601">
      <c r="A601" t="inlineStr" s="14">
        <is>
          <t xml:space="preserve">Calculation</t>
        </is>
      </c>
      <c r="B601">
        <f>IF(IF(EXACT("Hybrid",'Model inputs'!AA87)="",FALSE,EXACT("Hybrid",'Model inputs'!AA87)),IF('Model inputs'!V50="","",'Model inputs'!V50),"")</f>
      </c>
    </row>
    <row r="602">
      <c r="A602" t="inlineStr" s="14">
        <is>
          <t xml:space="preserve">Calculation</t>
        </is>
      </c>
      <c r="B602">
        <f>IF(IF(EXACT("Per audit — base",'Model inputs'!AA87)="",FALSE,EXACT("Per audit — base",'Model inputs'!AA87)),IF('Model inputs'!V51="","",'Model inputs'!V51),"")</f>
      </c>
    </row>
    <row r="603">
      <c r="A603" t="inlineStr" s="14">
        <is>
          <t xml:space="preserve">Calculation</t>
        </is>
      </c>
      <c r="B603">
        <f>IF(IF(EXACT("Per audit — high",'Model inputs'!AA87)="",FALSE,EXACT("Per audit — high",'Model inputs'!AA87)),IF('Model inputs'!V52="","",'Model inputs'!V52),"")</f>
      </c>
    </row>
    <row r="604">
      <c r="A604" t="inlineStr" s="14">
        <is>
          <t xml:space="preserve">Calculation</t>
        </is>
      </c>
      <c r="B604">
        <f>IF(IF(EXACT("Per audit — low",'Model inputs'!AA87)="",FALSE,EXACT("Per audit — low",'Model inputs'!AA87)),IF('Model inputs'!V53="","",'Model inputs'!V53),"")</f>
      </c>
    </row>
    <row r="605">
      <c r="A605" t="inlineStr" s="14">
        <is>
          <t xml:space="preserve">Calculation</t>
        </is>
      </c>
      <c r="B605">
        <f>IF(IF(EXACT("Annual deal-team",'Model inputs'!AA87)="",FALSE,EXACT("Annual deal-team",'Model inputs'!AA87)),IF('Model inputs'!W49="","",'Model inputs'!W49),"")</f>
      </c>
    </row>
    <row r="606">
      <c r="A606" t="inlineStr" s="14">
        <is>
          <t xml:space="preserve">Calculation</t>
        </is>
      </c>
      <c r="B606">
        <f>IF(IF(EXACT("Hybrid",'Model inputs'!AA87)="",FALSE,EXACT("Hybrid",'Model inputs'!AA87)),IF('Model inputs'!W50="","",'Model inputs'!W50),"")</f>
      </c>
    </row>
    <row r="607">
      <c r="A607" t="inlineStr" s="14">
        <is>
          <t xml:space="preserve">Calculation</t>
        </is>
      </c>
      <c r="B607">
        <f>IF(IF(EXACT("Per audit — base",'Model inputs'!AA87)="",FALSE,EXACT("Per audit — base",'Model inputs'!AA87)),IF('Model inputs'!W51="","",'Model inputs'!W51),"")</f>
      </c>
    </row>
    <row r="608">
      <c r="A608" t="inlineStr" s="14">
        <is>
          <t xml:space="preserve">Calculation</t>
        </is>
      </c>
      <c r="B608">
        <f>IF(IF(EXACT("Per audit — high",'Model inputs'!AA87)="",FALSE,EXACT("Per audit — high",'Model inputs'!AA87)),IF('Model inputs'!W52="","",'Model inputs'!W52),"")</f>
      </c>
    </row>
    <row r="609">
      <c r="A609" t="inlineStr" s="14">
        <is>
          <t xml:space="preserve">Calculation</t>
        </is>
      </c>
      <c r="B609">
        <f>IF(IF(EXACT("Per audit — low",'Model inputs'!AA87)="",FALSE,EXACT("Per audit — low",'Model inputs'!AA87)),IF('Model inputs'!W53="","",'Model inputs'!W53),"")</f>
      </c>
    </row>
    <row r="610">
      <c r="A610" t="inlineStr" s="14">
        <is>
          <t xml:space="preserve">Calculation</t>
        </is>
      </c>
      <c r="B610">
        <f>IF(IF(EXACT("Annual deal-team",'Model inputs'!AA87)="",FALSE,EXACT("Annual deal-team",'Model inputs'!AA87)),IF('Model inputs'!X49="","",'Model inputs'!X49),"")</f>
      </c>
    </row>
    <row r="611">
      <c r="A611" t="inlineStr" s="14">
        <is>
          <t xml:space="preserve">Calculation</t>
        </is>
      </c>
      <c r="B611">
        <f>IF(IF(EXACT("Hybrid",'Model inputs'!AA87)="",FALSE,EXACT("Hybrid",'Model inputs'!AA87)),IF('Model inputs'!X50="","",'Model inputs'!X50),"")</f>
      </c>
    </row>
    <row r="612">
      <c r="A612" t="inlineStr" s="14">
        <is>
          <t xml:space="preserve">Calculation</t>
        </is>
      </c>
      <c r="B612">
        <f>IF(IF(EXACT("Per audit — base",'Model inputs'!AA87)="",FALSE,EXACT("Per audit — base",'Model inputs'!AA87)),IF('Model inputs'!X51="","",'Model inputs'!X51),"")</f>
      </c>
    </row>
    <row r="613">
      <c r="A613" t="inlineStr" s="14">
        <is>
          <t xml:space="preserve">Calculation</t>
        </is>
      </c>
      <c r="B613">
        <f>IF(IF(EXACT("Per audit — high",'Model inputs'!AA87)="",FALSE,EXACT("Per audit — high",'Model inputs'!AA87)),IF('Model inputs'!X52="","",'Model inputs'!X52),"")</f>
      </c>
    </row>
    <row r="614">
      <c r="A614" t="inlineStr" s="14">
        <is>
          <t xml:space="preserve">Calculation</t>
        </is>
      </c>
      <c r="B614">
        <f>IF(IF(EXACT("Per audit — low",'Model inputs'!AA87)="",FALSE,EXACT("Per audit — low",'Model inputs'!AA87)),IF('Model inputs'!X53="","",'Model inputs'!X53),"")</f>
      </c>
    </row>
    <row r="615">
      <c r="A615" t="inlineStr" s="14">
        <is>
          <t xml:space="preserve">Calculation</t>
        </is>
      </c>
      <c r="B615">
        <f>IF(IF(EXACT("Annual deal-team",'Model inputs'!AA87)="",FALSE,EXACT("Annual deal-team",'Model inputs'!AA87)),IF('Model inputs'!Y49="","",'Model inputs'!Y49),"")</f>
      </c>
    </row>
    <row r="616">
      <c r="A616" t="inlineStr" s="14">
        <is>
          <t xml:space="preserve">Calculation</t>
        </is>
      </c>
      <c r="B616">
        <f>IF(IF(EXACT("Hybrid",'Model inputs'!AA87)="",FALSE,EXACT("Hybrid",'Model inputs'!AA87)),IF('Model inputs'!Y50="","",'Model inputs'!Y50),"")</f>
      </c>
    </row>
    <row r="617">
      <c r="A617" t="inlineStr" s="14">
        <is>
          <t xml:space="preserve">Calculation</t>
        </is>
      </c>
      <c r="B617">
        <f>IF(IF(EXACT("Per audit — base",'Model inputs'!AA87)="",FALSE,EXACT("Per audit — base",'Model inputs'!AA87)),IF('Model inputs'!Y51="","",'Model inputs'!Y51),"")</f>
      </c>
    </row>
    <row r="618">
      <c r="A618" t="inlineStr" s="14">
        <is>
          <t xml:space="preserve">Calculation</t>
        </is>
      </c>
      <c r="B618">
        <f>IF(IF(EXACT("Per audit — high",'Model inputs'!AA87)="",FALSE,EXACT("Per audit — high",'Model inputs'!AA87)),IF('Model inputs'!Y52="","",'Model inputs'!Y52),"")</f>
      </c>
    </row>
    <row r="619">
      <c r="A619" t="inlineStr" s="14">
        <is>
          <t xml:space="preserve">Calculation</t>
        </is>
      </c>
      <c r="B619">
        <f>IF(IF(EXACT("Per audit — low",'Model inputs'!AA87)="",FALSE,EXACT("Per audit — low",'Model inputs'!AA87)),IF('Model inputs'!Y53="","",'Model inputs'!Y53),"")</f>
      </c>
    </row>
    <row r="620">
      <c r="A620" t="inlineStr" s="14">
        <is>
          <t xml:space="preserve">Calculation</t>
        </is>
      </c>
      <c r="B620">
        <f>IF(IF(EXACT("Annual deal-team",'Model inputs'!AA87)="",FALSE,EXACT("Annual deal-team",'Model inputs'!AA87)),IF('Model inputs'!Z49="","",'Model inputs'!Z49),"")</f>
      </c>
    </row>
    <row r="621">
      <c r="A621" t="inlineStr" s="14">
        <is>
          <t xml:space="preserve">Calculation</t>
        </is>
      </c>
      <c r="B621">
        <f>IF(IF(EXACT("Hybrid",'Model inputs'!AA87)="",FALSE,EXACT("Hybrid",'Model inputs'!AA87)),IF('Model inputs'!Z50="","",'Model inputs'!Z50),"")</f>
      </c>
    </row>
    <row r="622">
      <c r="A622" t="inlineStr" s="14">
        <is>
          <t xml:space="preserve">Calculation</t>
        </is>
      </c>
      <c r="B622">
        <f>IF(IF(EXACT("Per audit — base",'Model inputs'!AA87)="",FALSE,EXACT("Per audit — base",'Model inputs'!AA87)),IF('Model inputs'!Z51="","",'Model inputs'!Z51),"")</f>
      </c>
    </row>
    <row r="623">
      <c r="A623" t="inlineStr" s="14">
        <is>
          <t xml:space="preserve">Calculation</t>
        </is>
      </c>
      <c r="B623">
        <f>IF(IF(EXACT("Per audit — high",'Model inputs'!AA87)="",FALSE,EXACT("Per audit — high",'Model inputs'!AA87)),IF('Model inputs'!Z52="","",'Model inputs'!Z52),"")</f>
      </c>
    </row>
    <row r="624">
      <c r="A624" t="inlineStr" s="14">
        <is>
          <t xml:space="preserve">Calculation</t>
        </is>
      </c>
      <c r="B624">
        <f>IF(IF(EXACT("Per audit — low",'Model inputs'!AA87)="",FALSE,EXACT("Per audit — low",'Model inputs'!AA87)),IF('Model inputs'!Z53="","",'Model inputs'!Z53),"")</f>
      </c>
    </row>
    <row r="625">
      <c r="A625" t="inlineStr" s="14">
        <is>
          <t xml:space="preserve">Calculation</t>
        </is>
      </c>
      <c r="B625">
        <f>IF(IF(EXACT("Annual deal-team",'Model inputs'!AA86)="",FALSE,EXACT("Annual deal-team",'Model inputs'!AA86)),IF('Model inputs'!L57="","",'Model inputs'!L57),"")</f>
      </c>
    </row>
    <row r="626">
      <c r="A626" t="inlineStr" s="14">
        <is>
          <t xml:space="preserve">Calculation</t>
        </is>
      </c>
      <c r="B626">
        <f>IF(IF(EXACT("Hybrid",'Model inputs'!AA86)="",FALSE,EXACT("Hybrid",'Model inputs'!AA86)),IF('Model inputs'!L58="","",'Model inputs'!L58),"")</f>
      </c>
    </row>
    <row r="627">
      <c r="A627" t="inlineStr" s="14">
        <is>
          <t xml:space="preserve">Calculation</t>
        </is>
      </c>
      <c r="B627">
        <f>IF(IF(EXACT("Per audit — base",'Model inputs'!AA86)="",FALSE,EXACT("Per audit — base",'Model inputs'!AA86)),IF('Model inputs'!L59="","",'Model inputs'!L59),"")</f>
      </c>
    </row>
    <row r="628">
      <c r="A628" t="inlineStr" s="14">
        <is>
          <t xml:space="preserve">Calculation</t>
        </is>
      </c>
      <c r="B628">
        <f>IF(IF(EXACT("Per audit — high",'Model inputs'!AA86)="",FALSE,EXACT("Per audit — high",'Model inputs'!AA86)),IF('Model inputs'!L60="","",'Model inputs'!L60),"")</f>
      </c>
    </row>
    <row r="629">
      <c r="A629" t="inlineStr" s="14">
        <is>
          <t xml:space="preserve">Calculation</t>
        </is>
      </c>
      <c r="B629">
        <f>IF(IF(EXACT("Per audit — low",'Model inputs'!AA86)="",FALSE,EXACT("Per audit — low",'Model inputs'!AA86)),IF('Model inputs'!L61="","",'Model inputs'!L61),"")</f>
      </c>
    </row>
    <row r="630">
      <c r="A630" t="inlineStr" s="14">
        <is>
          <t xml:space="preserve">Calculation</t>
        </is>
      </c>
      <c r="B630">
        <f>IF(IF(EXACT("Annual deal-team",'Model inputs'!AA86)="",FALSE,EXACT("Annual deal-team",'Model inputs'!AA86)),IF('Model inputs'!M57="","",'Model inputs'!M57),"")</f>
      </c>
    </row>
    <row r="631">
      <c r="A631" t="inlineStr" s="14">
        <is>
          <t xml:space="preserve">Calculation</t>
        </is>
      </c>
      <c r="B631">
        <f>IF(IF(EXACT("Hybrid",'Model inputs'!AA86)="",FALSE,EXACT("Hybrid",'Model inputs'!AA86)),IF('Model inputs'!M58="","",'Model inputs'!M58),"")</f>
      </c>
    </row>
    <row r="632">
      <c r="A632" t="inlineStr" s="14">
        <is>
          <t xml:space="preserve">Calculation</t>
        </is>
      </c>
      <c r="B632">
        <f>IF(IF(EXACT("Per audit — base",'Model inputs'!AA86)="",FALSE,EXACT("Per audit — base",'Model inputs'!AA86)),IF('Model inputs'!M59="","",'Model inputs'!M59),"")</f>
      </c>
    </row>
    <row r="633">
      <c r="A633" t="inlineStr" s="14">
        <is>
          <t xml:space="preserve">Calculation</t>
        </is>
      </c>
      <c r="B633">
        <f>IF(IF(EXACT("Per audit — high",'Model inputs'!AA86)="",FALSE,EXACT("Per audit — high",'Model inputs'!AA86)),IF('Model inputs'!M60="","",'Model inputs'!M60),"")</f>
      </c>
    </row>
    <row r="634">
      <c r="A634" t="inlineStr" s="14">
        <is>
          <t xml:space="preserve">Calculation</t>
        </is>
      </c>
      <c r="B634">
        <f>IF(IF(EXACT("Per audit — low",'Model inputs'!AA86)="",FALSE,EXACT("Per audit — low",'Model inputs'!AA86)),IF('Model inputs'!M61="","",'Model inputs'!M61),"")</f>
      </c>
    </row>
    <row r="635">
      <c r="A635" t="inlineStr" s="14">
        <is>
          <t xml:space="preserve">Calculation</t>
        </is>
      </c>
      <c r="B635">
        <f>IF(IF(EXACT("Annual deal-team",'Model inputs'!AA86)="",FALSE,EXACT("Annual deal-team",'Model inputs'!AA86)),IF('Model inputs'!N57="","",'Model inputs'!N57),"")</f>
      </c>
    </row>
    <row r="636">
      <c r="A636" t="inlineStr" s="14">
        <is>
          <t xml:space="preserve">Calculation</t>
        </is>
      </c>
      <c r="B636">
        <f>IF(IF(EXACT("Hybrid",'Model inputs'!AA86)="",FALSE,EXACT("Hybrid",'Model inputs'!AA86)),IF('Model inputs'!N58="","",'Model inputs'!N58),"")</f>
      </c>
    </row>
    <row r="637">
      <c r="A637" t="inlineStr" s="14">
        <is>
          <t xml:space="preserve">Calculation</t>
        </is>
      </c>
      <c r="B637">
        <f>IF(IF(EXACT("Per audit — base",'Model inputs'!AA86)="",FALSE,EXACT("Per audit — base",'Model inputs'!AA86)),IF('Model inputs'!N59="","",'Model inputs'!N59),"")</f>
      </c>
    </row>
    <row r="638">
      <c r="A638" t="inlineStr" s="14">
        <is>
          <t xml:space="preserve">Calculation</t>
        </is>
      </c>
      <c r="B638">
        <f>IF(IF(EXACT("Per audit — high",'Model inputs'!AA86)="",FALSE,EXACT("Per audit — high",'Model inputs'!AA86)),IF('Model inputs'!N60="","",'Model inputs'!N60),"")</f>
      </c>
    </row>
    <row r="639">
      <c r="A639" t="inlineStr" s="14">
        <is>
          <t xml:space="preserve">Calculation</t>
        </is>
      </c>
      <c r="B639">
        <f>IF(IF(EXACT("Per audit — low",'Model inputs'!AA86)="",FALSE,EXACT("Per audit — low",'Model inputs'!AA86)),IF('Model inputs'!N61="","",'Model inputs'!N61),"")</f>
      </c>
    </row>
    <row r="640">
      <c r="A640" t="inlineStr" s="14">
        <is>
          <t xml:space="preserve">Calculation</t>
        </is>
      </c>
      <c r="B640">
        <f>IF(IF(EXACT("Annual deal-team",'Model inputs'!AA86)="",FALSE,EXACT("Annual deal-team",'Model inputs'!AA86)),IF('Model inputs'!O57="","",'Model inputs'!O57),"")</f>
      </c>
    </row>
    <row r="641">
      <c r="A641" t="inlineStr" s="14">
        <is>
          <t xml:space="preserve">Calculation</t>
        </is>
      </c>
      <c r="B641">
        <f>IF(IF(EXACT("Hybrid",'Model inputs'!AA86)="",FALSE,EXACT("Hybrid",'Model inputs'!AA86)),IF('Model inputs'!O58="","",'Model inputs'!O58),"")</f>
      </c>
    </row>
    <row r="642">
      <c r="A642" t="inlineStr" s="14">
        <is>
          <t xml:space="preserve">Calculation</t>
        </is>
      </c>
      <c r="B642">
        <f>IF(IF(EXACT("Per audit — base",'Model inputs'!AA86)="",FALSE,EXACT("Per audit — base",'Model inputs'!AA86)),IF('Model inputs'!O59="","",'Model inputs'!O59),"")</f>
      </c>
    </row>
    <row r="643">
      <c r="A643" t="inlineStr" s="14">
        <is>
          <t xml:space="preserve">Calculation</t>
        </is>
      </c>
      <c r="B643">
        <f>IF(IF(EXACT("Per audit — high",'Model inputs'!AA86)="",FALSE,EXACT("Per audit — high",'Model inputs'!AA86)),IF('Model inputs'!O60="","",'Model inputs'!O60),"")</f>
      </c>
    </row>
    <row r="644">
      <c r="A644" t="inlineStr" s="14">
        <is>
          <t xml:space="preserve">Calculation</t>
        </is>
      </c>
      <c r="B644">
        <f>IF(IF(EXACT("Per audit — low",'Model inputs'!AA86)="",FALSE,EXACT("Per audit — low",'Model inputs'!AA86)),IF('Model inputs'!O61="","",'Model inputs'!O61),"")</f>
      </c>
    </row>
    <row r="645">
      <c r="A645" t="inlineStr" s="14">
        <is>
          <t xml:space="preserve">Calculation</t>
        </is>
      </c>
      <c r="B645">
        <f>IF(IF(EXACT("Annual deal-team",'Model inputs'!AA86)="",FALSE,EXACT("Annual deal-team",'Model inputs'!AA86)),IF('Model inputs'!P57="","",'Model inputs'!P57),"")</f>
      </c>
    </row>
    <row r="646">
      <c r="A646" t="inlineStr" s="14">
        <is>
          <t xml:space="preserve">Calculation</t>
        </is>
      </c>
      <c r="B646">
        <f>IF(IF(EXACT("Hybrid",'Model inputs'!AA86)="",FALSE,EXACT("Hybrid",'Model inputs'!AA86)),IF('Model inputs'!P58="","",'Model inputs'!P58),"")</f>
      </c>
    </row>
    <row r="647">
      <c r="A647" t="inlineStr" s="14">
        <is>
          <t xml:space="preserve">Calculation</t>
        </is>
      </c>
      <c r="B647">
        <f>IF(IF(EXACT("Per audit — base",'Model inputs'!AA86)="",FALSE,EXACT("Per audit — base",'Model inputs'!AA86)),IF('Model inputs'!P59="","",'Model inputs'!P59),"")</f>
      </c>
    </row>
    <row r="648">
      <c r="A648" t="inlineStr" s="14">
        <is>
          <t xml:space="preserve">Calculation</t>
        </is>
      </c>
      <c r="B648">
        <f>IF(IF(EXACT("Per audit — high",'Model inputs'!AA86)="",FALSE,EXACT("Per audit — high",'Model inputs'!AA86)),IF('Model inputs'!P60="","",'Model inputs'!P60),"")</f>
      </c>
    </row>
    <row r="649">
      <c r="A649" t="inlineStr" s="14">
        <is>
          <t xml:space="preserve">Calculation</t>
        </is>
      </c>
      <c r="B649">
        <f>IF(IF(EXACT("Per audit — low",'Model inputs'!AA86)="",FALSE,EXACT("Per audit — low",'Model inputs'!AA86)),IF('Model inputs'!P61="","",'Model inputs'!P61),"")</f>
      </c>
    </row>
    <row r="650">
      <c r="A650" t="inlineStr" s="14">
        <is>
          <t xml:space="preserve">Calculation</t>
        </is>
      </c>
      <c r="B650">
        <f>IF(IF(EXACT("Annual deal-team",'Model inputs'!AA86)="",FALSE,EXACT("Annual deal-team",'Model inputs'!AA86)),IF('Model inputs'!Q57="","",'Model inputs'!Q57),"")</f>
      </c>
    </row>
    <row r="651">
      <c r="A651" t="inlineStr" s="14">
        <is>
          <t xml:space="preserve">Calculation</t>
        </is>
      </c>
      <c r="B651">
        <f>IF(IF(EXACT("Hybrid",'Model inputs'!AA86)="",FALSE,EXACT("Hybrid",'Model inputs'!AA86)),IF('Model inputs'!Q58="","",'Model inputs'!Q58),"")</f>
      </c>
    </row>
    <row r="652">
      <c r="A652" t="inlineStr" s="14">
        <is>
          <t xml:space="preserve">Calculation</t>
        </is>
      </c>
      <c r="B652">
        <f>IF(IF(EXACT("Per audit — base",'Model inputs'!AA86)="",FALSE,EXACT("Per audit — base",'Model inputs'!AA86)),IF('Model inputs'!Q59="","",'Model inputs'!Q59),"")</f>
      </c>
    </row>
    <row r="653">
      <c r="A653" t="inlineStr" s="14">
        <is>
          <t xml:space="preserve">Calculation</t>
        </is>
      </c>
      <c r="B653">
        <f>IF(IF(EXACT("Per audit — high",'Model inputs'!AA86)="",FALSE,EXACT("Per audit — high",'Model inputs'!AA86)),IF('Model inputs'!Q60="","",'Model inputs'!Q60),"")</f>
      </c>
    </row>
    <row r="654">
      <c r="A654" t="inlineStr" s="14">
        <is>
          <t xml:space="preserve">Calculation</t>
        </is>
      </c>
      <c r="B654">
        <f>IF(IF(EXACT("Per audit — low",'Model inputs'!AA86)="",FALSE,EXACT("Per audit — low",'Model inputs'!AA86)),IF('Model inputs'!Q61="","",'Model inputs'!Q61),"")</f>
      </c>
    </row>
    <row r="655">
      <c r="A655" t="inlineStr" s="14">
        <is>
          <t xml:space="preserve">Calculation</t>
        </is>
      </c>
      <c r="B655">
        <f>IF(IF(EXACT("Annual deal-team",'Model inputs'!AA86)="",FALSE,EXACT("Annual deal-team",'Model inputs'!AA86)),IF('Model inputs'!R57="","",'Model inputs'!R57),"")</f>
      </c>
    </row>
    <row r="656">
      <c r="A656" t="inlineStr" s="14">
        <is>
          <t xml:space="preserve">Calculation</t>
        </is>
      </c>
      <c r="B656">
        <f>IF(IF(EXACT("Hybrid",'Model inputs'!AA86)="",FALSE,EXACT("Hybrid",'Model inputs'!AA86)),IF('Model inputs'!R58="","",'Model inputs'!R58),"")</f>
      </c>
    </row>
    <row r="657">
      <c r="A657" t="inlineStr" s="14">
        <is>
          <t xml:space="preserve">Calculation</t>
        </is>
      </c>
      <c r="B657">
        <f>IF(IF(EXACT("Per audit — base",'Model inputs'!AA86)="",FALSE,EXACT("Per audit — base",'Model inputs'!AA86)),IF('Model inputs'!R59="","",'Model inputs'!R59),"")</f>
      </c>
    </row>
    <row r="658">
      <c r="A658" t="inlineStr" s="14">
        <is>
          <t xml:space="preserve">Calculation</t>
        </is>
      </c>
      <c r="B658">
        <f>IF(IF(EXACT("Per audit — high",'Model inputs'!AA86)="",FALSE,EXACT("Per audit — high",'Model inputs'!AA86)),IF('Model inputs'!R60="","",'Model inputs'!R60),"")</f>
      </c>
    </row>
    <row r="659">
      <c r="A659" t="inlineStr" s="14">
        <is>
          <t xml:space="preserve">Calculation</t>
        </is>
      </c>
      <c r="B659">
        <f>IF(IF(EXACT("Per audit — low",'Model inputs'!AA86)="",FALSE,EXACT("Per audit — low",'Model inputs'!AA86)),IF('Model inputs'!R61="","",'Model inputs'!R61),"")</f>
      </c>
    </row>
    <row r="660">
      <c r="A660" t="inlineStr" s="14">
        <is>
          <t xml:space="preserve">Calculation</t>
        </is>
      </c>
      <c r="B660">
        <f>IF(IF(EXACT("Annual deal-team",'Model inputs'!AA86)="",FALSE,EXACT("Annual deal-team",'Model inputs'!AA86)),IF('Model inputs'!S57="","",'Model inputs'!S57),"")</f>
      </c>
    </row>
    <row r="661">
      <c r="A661" t="inlineStr" s="14">
        <is>
          <t xml:space="preserve">Calculation</t>
        </is>
      </c>
      <c r="B661">
        <f>IF(IF(EXACT("Hybrid",'Model inputs'!AA86)="",FALSE,EXACT("Hybrid",'Model inputs'!AA86)),IF('Model inputs'!S58="","",'Model inputs'!S58),"")</f>
      </c>
    </row>
    <row r="662">
      <c r="A662" t="inlineStr" s="14">
        <is>
          <t xml:space="preserve">Calculation</t>
        </is>
      </c>
      <c r="B662">
        <f>IF(IF(EXACT("Per audit — base",'Model inputs'!AA86)="",FALSE,EXACT("Per audit — base",'Model inputs'!AA86)),IF('Model inputs'!S59="","",'Model inputs'!S59),"")</f>
      </c>
    </row>
    <row r="663">
      <c r="A663" t="inlineStr" s="14">
        <is>
          <t xml:space="preserve">Calculation</t>
        </is>
      </c>
      <c r="B663">
        <f>IF(IF(EXACT("Per audit — high",'Model inputs'!AA86)="",FALSE,EXACT("Per audit — high",'Model inputs'!AA86)),IF('Model inputs'!S60="","",'Model inputs'!S60),"")</f>
      </c>
    </row>
    <row r="664">
      <c r="A664" t="inlineStr" s="14">
        <is>
          <t xml:space="preserve">Calculation</t>
        </is>
      </c>
      <c r="B664">
        <f>IF(IF(EXACT("Per audit — low",'Model inputs'!AA86)="",FALSE,EXACT("Per audit — low",'Model inputs'!AA86)),IF('Model inputs'!S61="","",'Model inputs'!S61),"")</f>
      </c>
    </row>
    <row r="665">
      <c r="A665" t="inlineStr" s="14">
        <is>
          <t xml:space="preserve">Calculation</t>
        </is>
      </c>
      <c r="B665">
        <f>IF(IF(EXACT("Annual deal-team",'Model inputs'!AA86)="",FALSE,EXACT("Annual deal-team",'Model inputs'!AA86)),IF('Model inputs'!T57="","",'Model inputs'!T57),"")</f>
      </c>
    </row>
    <row r="666">
      <c r="A666" t="inlineStr" s="14">
        <is>
          <t xml:space="preserve">Calculation</t>
        </is>
      </c>
      <c r="B666">
        <f>IF(IF(EXACT("Hybrid",'Model inputs'!AA86)="",FALSE,EXACT("Hybrid",'Model inputs'!AA86)),IF('Model inputs'!T58="","",'Model inputs'!T58),"")</f>
      </c>
    </row>
    <row r="667">
      <c r="A667" t="inlineStr" s="14">
        <is>
          <t xml:space="preserve">Calculation</t>
        </is>
      </c>
      <c r="B667">
        <f>IF(IF(EXACT("Per audit — base",'Model inputs'!AA86)="",FALSE,EXACT("Per audit — base",'Model inputs'!AA86)),IF('Model inputs'!T59="","",'Model inputs'!T59),"")</f>
      </c>
    </row>
    <row r="668">
      <c r="A668" t="inlineStr" s="14">
        <is>
          <t xml:space="preserve">Calculation</t>
        </is>
      </c>
      <c r="B668">
        <f>IF(IF(EXACT("Per audit — high",'Model inputs'!AA86)="",FALSE,EXACT("Per audit — high",'Model inputs'!AA86)),IF('Model inputs'!T60="","",'Model inputs'!T60),"")</f>
      </c>
    </row>
    <row r="669">
      <c r="A669" t="inlineStr" s="14">
        <is>
          <t xml:space="preserve">Calculation</t>
        </is>
      </c>
      <c r="B669">
        <f>IF(IF(EXACT("Per audit — low",'Model inputs'!AA86)="",FALSE,EXACT("Per audit — low",'Model inputs'!AA86)),IF('Model inputs'!T61="","",'Model inputs'!T61),"")</f>
      </c>
    </row>
    <row r="670">
      <c r="A670" t="inlineStr" s="14">
        <is>
          <t xml:space="preserve">Calculation</t>
        </is>
      </c>
      <c r="B670">
        <f>IF(IF(EXACT("Annual deal-team",'Model inputs'!AA86)="",FALSE,EXACT("Annual deal-team",'Model inputs'!AA86)),IF('Model inputs'!U57="","",'Model inputs'!U57),"")</f>
      </c>
    </row>
    <row r="671">
      <c r="A671" t="inlineStr" s="14">
        <is>
          <t xml:space="preserve">Calculation</t>
        </is>
      </c>
      <c r="B671">
        <f>IF(IF(EXACT("Hybrid",'Model inputs'!AA86)="",FALSE,EXACT("Hybrid",'Model inputs'!AA86)),IF('Model inputs'!U58="","",'Model inputs'!U58),"")</f>
      </c>
    </row>
    <row r="672">
      <c r="A672" t="inlineStr" s="14">
        <is>
          <t xml:space="preserve">Calculation</t>
        </is>
      </c>
      <c r="B672">
        <f>IF(IF(EXACT("Per audit — base",'Model inputs'!AA86)="",FALSE,EXACT("Per audit — base",'Model inputs'!AA86)),IF('Model inputs'!U59="","",'Model inputs'!U59),"")</f>
      </c>
    </row>
    <row r="673">
      <c r="A673" t="inlineStr" s="14">
        <is>
          <t xml:space="preserve">Calculation</t>
        </is>
      </c>
      <c r="B673">
        <f>IF(IF(EXACT("Per audit — high",'Model inputs'!AA86)="",FALSE,EXACT("Per audit — high",'Model inputs'!AA86)),IF('Model inputs'!U60="","",'Model inputs'!U60),"")</f>
      </c>
    </row>
    <row r="674">
      <c r="A674" t="inlineStr" s="14">
        <is>
          <t xml:space="preserve">Calculation</t>
        </is>
      </c>
      <c r="B674">
        <f>IF(IF(EXACT("Per audit — low",'Model inputs'!AA86)="",FALSE,EXACT("Per audit — low",'Model inputs'!AA86)),IF('Model inputs'!U61="","",'Model inputs'!U61),"")</f>
      </c>
    </row>
    <row r="675">
      <c r="A675" t="inlineStr" s="14">
        <is>
          <t xml:space="preserve">Calculation</t>
        </is>
      </c>
      <c r="B675">
        <f>IF(IF(EXACT("Annual deal-team",'Model inputs'!AA86)="",FALSE,EXACT("Annual deal-team",'Model inputs'!AA86)),IF('Model inputs'!V57="","",'Model inputs'!V57),"")</f>
      </c>
    </row>
    <row r="676">
      <c r="A676" t="inlineStr" s="14">
        <is>
          <t xml:space="preserve">Calculation</t>
        </is>
      </c>
      <c r="B676">
        <f>IF(IF(EXACT("Hybrid",'Model inputs'!AA86)="",FALSE,EXACT("Hybrid",'Model inputs'!AA86)),IF('Model inputs'!V58="","",'Model inputs'!V58),"")</f>
      </c>
    </row>
    <row r="677">
      <c r="A677" t="inlineStr" s="14">
        <is>
          <t xml:space="preserve">Calculation</t>
        </is>
      </c>
      <c r="B677">
        <f>IF(IF(EXACT("Per audit — base",'Model inputs'!AA86)="",FALSE,EXACT("Per audit — base",'Model inputs'!AA86)),IF('Model inputs'!V59="","",'Model inputs'!V59),"")</f>
      </c>
    </row>
    <row r="678">
      <c r="A678" t="inlineStr" s="14">
        <is>
          <t xml:space="preserve">Calculation</t>
        </is>
      </c>
      <c r="B678">
        <f>IF(IF(EXACT("Per audit — high",'Model inputs'!AA86)="",FALSE,EXACT("Per audit — high",'Model inputs'!AA86)),IF('Model inputs'!V60="","",'Model inputs'!V60),"")</f>
      </c>
    </row>
    <row r="679">
      <c r="A679" t="inlineStr" s="14">
        <is>
          <t xml:space="preserve">Calculation</t>
        </is>
      </c>
      <c r="B679">
        <f>IF(IF(EXACT("Per audit — low",'Model inputs'!AA86)="",FALSE,EXACT("Per audit — low",'Model inputs'!AA86)),IF('Model inputs'!V61="","",'Model inputs'!V61),"")</f>
      </c>
    </row>
    <row r="680">
      <c r="A680" t="inlineStr" s="14">
        <is>
          <t xml:space="preserve">Calculation</t>
        </is>
      </c>
      <c r="B680">
        <f>IF(IF(EXACT("Annual deal-team",'Model inputs'!AA86)="",FALSE,EXACT("Annual deal-team",'Model inputs'!AA86)),IF('Model inputs'!W57="","",'Model inputs'!W57),"")</f>
      </c>
    </row>
    <row r="681">
      <c r="A681" t="inlineStr" s="14">
        <is>
          <t xml:space="preserve">Calculation</t>
        </is>
      </c>
      <c r="B681">
        <f>IF(IF(EXACT("Hybrid",'Model inputs'!AA86)="",FALSE,EXACT("Hybrid",'Model inputs'!AA86)),IF('Model inputs'!W58="","",'Model inputs'!W58),"")</f>
      </c>
    </row>
    <row r="682">
      <c r="A682" t="inlineStr" s="14">
        <is>
          <t xml:space="preserve">Calculation</t>
        </is>
      </c>
      <c r="B682">
        <f>IF(IF(EXACT("Per audit — base",'Model inputs'!AA86)="",FALSE,EXACT("Per audit — base",'Model inputs'!AA86)),IF('Model inputs'!W59="","",'Model inputs'!W59),"")</f>
      </c>
    </row>
    <row r="683">
      <c r="A683" t="inlineStr" s="14">
        <is>
          <t xml:space="preserve">Calculation</t>
        </is>
      </c>
      <c r="B683">
        <f>IF(IF(EXACT("Per audit — high",'Model inputs'!AA86)="",FALSE,EXACT("Per audit — high",'Model inputs'!AA86)),IF('Model inputs'!W60="","",'Model inputs'!W60),"")</f>
      </c>
    </row>
    <row r="684">
      <c r="A684" t="inlineStr" s="14">
        <is>
          <t xml:space="preserve">Calculation</t>
        </is>
      </c>
      <c r="B684">
        <f>IF(IF(EXACT("Per audit — low",'Model inputs'!AA86)="",FALSE,EXACT("Per audit — low",'Model inputs'!AA86)),IF('Model inputs'!W61="","",'Model inputs'!W61),"")</f>
      </c>
    </row>
    <row r="685">
      <c r="A685" t="inlineStr" s="14">
        <is>
          <t xml:space="preserve">Calculation</t>
        </is>
      </c>
      <c r="B685">
        <f>IF(IF(EXACT("Annual deal-team",'Model inputs'!AA86)="",FALSE,EXACT("Annual deal-team",'Model inputs'!AA86)),IF('Model inputs'!X57="","",'Model inputs'!X57),"")</f>
      </c>
    </row>
    <row r="686">
      <c r="A686" t="inlineStr" s="14">
        <is>
          <t xml:space="preserve">Calculation</t>
        </is>
      </c>
      <c r="B686">
        <f>IF(IF(EXACT("Hybrid",'Model inputs'!AA86)="",FALSE,EXACT("Hybrid",'Model inputs'!AA86)),IF('Model inputs'!X58="","",'Model inputs'!X58),"")</f>
      </c>
    </row>
    <row r="687">
      <c r="A687" t="inlineStr" s="14">
        <is>
          <t xml:space="preserve">Calculation</t>
        </is>
      </c>
      <c r="B687">
        <f>IF(IF(EXACT("Per audit — base",'Model inputs'!AA86)="",FALSE,EXACT("Per audit — base",'Model inputs'!AA86)),IF('Model inputs'!X59="","",'Model inputs'!X59),"")</f>
      </c>
    </row>
    <row r="688">
      <c r="A688" t="inlineStr" s="14">
        <is>
          <t xml:space="preserve">Calculation</t>
        </is>
      </c>
      <c r="B688">
        <f>IF(IF(EXACT("Per audit — high",'Model inputs'!AA86)="",FALSE,EXACT("Per audit — high",'Model inputs'!AA86)),IF('Model inputs'!X60="","",'Model inputs'!X60),"")</f>
      </c>
    </row>
    <row r="689">
      <c r="A689" t="inlineStr" s="14">
        <is>
          <t xml:space="preserve">Calculation</t>
        </is>
      </c>
      <c r="B689">
        <f>IF(IF(EXACT("Per audit — low",'Model inputs'!AA86)="",FALSE,EXACT("Per audit — low",'Model inputs'!AA86)),IF('Model inputs'!X61="","",'Model inputs'!X61),"")</f>
      </c>
    </row>
    <row r="690">
      <c r="A690" t="inlineStr" s="14">
        <is>
          <t xml:space="preserve">Calculation</t>
        </is>
      </c>
      <c r="B690">
        <f>IF(IF(EXACT("Annual deal-team",'Model inputs'!AA86)="",FALSE,EXACT("Annual deal-team",'Model inputs'!AA86)),IF('Model inputs'!Y57="","",'Model inputs'!Y57),"")</f>
      </c>
    </row>
    <row r="691">
      <c r="A691" t="inlineStr" s="14">
        <is>
          <t xml:space="preserve">Calculation</t>
        </is>
      </c>
      <c r="B691">
        <f>IF(IF(EXACT("Hybrid",'Model inputs'!AA86)="",FALSE,EXACT("Hybrid",'Model inputs'!AA86)),IF('Model inputs'!Y58="","",'Model inputs'!Y58),"")</f>
      </c>
    </row>
    <row r="692">
      <c r="A692" t="inlineStr" s="14">
        <is>
          <t xml:space="preserve">Calculation</t>
        </is>
      </c>
      <c r="B692">
        <f>IF(IF(EXACT("Per audit — base",'Model inputs'!AA86)="",FALSE,EXACT("Per audit — base",'Model inputs'!AA86)),IF('Model inputs'!Y59="","",'Model inputs'!Y59),"")</f>
      </c>
    </row>
    <row r="693">
      <c r="A693" t="inlineStr" s="14">
        <is>
          <t xml:space="preserve">Calculation</t>
        </is>
      </c>
      <c r="B693">
        <f>IF(IF(EXACT("Per audit — high",'Model inputs'!AA86)="",FALSE,EXACT("Per audit — high",'Model inputs'!AA86)),IF('Model inputs'!Y60="","",'Model inputs'!Y60),"")</f>
      </c>
    </row>
    <row r="694">
      <c r="A694" t="inlineStr" s="14">
        <is>
          <t xml:space="preserve">Calculation</t>
        </is>
      </c>
      <c r="B694">
        <f>IF(IF(EXACT("Per audit — low",'Model inputs'!AA86)="",FALSE,EXACT("Per audit — low",'Model inputs'!AA86)),IF('Model inputs'!Y61="","",'Model inputs'!Y61),"")</f>
      </c>
    </row>
    <row r="695">
      <c r="A695" t="inlineStr" s="14">
        <is>
          <t xml:space="preserve">Calculation</t>
        </is>
      </c>
      <c r="B695">
        <f>IF(IF(EXACT("Annual deal-team",'Model inputs'!AA86)="",FALSE,EXACT("Annual deal-team",'Model inputs'!AA86)),IF('Model inputs'!Z57="","",'Model inputs'!Z57),"")</f>
      </c>
    </row>
    <row r="696">
      <c r="A696" t="inlineStr" s="14">
        <is>
          <t xml:space="preserve">Calculation</t>
        </is>
      </c>
      <c r="B696">
        <f>IF(IF(EXACT("Hybrid",'Model inputs'!AA86)="",FALSE,EXACT("Hybrid",'Model inputs'!AA86)),IF('Model inputs'!Z58="","",'Model inputs'!Z58),"")</f>
      </c>
    </row>
    <row r="697">
      <c r="A697" t="inlineStr" s="14">
        <is>
          <t xml:space="preserve">Calculation</t>
        </is>
      </c>
      <c r="B697">
        <f>IF(IF(EXACT("Per audit — base",'Model inputs'!AA86)="",FALSE,EXACT("Per audit — base",'Model inputs'!AA86)),IF('Model inputs'!Z59="","",'Model inputs'!Z59),"")</f>
      </c>
    </row>
    <row r="698">
      <c r="A698" t="inlineStr" s="14">
        <is>
          <t xml:space="preserve">Calculation</t>
        </is>
      </c>
      <c r="B698">
        <f>IF(IF(EXACT("Per audit — high",'Model inputs'!AA86)="",FALSE,EXACT("Per audit — high",'Model inputs'!AA86)),IF('Model inputs'!Z60="","",'Model inputs'!Z60),"")</f>
      </c>
    </row>
    <row r="699">
      <c r="A699" t="inlineStr" s="14">
        <is>
          <t xml:space="preserve">Calculation</t>
        </is>
      </c>
      <c r="B699">
        <f>IF(IF(EXACT("Per audit — low",'Model inputs'!AA86)="",FALSE,EXACT("Per audit — low",'Model inputs'!AA86)),IF('Model inputs'!Z61="","",'Model inputs'!Z61),"")</f>
      </c>
    </row>
    <row r="700">
      <c r="A700" t="inlineStr" s="14">
        <is>
          <t xml:space="preserve">Calculation</t>
        </is>
      </c>
      <c r="B700">
        <f>IF(IF(EXACT("Annual deal-team",'Model inputs'!AA87)="",FALSE,EXACT("Annual deal-team",'Model inputs'!AA87)),IF('Model inputs'!L63="","",'Model inputs'!L63),"")</f>
      </c>
    </row>
    <row r="701">
      <c r="A701" t="inlineStr" s="14">
        <is>
          <t xml:space="preserve">Calculation</t>
        </is>
      </c>
      <c r="B701">
        <f>IF(IF(EXACT("Hybrid",'Model inputs'!AA87)="",FALSE,EXACT("Hybrid",'Model inputs'!AA87)),IF('Model inputs'!L64="","",'Model inputs'!L64),"")</f>
      </c>
    </row>
    <row r="702">
      <c r="A702" t="inlineStr" s="14">
        <is>
          <t xml:space="preserve">Calculation</t>
        </is>
      </c>
      <c r="B702">
        <f>IF(IF(EXACT("Per audit — base",'Model inputs'!AA87)="",FALSE,EXACT("Per audit — base",'Model inputs'!AA87)),IF('Model inputs'!L65="","",'Model inputs'!L65),"")</f>
      </c>
    </row>
    <row r="703">
      <c r="A703" t="inlineStr" s="14">
        <is>
          <t xml:space="preserve">Calculation</t>
        </is>
      </c>
      <c r="B703">
        <f>IF(IF(EXACT("Per audit — high",'Model inputs'!AA87)="",FALSE,EXACT("Per audit — high",'Model inputs'!AA87)),IF('Model inputs'!L66="","",'Model inputs'!L66),"")</f>
      </c>
    </row>
    <row r="704">
      <c r="A704" t="inlineStr" s="14">
        <is>
          <t xml:space="preserve">Calculation</t>
        </is>
      </c>
      <c r="B704">
        <f>IF(IF(EXACT("Per audit — low",'Model inputs'!AA87)="",FALSE,EXACT("Per audit — low",'Model inputs'!AA87)),IF('Model inputs'!L67="","",'Model inputs'!L67),"")</f>
      </c>
    </row>
    <row r="705">
      <c r="A705" t="inlineStr" s="14">
        <is>
          <t xml:space="preserve">Calculation</t>
        </is>
      </c>
      <c r="B705">
        <f>IF(IF(EXACT("Annual deal-team",'Model inputs'!AA87)="",FALSE,EXACT("Annual deal-team",'Model inputs'!AA87)),IF('Model inputs'!M63="","",'Model inputs'!M63),"")</f>
      </c>
    </row>
    <row r="706">
      <c r="A706" t="inlineStr" s="14">
        <is>
          <t xml:space="preserve">Calculation</t>
        </is>
      </c>
      <c r="B706">
        <f>IF(IF(EXACT("Hybrid",'Model inputs'!AA87)="",FALSE,EXACT("Hybrid",'Model inputs'!AA87)),IF('Model inputs'!M64="","",'Model inputs'!M64),"")</f>
      </c>
    </row>
    <row r="707">
      <c r="A707" t="inlineStr" s="14">
        <is>
          <t xml:space="preserve">Calculation</t>
        </is>
      </c>
      <c r="B707">
        <f>IF(IF(EXACT("Per audit — base",'Model inputs'!AA87)="",FALSE,EXACT("Per audit — base",'Model inputs'!AA87)),IF('Model inputs'!M65="","",'Model inputs'!M65),"")</f>
      </c>
    </row>
    <row r="708">
      <c r="A708" t="inlineStr" s="14">
        <is>
          <t xml:space="preserve">Calculation</t>
        </is>
      </c>
      <c r="B708">
        <f>IF(IF(EXACT("Per audit — high",'Model inputs'!AA87)="",FALSE,EXACT("Per audit — high",'Model inputs'!AA87)),IF('Model inputs'!M66="","",'Model inputs'!M66),"")</f>
      </c>
    </row>
    <row r="709">
      <c r="A709" t="inlineStr" s="14">
        <is>
          <t xml:space="preserve">Calculation</t>
        </is>
      </c>
      <c r="B709">
        <f>IF(IF(EXACT("Per audit — low",'Model inputs'!AA87)="",FALSE,EXACT("Per audit — low",'Model inputs'!AA87)),IF('Model inputs'!M67="","",'Model inputs'!M67),"")</f>
      </c>
    </row>
    <row r="710">
      <c r="A710" t="inlineStr" s="14">
        <is>
          <t xml:space="preserve">Calculation</t>
        </is>
      </c>
      <c r="B710">
        <f>IF(IF(EXACT("Annual deal-team",'Model inputs'!AA87)="",FALSE,EXACT("Annual deal-team",'Model inputs'!AA87)),IF('Model inputs'!N63="","",'Model inputs'!N63),"")</f>
      </c>
    </row>
    <row r="711">
      <c r="A711" t="inlineStr" s="14">
        <is>
          <t xml:space="preserve">Calculation</t>
        </is>
      </c>
      <c r="B711">
        <f>IF(IF(EXACT("Hybrid",'Model inputs'!AA87)="",FALSE,EXACT("Hybrid",'Model inputs'!AA87)),IF('Model inputs'!N64="","",'Model inputs'!N64),"")</f>
      </c>
    </row>
    <row r="712">
      <c r="A712" t="inlineStr" s="14">
        <is>
          <t xml:space="preserve">Calculation</t>
        </is>
      </c>
      <c r="B712">
        <f>IF(IF(EXACT("Per audit — base",'Model inputs'!AA87)="",FALSE,EXACT("Per audit — base",'Model inputs'!AA87)),IF('Model inputs'!N65="","",'Model inputs'!N65),"")</f>
      </c>
    </row>
    <row r="713">
      <c r="A713" t="inlineStr" s="14">
        <is>
          <t xml:space="preserve">Calculation</t>
        </is>
      </c>
      <c r="B713">
        <f>IF(IF(EXACT("Per audit — high",'Model inputs'!AA87)="",FALSE,EXACT("Per audit — high",'Model inputs'!AA87)),IF('Model inputs'!N66="","",'Model inputs'!N66),"")</f>
      </c>
    </row>
    <row r="714">
      <c r="A714" t="inlineStr" s="14">
        <is>
          <t xml:space="preserve">Calculation</t>
        </is>
      </c>
      <c r="B714">
        <f>IF(IF(EXACT("Per audit — low",'Model inputs'!AA87)="",FALSE,EXACT("Per audit — low",'Model inputs'!AA87)),IF('Model inputs'!N67="","",'Model inputs'!N67),"")</f>
      </c>
    </row>
    <row r="715">
      <c r="A715" t="inlineStr" s="14">
        <is>
          <t xml:space="preserve">Calculation</t>
        </is>
      </c>
      <c r="B715">
        <f>IF(IF(EXACT("Annual deal-team",'Model inputs'!AA87)="",FALSE,EXACT("Annual deal-team",'Model inputs'!AA87)),IF('Model inputs'!O63="","",'Model inputs'!O63),"")</f>
      </c>
    </row>
    <row r="716">
      <c r="A716" t="inlineStr" s="14">
        <is>
          <t xml:space="preserve">Calculation</t>
        </is>
      </c>
      <c r="B716">
        <f>IF(IF(EXACT("Hybrid",'Model inputs'!AA87)="",FALSE,EXACT("Hybrid",'Model inputs'!AA87)),IF('Model inputs'!O64="","",'Model inputs'!O64),"")</f>
      </c>
    </row>
    <row r="717">
      <c r="A717" t="inlineStr" s="14">
        <is>
          <t xml:space="preserve">Calculation</t>
        </is>
      </c>
      <c r="B717">
        <f>IF(IF(EXACT("Per audit — base",'Model inputs'!AA87)="",FALSE,EXACT("Per audit — base",'Model inputs'!AA87)),IF('Model inputs'!O65="","",'Model inputs'!O65),"")</f>
      </c>
    </row>
    <row r="718">
      <c r="A718" t="inlineStr" s="14">
        <is>
          <t xml:space="preserve">Calculation</t>
        </is>
      </c>
      <c r="B718">
        <f>IF(IF(EXACT("Per audit — high",'Model inputs'!AA87)="",FALSE,EXACT("Per audit — high",'Model inputs'!AA87)),IF('Model inputs'!O66="","",'Model inputs'!O66),"")</f>
      </c>
    </row>
    <row r="719">
      <c r="A719" t="inlineStr" s="14">
        <is>
          <t xml:space="preserve">Calculation</t>
        </is>
      </c>
      <c r="B719">
        <f>IF(IF(EXACT("Per audit — low",'Model inputs'!AA87)="",FALSE,EXACT("Per audit — low",'Model inputs'!AA87)),IF('Model inputs'!O67="","",'Model inputs'!O67),"")</f>
      </c>
    </row>
    <row r="720">
      <c r="A720" t="inlineStr" s="14">
        <is>
          <t xml:space="preserve">Calculation</t>
        </is>
      </c>
      <c r="B720">
        <f>IF(IF(EXACT("Annual deal-team",'Model inputs'!AA87)="",FALSE,EXACT("Annual deal-team",'Model inputs'!AA87)),IF('Model inputs'!P63="","",'Model inputs'!P63),"")</f>
      </c>
    </row>
    <row r="721">
      <c r="A721" t="inlineStr" s="14">
        <is>
          <t xml:space="preserve">Calculation</t>
        </is>
      </c>
      <c r="B721">
        <f>IF(IF(EXACT("Hybrid",'Model inputs'!AA87)="",FALSE,EXACT("Hybrid",'Model inputs'!AA87)),IF('Model inputs'!P64="","",'Model inputs'!P64),"")</f>
      </c>
    </row>
    <row r="722">
      <c r="A722" t="inlineStr" s="14">
        <is>
          <t xml:space="preserve">Calculation</t>
        </is>
      </c>
      <c r="B722">
        <f>IF(IF(EXACT("Per audit — base",'Model inputs'!AA87)="",FALSE,EXACT("Per audit — base",'Model inputs'!AA87)),IF('Model inputs'!P65="","",'Model inputs'!P65),"")</f>
      </c>
    </row>
    <row r="723">
      <c r="A723" t="inlineStr" s="14">
        <is>
          <t xml:space="preserve">Calculation</t>
        </is>
      </c>
      <c r="B723">
        <f>IF(IF(EXACT("Per audit — high",'Model inputs'!AA87)="",FALSE,EXACT("Per audit — high",'Model inputs'!AA87)),IF('Model inputs'!P66="","",'Model inputs'!P66),"")</f>
      </c>
    </row>
    <row r="724">
      <c r="A724" t="inlineStr" s="14">
        <is>
          <t xml:space="preserve">Calculation</t>
        </is>
      </c>
      <c r="B724">
        <f>IF(IF(EXACT("Per audit — low",'Model inputs'!AA87)="",FALSE,EXACT("Per audit — low",'Model inputs'!AA87)),IF('Model inputs'!P67="","",'Model inputs'!P67),"")</f>
      </c>
    </row>
    <row r="725">
      <c r="A725" t="inlineStr" s="14">
        <is>
          <t xml:space="preserve">Calculation</t>
        </is>
      </c>
      <c r="B725">
        <f>IF(IF(EXACT("Annual deal-team",'Model inputs'!AA87)="",FALSE,EXACT("Annual deal-team",'Model inputs'!AA87)),IF('Model inputs'!Q63="","",'Model inputs'!Q63),"")</f>
      </c>
    </row>
    <row r="726">
      <c r="A726" t="inlineStr" s="14">
        <is>
          <t xml:space="preserve">Calculation</t>
        </is>
      </c>
      <c r="B726">
        <f>IF(IF(EXACT("Hybrid",'Model inputs'!AA87)="",FALSE,EXACT("Hybrid",'Model inputs'!AA87)),IF('Model inputs'!Q64="","",'Model inputs'!Q64),"")</f>
      </c>
    </row>
    <row r="727">
      <c r="A727" t="inlineStr" s="14">
        <is>
          <t xml:space="preserve">Calculation</t>
        </is>
      </c>
      <c r="B727">
        <f>IF(IF(EXACT("Per audit — base",'Model inputs'!AA87)="",FALSE,EXACT("Per audit — base",'Model inputs'!AA87)),IF('Model inputs'!Q65="","",'Model inputs'!Q65),"")</f>
      </c>
    </row>
    <row r="728">
      <c r="A728" t="inlineStr" s="14">
        <is>
          <t xml:space="preserve">Calculation</t>
        </is>
      </c>
      <c r="B728">
        <f>IF(IF(EXACT("Per audit — high",'Model inputs'!AA87)="",FALSE,EXACT("Per audit — high",'Model inputs'!AA87)),IF('Model inputs'!Q66="","",'Model inputs'!Q66),"")</f>
      </c>
    </row>
    <row r="729">
      <c r="A729" t="inlineStr" s="14">
        <is>
          <t xml:space="preserve">Calculation</t>
        </is>
      </c>
      <c r="B729">
        <f>IF(IF(EXACT("Per audit — low",'Model inputs'!AA87)="",FALSE,EXACT("Per audit — low",'Model inputs'!AA87)),IF('Model inputs'!Q67="","",'Model inputs'!Q67),"")</f>
      </c>
    </row>
    <row r="730">
      <c r="A730" t="inlineStr" s="14">
        <is>
          <t xml:space="preserve">Calculation</t>
        </is>
      </c>
      <c r="B730">
        <f>IF(IF(EXACT("Annual deal-team",'Model inputs'!AA87)="",FALSE,EXACT("Annual deal-team",'Model inputs'!AA87)),IF('Model inputs'!R63="","",'Model inputs'!R63),"")</f>
      </c>
    </row>
    <row r="731">
      <c r="A731" t="inlineStr" s="14">
        <is>
          <t xml:space="preserve">Calculation</t>
        </is>
      </c>
      <c r="B731">
        <f>IF(IF(EXACT("Hybrid",'Model inputs'!AA87)="",FALSE,EXACT("Hybrid",'Model inputs'!AA87)),IF('Model inputs'!R64="","",'Model inputs'!R64),"")</f>
      </c>
    </row>
    <row r="732">
      <c r="A732" t="inlineStr" s="14">
        <is>
          <t xml:space="preserve">Calculation</t>
        </is>
      </c>
      <c r="B732">
        <f>IF(IF(EXACT("Per audit — base",'Model inputs'!AA87)="",FALSE,EXACT("Per audit — base",'Model inputs'!AA87)),IF('Model inputs'!R65="","",'Model inputs'!R65),"")</f>
      </c>
    </row>
    <row r="733">
      <c r="A733" t="inlineStr" s="14">
        <is>
          <t xml:space="preserve">Calculation</t>
        </is>
      </c>
      <c r="B733">
        <f>IF(IF(EXACT("Per audit — high",'Model inputs'!AA87)="",FALSE,EXACT("Per audit — high",'Model inputs'!AA87)),IF('Model inputs'!R66="","",'Model inputs'!R66),"")</f>
      </c>
    </row>
    <row r="734">
      <c r="A734" t="inlineStr" s="14">
        <is>
          <t xml:space="preserve">Calculation</t>
        </is>
      </c>
      <c r="B734">
        <f>IF(IF(EXACT("Per audit — low",'Model inputs'!AA87)="",FALSE,EXACT("Per audit — low",'Model inputs'!AA87)),IF('Model inputs'!R67="","",'Model inputs'!R67),"")</f>
      </c>
    </row>
    <row r="735">
      <c r="A735" t="inlineStr" s="14">
        <is>
          <t xml:space="preserve">Calculation</t>
        </is>
      </c>
      <c r="B735">
        <f>IF(IF(EXACT("Annual deal-team",'Model inputs'!AA87)="",FALSE,EXACT("Annual deal-team",'Model inputs'!AA87)),IF('Model inputs'!S63="","",'Model inputs'!S63),"")</f>
      </c>
    </row>
    <row r="736">
      <c r="A736" t="inlineStr" s="14">
        <is>
          <t xml:space="preserve">Calculation</t>
        </is>
      </c>
      <c r="B736">
        <f>IF(IF(EXACT("Hybrid",'Model inputs'!AA87)="",FALSE,EXACT("Hybrid",'Model inputs'!AA87)),IF('Model inputs'!S64="","",'Model inputs'!S64),"")</f>
      </c>
    </row>
    <row r="737">
      <c r="A737" t="inlineStr" s="14">
        <is>
          <t xml:space="preserve">Calculation</t>
        </is>
      </c>
      <c r="B737">
        <f>IF(IF(EXACT("Per audit — base",'Model inputs'!AA87)="",FALSE,EXACT("Per audit — base",'Model inputs'!AA87)),IF('Model inputs'!S65="","",'Model inputs'!S65),"")</f>
      </c>
    </row>
    <row r="738">
      <c r="A738" t="inlineStr" s="14">
        <is>
          <t xml:space="preserve">Calculation</t>
        </is>
      </c>
      <c r="B738">
        <f>IF(IF(EXACT("Per audit — high",'Model inputs'!AA87)="",FALSE,EXACT("Per audit — high",'Model inputs'!AA87)),IF('Model inputs'!S66="","",'Model inputs'!S66),"")</f>
      </c>
    </row>
    <row r="739">
      <c r="A739" t="inlineStr" s="14">
        <is>
          <t xml:space="preserve">Calculation</t>
        </is>
      </c>
      <c r="B739">
        <f>IF(IF(EXACT("Per audit — low",'Model inputs'!AA87)="",FALSE,EXACT("Per audit — low",'Model inputs'!AA87)),IF('Model inputs'!S67="","",'Model inputs'!S67),"")</f>
      </c>
    </row>
    <row r="740">
      <c r="A740" t="inlineStr" s="14">
        <is>
          <t xml:space="preserve">Calculation</t>
        </is>
      </c>
      <c r="B740">
        <f>IF(IF(EXACT("Annual deal-team",'Model inputs'!AA87)="",FALSE,EXACT("Annual deal-team",'Model inputs'!AA87)),IF('Model inputs'!T63="","",'Model inputs'!T63),"")</f>
      </c>
    </row>
    <row r="741">
      <c r="A741" t="inlineStr" s="14">
        <is>
          <t xml:space="preserve">Calculation</t>
        </is>
      </c>
      <c r="B741">
        <f>IF(IF(EXACT("Hybrid",'Model inputs'!AA87)="",FALSE,EXACT("Hybrid",'Model inputs'!AA87)),IF('Model inputs'!T64="","",'Model inputs'!T64),"")</f>
      </c>
    </row>
    <row r="742">
      <c r="A742" t="inlineStr" s="14">
        <is>
          <t xml:space="preserve">Calculation</t>
        </is>
      </c>
      <c r="B742">
        <f>IF(IF(EXACT("Per audit — base",'Model inputs'!AA87)="",FALSE,EXACT("Per audit — base",'Model inputs'!AA87)),IF('Model inputs'!T65="","",'Model inputs'!T65),"")</f>
      </c>
    </row>
    <row r="743">
      <c r="A743" t="inlineStr" s="14">
        <is>
          <t xml:space="preserve">Calculation</t>
        </is>
      </c>
      <c r="B743">
        <f>IF(IF(EXACT("Per audit — high",'Model inputs'!AA87)="",FALSE,EXACT("Per audit — high",'Model inputs'!AA87)),IF('Model inputs'!T66="","",'Model inputs'!T66),"")</f>
      </c>
    </row>
    <row r="744">
      <c r="A744" t="inlineStr" s="14">
        <is>
          <t xml:space="preserve">Calculation</t>
        </is>
      </c>
      <c r="B744">
        <f>IF(IF(EXACT("Per audit — low",'Model inputs'!AA87)="",FALSE,EXACT("Per audit — low",'Model inputs'!AA87)),IF('Model inputs'!T67="","",'Model inputs'!T67),"")</f>
      </c>
    </row>
    <row r="745">
      <c r="A745" t="inlineStr" s="14">
        <is>
          <t xml:space="preserve">Calculation</t>
        </is>
      </c>
      <c r="B745">
        <f>IF(IF(EXACT("Annual deal-team",'Model inputs'!AA87)="",FALSE,EXACT("Annual deal-team",'Model inputs'!AA87)),IF('Model inputs'!U63="","",'Model inputs'!U63),"")</f>
      </c>
    </row>
    <row r="746">
      <c r="A746" t="inlineStr" s="14">
        <is>
          <t xml:space="preserve">Calculation</t>
        </is>
      </c>
      <c r="B746">
        <f>IF(IF(EXACT("Hybrid",'Model inputs'!AA87)="",FALSE,EXACT("Hybrid",'Model inputs'!AA87)),IF('Model inputs'!U64="","",'Model inputs'!U64),"")</f>
      </c>
    </row>
    <row r="747">
      <c r="A747" t="inlineStr" s="14">
        <is>
          <t xml:space="preserve">Calculation</t>
        </is>
      </c>
      <c r="B747">
        <f>IF(IF(EXACT("Per audit — base",'Model inputs'!AA87)="",FALSE,EXACT("Per audit — base",'Model inputs'!AA87)),IF('Model inputs'!U65="","",'Model inputs'!U65),"")</f>
      </c>
    </row>
    <row r="748">
      <c r="A748" t="inlineStr" s="14">
        <is>
          <t xml:space="preserve">Calculation</t>
        </is>
      </c>
      <c r="B748">
        <f>IF(IF(EXACT("Per audit — high",'Model inputs'!AA87)="",FALSE,EXACT("Per audit — high",'Model inputs'!AA87)),IF('Model inputs'!U66="","",'Model inputs'!U66),"")</f>
      </c>
    </row>
    <row r="749">
      <c r="A749" t="inlineStr" s="14">
        <is>
          <t xml:space="preserve">Calculation</t>
        </is>
      </c>
      <c r="B749">
        <f>IF(IF(EXACT("Per audit — low",'Model inputs'!AA87)="",FALSE,EXACT("Per audit — low",'Model inputs'!AA87)),IF('Model inputs'!U67="","",'Model inputs'!U67),"")</f>
      </c>
    </row>
    <row r="750">
      <c r="A750" t="inlineStr" s="14">
        <is>
          <t xml:space="preserve">Calculation</t>
        </is>
      </c>
      <c r="B750">
        <f>IF(IF(EXACT("Annual deal-team",'Model inputs'!AA87)="",FALSE,EXACT("Annual deal-team",'Model inputs'!AA87)),IF('Model inputs'!V63="","",'Model inputs'!V63),"")</f>
      </c>
    </row>
    <row r="751">
      <c r="A751" t="inlineStr" s="14">
        <is>
          <t xml:space="preserve">Calculation</t>
        </is>
      </c>
      <c r="B751">
        <f>IF(IF(EXACT("Hybrid",'Model inputs'!AA87)="",FALSE,EXACT("Hybrid",'Model inputs'!AA87)),IF('Model inputs'!V64="","",'Model inputs'!V64),"")</f>
      </c>
    </row>
    <row r="752">
      <c r="A752" t="inlineStr" s="14">
        <is>
          <t xml:space="preserve">Calculation</t>
        </is>
      </c>
      <c r="B752">
        <f>IF(IF(EXACT("Per audit — base",'Model inputs'!AA87)="",FALSE,EXACT("Per audit — base",'Model inputs'!AA87)),IF('Model inputs'!V65="","",'Model inputs'!V65),"")</f>
      </c>
    </row>
    <row r="753">
      <c r="A753" t="inlineStr" s="14">
        <is>
          <t xml:space="preserve">Calculation</t>
        </is>
      </c>
      <c r="B753">
        <f>IF(IF(EXACT("Per audit — high",'Model inputs'!AA87)="",FALSE,EXACT("Per audit — high",'Model inputs'!AA87)),IF('Model inputs'!V66="","",'Model inputs'!V66),"")</f>
      </c>
    </row>
    <row r="754">
      <c r="A754" t="inlineStr" s="14">
        <is>
          <t xml:space="preserve">Calculation</t>
        </is>
      </c>
      <c r="B754">
        <f>IF(IF(EXACT("Per audit — low",'Model inputs'!AA87)="",FALSE,EXACT("Per audit — low",'Model inputs'!AA87)),IF('Model inputs'!V67="","",'Model inputs'!V67),"")</f>
      </c>
    </row>
    <row r="755">
      <c r="A755" t="inlineStr" s="14">
        <is>
          <t xml:space="preserve">Calculation</t>
        </is>
      </c>
      <c r="B755">
        <f>IF(IF(EXACT("Annual deal-team",'Model inputs'!AA87)="",FALSE,EXACT("Annual deal-team",'Model inputs'!AA87)),IF('Model inputs'!W63="","",'Model inputs'!W63),"")</f>
      </c>
    </row>
    <row r="756">
      <c r="A756" t="inlineStr" s="14">
        <is>
          <t xml:space="preserve">Calculation</t>
        </is>
      </c>
      <c r="B756">
        <f>IF(IF(EXACT("Hybrid",'Model inputs'!AA87)="",FALSE,EXACT("Hybrid",'Model inputs'!AA87)),IF('Model inputs'!W64="","",'Model inputs'!W64),"")</f>
      </c>
    </row>
    <row r="757">
      <c r="A757" t="inlineStr" s="14">
        <is>
          <t xml:space="preserve">Calculation</t>
        </is>
      </c>
      <c r="B757">
        <f>IF(IF(EXACT("Per audit — base",'Model inputs'!AA87)="",FALSE,EXACT("Per audit — base",'Model inputs'!AA87)),IF('Model inputs'!W65="","",'Model inputs'!W65),"")</f>
      </c>
    </row>
    <row r="758">
      <c r="A758" t="inlineStr" s="14">
        <is>
          <t xml:space="preserve">Calculation</t>
        </is>
      </c>
      <c r="B758">
        <f>IF(IF(EXACT("Per audit — high",'Model inputs'!AA87)="",FALSE,EXACT("Per audit — high",'Model inputs'!AA87)),IF('Model inputs'!W66="","",'Model inputs'!W66),"")</f>
      </c>
    </row>
    <row r="759">
      <c r="A759" t="inlineStr" s="14">
        <is>
          <t xml:space="preserve">Calculation</t>
        </is>
      </c>
      <c r="B759">
        <f>IF(IF(EXACT("Per audit — low",'Model inputs'!AA87)="",FALSE,EXACT("Per audit — low",'Model inputs'!AA87)),IF('Model inputs'!W67="","",'Model inputs'!W67),"")</f>
      </c>
    </row>
    <row r="760">
      <c r="A760" t="inlineStr" s="14">
        <is>
          <t xml:space="preserve">Calculation</t>
        </is>
      </c>
      <c r="B760">
        <f>IF(IF(EXACT("Annual deal-team",'Model inputs'!AA87)="",FALSE,EXACT("Annual deal-team",'Model inputs'!AA87)),IF('Model inputs'!X63="","",'Model inputs'!X63),"")</f>
      </c>
    </row>
    <row r="761">
      <c r="A761" t="inlineStr" s="14">
        <is>
          <t xml:space="preserve">Calculation</t>
        </is>
      </c>
      <c r="B761">
        <f>IF(IF(EXACT("Hybrid",'Model inputs'!AA87)="",FALSE,EXACT("Hybrid",'Model inputs'!AA87)),IF('Model inputs'!X64="","",'Model inputs'!X64),"")</f>
      </c>
    </row>
    <row r="762">
      <c r="A762" t="inlineStr" s="14">
        <is>
          <t xml:space="preserve">Calculation</t>
        </is>
      </c>
      <c r="B762">
        <f>IF(IF(EXACT("Per audit — base",'Model inputs'!AA87)="",FALSE,EXACT("Per audit — base",'Model inputs'!AA87)),IF('Model inputs'!X65="","",'Model inputs'!X65),"")</f>
      </c>
    </row>
    <row r="763">
      <c r="A763" t="inlineStr" s="14">
        <is>
          <t xml:space="preserve">Calculation</t>
        </is>
      </c>
      <c r="B763">
        <f>IF(IF(EXACT("Per audit — high",'Model inputs'!AA87)="",FALSE,EXACT("Per audit — high",'Model inputs'!AA87)),IF('Model inputs'!X66="","",'Model inputs'!X66),"")</f>
      </c>
    </row>
    <row r="764">
      <c r="A764" t="inlineStr" s="14">
        <is>
          <t xml:space="preserve">Calculation</t>
        </is>
      </c>
      <c r="B764">
        <f>IF(IF(EXACT("Per audit — low",'Model inputs'!AA87)="",FALSE,EXACT("Per audit — low",'Model inputs'!AA87)),IF('Model inputs'!X67="","",'Model inputs'!X67),"")</f>
      </c>
    </row>
    <row r="765">
      <c r="A765" t="inlineStr" s="14">
        <is>
          <t xml:space="preserve">Calculation</t>
        </is>
      </c>
      <c r="B765">
        <f>IF(IF(EXACT("Annual deal-team",'Model inputs'!AA87)="",FALSE,EXACT("Annual deal-team",'Model inputs'!AA87)),IF('Model inputs'!Y63="","",'Model inputs'!Y63),"")</f>
      </c>
    </row>
    <row r="766">
      <c r="A766" t="inlineStr" s="14">
        <is>
          <t xml:space="preserve">Calculation</t>
        </is>
      </c>
      <c r="B766">
        <f>IF(IF(EXACT("Hybrid",'Model inputs'!AA87)="",FALSE,EXACT("Hybrid",'Model inputs'!AA87)),IF('Model inputs'!Y64="","",'Model inputs'!Y64),"")</f>
      </c>
    </row>
    <row r="767">
      <c r="A767" t="inlineStr" s="14">
        <is>
          <t xml:space="preserve">Calculation</t>
        </is>
      </c>
      <c r="B767">
        <f>IF(IF(EXACT("Per audit — base",'Model inputs'!AA87)="",FALSE,EXACT("Per audit — base",'Model inputs'!AA87)),IF('Model inputs'!Y65="","",'Model inputs'!Y65),"")</f>
      </c>
    </row>
    <row r="768">
      <c r="A768" t="inlineStr" s="14">
        <is>
          <t xml:space="preserve">Calculation</t>
        </is>
      </c>
      <c r="B768">
        <f>IF(IF(EXACT("Per audit — high",'Model inputs'!AA87)="",FALSE,EXACT("Per audit — high",'Model inputs'!AA87)),IF('Model inputs'!Y66="","",'Model inputs'!Y66),"")</f>
      </c>
    </row>
    <row r="769">
      <c r="A769" t="inlineStr" s="14">
        <is>
          <t xml:space="preserve">Calculation</t>
        </is>
      </c>
      <c r="B769">
        <f>IF(IF(EXACT("Per audit — low",'Model inputs'!AA87)="",FALSE,EXACT("Per audit — low",'Model inputs'!AA87)),IF('Model inputs'!Y67="","",'Model inputs'!Y67),"")</f>
      </c>
    </row>
    <row r="770">
      <c r="A770" t="inlineStr" s="14">
        <is>
          <t xml:space="preserve">Calculation</t>
        </is>
      </c>
      <c r="B770">
        <f>IF(IF(EXACT("Annual deal-team",'Model inputs'!AA87)="",FALSE,EXACT("Annual deal-team",'Model inputs'!AA87)),IF('Model inputs'!Z63="","",'Model inputs'!Z63),"")</f>
      </c>
    </row>
    <row r="771">
      <c r="A771" t="inlineStr" s="14">
        <is>
          <t xml:space="preserve">Calculation</t>
        </is>
      </c>
      <c r="B771">
        <f>IF(IF(EXACT("Hybrid",'Model inputs'!AA87)="",FALSE,EXACT("Hybrid",'Model inputs'!AA87)),IF('Model inputs'!Z64="","",'Model inputs'!Z64),"")</f>
      </c>
    </row>
    <row r="772">
      <c r="A772" t="inlineStr" s="14">
        <is>
          <t xml:space="preserve">Calculation</t>
        </is>
      </c>
      <c r="B772">
        <f>IF(IF(EXACT("Per audit — base",'Model inputs'!AA87)="",FALSE,EXACT("Per audit — base",'Model inputs'!AA87)),IF('Model inputs'!Z65="","",'Model inputs'!Z65),"")</f>
      </c>
    </row>
    <row r="773">
      <c r="A773" t="inlineStr" s="14">
        <is>
          <t xml:space="preserve">Calculation</t>
        </is>
      </c>
      <c r="B773">
        <f>IF(IF(EXACT("Per audit — high",'Model inputs'!AA87)="",FALSE,EXACT("Per audit — high",'Model inputs'!AA87)),IF('Model inputs'!Z66="","",'Model inputs'!Z66),"")</f>
      </c>
    </row>
    <row r="774">
      <c r="A774" t="inlineStr" s="14">
        <is>
          <t xml:space="preserve">Calculation</t>
        </is>
      </c>
      <c r="B774">
        <f>IF(IF(EXACT("Per audit — low",'Model inputs'!AA87)="",FALSE,EXACT("Per audit — low",'Model inputs'!AA87)),IF('Model inputs'!Z67="","",'Model inputs'!Z67),"")</f>
      </c>
    </row>
    <row r="775">
      <c r="A775" t="inlineStr" s="14">
        <is>
          <t xml:space="preserve">Calculation</t>
        </is>
      </c>
      <c r="B775">
        <f>IF(IF(EXACT("Annual deal-team",'Model inputs'!AA86)="",FALSE,EXACT("Annual deal-team",'Model inputs'!AA86)),IF('Model inputs'!L71="","",'Model inputs'!L71),"")</f>
      </c>
    </row>
    <row r="776">
      <c r="A776" t="inlineStr" s="14">
        <is>
          <t xml:space="preserve">Calculation</t>
        </is>
      </c>
      <c r="B776">
        <f>IF(IF(EXACT("Hybrid",'Model inputs'!AA86)="",FALSE,EXACT("Hybrid",'Model inputs'!AA86)),IF('Model inputs'!L72="","",'Model inputs'!L72),"")</f>
      </c>
    </row>
    <row r="777">
      <c r="A777" t="inlineStr" s="14">
        <is>
          <t xml:space="preserve">Calculation</t>
        </is>
      </c>
      <c r="B777">
        <f>IF(IF(EXACT("Per audit — base",'Model inputs'!AA86)="",FALSE,EXACT("Per audit — base",'Model inputs'!AA86)),IF('Model inputs'!L73="","",'Model inputs'!L73),"")</f>
      </c>
    </row>
    <row r="778">
      <c r="A778" t="inlineStr" s="14">
        <is>
          <t xml:space="preserve">Calculation</t>
        </is>
      </c>
      <c r="B778">
        <f>IF(IF(EXACT("Per audit — high",'Model inputs'!AA86)="",FALSE,EXACT("Per audit — high",'Model inputs'!AA86)),IF('Model inputs'!L74="","",'Model inputs'!L74),"")</f>
      </c>
    </row>
    <row r="779">
      <c r="A779" t="inlineStr" s="14">
        <is>
          <t xml:space="preserve">Calculation</t>
        </is>
      </c>
      <c r="B779">
        <f>IF(IF(EXACT("Per audit — low",'Model inputs'!AA86)="",FALSE,EXACT("Per audit — low",'Model inputs'!AA86)),IF('Model inputs'!L75="","",'Model inputs'!L75),"")</f>
      </c>
    </row>
    <row r="780">
      <c r="A780" t="inlineStr" s="14">
        <is>
          <t xml:space="preserve">Calculation</t>
        </is>
      </c>
      <c r="B780">
        <f>IF(IF(EXACT("Annual deal-team",'Model inputs'!AA86)="",FALSE,EXACT("Annual deal-team",'Model inputs'!AA86)),IF('Model inputs'!M71="","",'Model inputs'!M71),"")</f>
      </c>
    </row>
    <row r="781">
      <c r="A781" t="inlineStr" s="14">
        <is>
          <t xml:space="preserve">Calculation</t>
        </is>
      </c>
      <c r="B781">
        <f>IF(IF(EXACT("Hybrid",'Model inputs'!AA86)="",FALSE,EXACT("Hybrid",'Model inputs'!AA86)),IF('Model inputs'!M72="","",'Model inputs'!M72),"")</f>
      </c>
    </row>
    <row r="782">
      <c r="A782" t="inlineStr" s="14">
        <is>
          <t xml:space="preserve">Calculation</t>
        </is>
      </c>
      <c r="B782">
        <f>IF(IF(EXACT("Per audit — base",'Model inputs'!AA86)="",FALSE,EXACT("Per audit — base",'Model inputs'!AA86)),IF('Model inputs'!M73="","",'Model inputs'!M73),"")</f>
      </c>
    </row>
    <row r="783">
      <c r="A783" t="inlineStr" s="14">
        <is>
          <t xml:space="preserve">Calculation</t>
        </is>
      </c>
      <c r="B783">
        <f>IF(IF(EXACT("Per audit — high",'Model inputs'!AA86)="",FALSE,EXACT("Per audit — high",'Model inputs'!AA86)),IF('Model inputs'!M74="","",'Model inputs'!M74),"")</f>
      </c>
    </row>
    <row r="784">
      <c r="A784" t="inlineStr" s="14">
        <is>
          <t xml:space="preserve">Calculation</t>
        </is>
      </c>
      <c r="B784">
        <f>IF(IF(EXACT("Per audit — low",'Model inputs'!AA86)="",FALSE,EXACT("Per audit — low",'Model inputs'!AA86)),IF('Model inputs'!M75="","",'Model inputs'!M75),"")</f>
      </c>
    </row>
    <row r="785">
      <c r="A785" t="inlineStr" s="14">
        <is>
          <t xml:space="preserve">Calculation</t>
        </is>
      </c>
      <c r="B785">
        <f>IF(IF(EXACT("Annual deal-team",'Model inputs'!AA86)="",FALSE,EXACT("Annual deal-team",'Model inputs'!AA86)),IF('Model inputs'!N71="","",'Model inputs'!N71),"")</f>
      </c>
    </row>
    <row r="786">
      <c r="A786" t="inlineStr" s="14">
        <is>
          <t xml:space="preserve">Calculation</t>
        </is>
      </c>
      <c r="B786">
        <f>IF(IF(EXACT("Hybrid",'Model inputs'!AA86)="",FALSE,EXACT("Hybrid",'Model inputs'!AA86)),IF('Model inputs'!N72="","",'Model inputs'!N72),"")</f>
      </c>
    </row>
    <row r="787">
      <c r="A787" t="inlineStr" s="14">
        <is>
          <t xml:space="preserve">Calculation</t>
        </is>
      </c>
      <c r="B787">
        <f>IF(IF(EXACT("Per audit — base",'Model inputs'!AA86)="",FALSE,EXACT("Per audit — base",'Model inputs'!AA86)),IF('Model inputs'!N73="","",'Model inputs'!N73),"")</f>
      </c>
    </row>
    <row r="788">
      <c r="A788" t="inlineStr" s="14">
        <is>
          <t xml:space="preserve">Calculation</t>
        </is>
      </c>
      <c r="B788">
        <f>IF(IF(EXACT("Per audit — high",'Model inputs'!AA86)="",FALSE,EXACT("Per audit — high",'Model inputs'!AA86)),IF('Model inputs'!N74="","",'Model inputs'!N74),"")</f>
      </c>
    </row>
    <row r="789">
      <c r="A789" t="inlineStr" s="14">
        <is>
          <t xml:space="preserve">Calculation</t>
        </is>
      </c>
      <c r="B789">
        <f>IF(IF(EXACT("Per audit — low",'Model inputs'!AA86)="",FALSE,EXACT("Per audit — low",'Model inputs'!AA86)),IF('Model inputs'!N75="","",'Model inputs'!N75),"")</f>
      </c>
    </row>
    <row r="790">
      <c r="A790" t="inlineStr" s="14">
        <is>
          <t xml:space="preserve">Calculation</t>
        </is>
      </c>
      <c r="B790">
        <f>IF(IF(EXACT("Annual deal-team",'Model inputs'!AA86)="",FALSE,EXACT("Annual deal-team",'Model inputs'!AA86)),IF('Model inputs'!O71="","",'Model inputs'!O71),"")</f>
      </c>
    </row>
    <row r="791">
      <c r="A791" t="inlineStr" s="14">
        <is>
          <t xml:space="preserve">Calculation</t>
        </is>
      </c>
      <c r="B791">
        <f>IF(IF(EXACT("Hybrid",'Model inputs'!AA86)="",FALSE,EXACT("Hybrid",'Model inputs'!AA86)),IF('Model inputs'!O72="","",'Model inputs'!O72),"")</f>
      </c>
    </row>
    <row r="792">
      <c r="A792" t="inlineStr" s="14">
        <is>
          <t xml:space="preserve">Calculation</t>
        </is>
      </c>
      <c r="B792">
        <f>IF(IF(EXACT("Per audit — base",'Model inputs'!AA86)="",FALSE,EXACT("Per audit — base",'Model inputs'!AA86)),IF('Model inputs'!O73="","",'Model inputs'!O73),"")</f>
      </c>
    </row>
    <row r="793">
      <c r="A793" t="inlineStr" s="14">
        <is>
          <t xml:space="preserve">Calculation</t>
        </is>
      </c>
      <c r="B793">
        <f>IF(IF(EXACT("Per audit — high",'Model inputs'!AA86)="",FALSE,EXACT("Per audit — high",'Model inputs'!AA86)),IF('Model inputs'!O74="","",'Model inputs'!O74),"")</f>
      </c>
    </row>
    <row r="794">
      <c r="A794" t="inlineStr" s="14">
        <is>
          <t xml:space="preserve">Calculation</t>
        </is>
      </c>
      <c r="B794">
        <f>IF(IF(EXACT("Per audit — low",'Model inputs'!AA86)="",FALSE,EXACT("Per audit — low",'Model inputs'!AA86)),IF('Model inputs'!O75="","",'Model inputs'!O75),"")</f>
      </c>
    </row>
    <row r="795">
      <c r="A795" t="inlineStr" s="14">
        <is>
          <t xml:space="preserve">Calculation</t>
        </is>
      </c>
      <c r="B795">
        <f>IF(IF(EXACT("Annual deal-team",'Model inputs'!AA86)="",FALSE,EXACT("Annual deal-team",'Model inputs'!AA86)),IF('Model inputs'!P71="","",'Model inputs'!P71),"")</f>
      </c>
    </row>
    <row r="796">
      <c r="A796" t="inlineStr" s="14">
        <is>
          <t xml:space="preserve">Calculation</t>
        </is>
      </c>
      <c r="B796">
        <f>IF(IF(EXACT("Hybrid",'Model inputs'!AA86)="",FALSE,EXACT("Hybrid",'Model inputs'!AA86)),IF('Model inputs'!P72="","",'Model inputs'!P72),"")</f>
      </c>
    </row>
    <row r="797">
      <c r="A797" t="inlineStr" s="14">
        <is>
          <t xml:space="preserve">Calculation</t>
        </is>
      </c>
      <c r="B797">
        <f>IF(IF(EXACT("Per audit — base",'Model inputs'!AA86)="",FALSE,EXACT("Per audit — base",'Model inputs'!AA86)),IF('Model inputs'!P73="","",'Model inputs'!P73),"")</f>
      </c>
    </row>
    <row r="798">
      <c r="A798" t="inlineStr" s="14">
        <is>
          <t xml:space="preserve">Calculation</t>
        </is>
      </c>
      <c r="B798">
        <f>IF(IF(EXACT("Per audit — high",'Model inputs'!AA86)="",FALSE,EXACT("Per audit — high",'Model inputs'!AA86)),IF('Model inputs'!P74="","",'Model inputs'!P74),"")</f>
      </c>
    </row>
    <row r="799">
      <c r="A799" t="inlineStr" s="14">
        <is>
          <t xml:space="preserve">Calculation</t>
        </is>
      </c>
      <c r="B799">
        <f>IF(IF(EXACT("Per audit — low",'Model inputs'!AA86)="",FALSE,EXACT("Per audit — low",'Model inputs'!AA86)),IF('Model inputs'!P75="","",'Model inputs'!P75),"")</f>
      </c>
    </row>
    <row r="800">
      <c r="A800" t="inlineStr" s="14">
        <is>
          <t xml:space="preserve">Calculation</t>
        </is>
      </c>
      <c r="B800">
        <f>IF(IF(EXACT("Annual deal-team",'Model inputs'!AA86)="",FALSE,EXACT("Annual deal-team",'Model inputs'!AA86)),IF('Model inputs'!Q71="","",'Model inputs'!Q71),"")</f>
      </c>
    </row>
    <row r="801">
      <c r="A801" t="inlineStr" s="14">
        <is>
          <t xml:space="preserve">Calculation</t>
        </is>
      </c>
      <c r="B801">
        <f>IF(IF(EXACT("Hybrid",'Model inputs'!AA86)="",FALSE,EXACT("Hybrid",'Model inputs'!AA86)),IF('Model inputs'!Q72="","",'Model inputs'!Q72),"")</f>
      </c>
    </row>
    <row r="802">
      <c r="A802" t="inlineStr" s="14">
        <is>
          <t xml:space="preserve">Calculation</t>
        </is>
      </c>
      <c r="B802">
        <f>IF(IF(EXACT("Per audit — base",'Model inputs'!AA86)="",FALSE,EXACT("Per audit — base",'Model inputs'!AA86)),IF('Model inputs'!Q73="","",'Model inputs'!Q73),"")</f>
      </c>
    </row>
    <row r="803">
      <c r="A803" t="inlineStr" s="14">
        <is>
          <t xml:space="preserve">Calculation</t>
        </is>
      </c>
      <c r="B803">
        <f>IF(IF(EXACT("Per audit — high",'Model inputs'!AA86)="",FALSE,EXACT("Per audit — high",'Model inputs'!AA86)),IF('Model inputs'!Q74="","",'Model inputs'!Q74),"")</f>
      </c>
    </row>
    <row r="804">
      <c r="A804" t="inlineStr" s="14">
        <is>
          <t xml:space="preserve">Calculation</t>
        </is>
      </c>
      <c r="B804">
        <f>IF(IF(EXACT("Per audit — low",'Model inputs'!AA86)="",FALSE,EXACT("Per audit — low",'Model inputs'!AA86)),IF('Model inputs'!Q75="","",'Model inputs'!Q75),"")</f>
      </c>
    </row>
    <row r="805">
      <c r="A805" t="inlineStr" s="14">
        <is>
          <t xml:space="preserve">Calculation</t>
        </is>
      </c>
      <c r="B805">
        <f>IF(IF(EXACT("Annual deal-team",'Model inputs'!AA86)="",FALSE,EXACT("Annual deal-team",'Model inputs'!AA86)),IF('Model inputs'!R71="","",'Model inputs'!R71),"")</f>
      </c>
    </row>
    <row r="806">
      <c r="A806" t="inlineStr" s="14">
        <is>
          <t xml:space="preserve">Calculation</t>
        </is>
      </c>
      <c r="B806">
        <f>IF(IF(EXACT("Hybrid",'Model inputs'!AA86)="",FALSE,EXACT("Hybrid",'Model inputs'!AA86)),IF('Model inputs'!R72="","",'Model inputs'!R72),"")</f>
      </c>
    </row>
    <row r="807">
      <c r="A807" t="inlineStr" s="14">
        <is>
          <t xml:space="preserve">Calculation</t>
        </is>
      </c>
      <c r="B807">
        <f>IF(IF(EXACT("Per audit — base",'Model inputs'!AA86)="",FALSE,EXACT("Per audit — base",'Model inputs'!AA86)),IF('Model inputs'!R73="","",'Model inputs'!R73),"")</f>
      </c>
    </row>
    <row r="808">
      <c r="A808" t="inlineStr" s="14">
        <is>
          <t xml:space="preserve">Calculation</t>
        </is>
      </c>
      <c r="B808">
        <f>IF(IF(EXACT("Per audit — high",'Model inputs'!AA86)="",FALSE,EXACT("Per audit — high",'Model inputs'!AA86)),IF('Model inputs'!R74="","",'Model inputs'!R74),"")</f>
      </c>
    </row>
    <row r="809">
      <c r="A809" t="inlineStr" s="14">
        <is>
          <t xml:space="preserve">Calculation</t>
        </is>
      </c>
      <c r="B809">
        <f>IF(IF(EXACT("Per audit — low",'Model inputs'!AA86)="",FALSE,EXACT("Per audit — low",'Model inputs'!AA86)),IF('Model inputs'!R75="","",'Model inputs'!R75),"")</f>
      </c>
    </row>
    <row r="810">
      <c r="A810" t="inlineStr" s="14">
        <is>
          <t xml:space="preserve">Calculation</t>
        </is>
      </c>
      <c r="B810">
        <f>IF(IF(EXACT("Annual deal-team",'Model inputs'!AA86)="",FALSE,EXACT("Annual deal-team",'Model inputs'!AA86)),IF('Model inputs'!S71="","",'Model inputs'!S71),"")</f>
      </c>
    </row>
    <row r="811">
      <c r="A811" t="inlineStr" s="14">
        <is>
          <t xml:space="preserve">Calculation</t>
        </is>
      </c>
      <c r="B811">
        <f>IF(IF(EXACT("Hybrid",'Model inputs'!AA86)="",FALSE,EXACT("Hybrid",'Model inputs'!AA86)),IF('Model inputs'!S72="","",'Model inputs'!S72),"")</f>
      </c>
    </row>
    <row r="812">
      <c r="A812" t="inlineStr" s="14">
        <is>
          <t xml:space="preserve">Calculation</t>
        </is>
      </c>
      <c r="B812">
        <f>IF(IF(EXACT("Per audit — base",'Model inputs'!AA86)="",FALSE,EXACT("Per audit — base",'Model inputs'!AA86)),IF('Model inputs'!S73="","",'Model inputs'!S73),"")</f>
      </c>
    </row>
    <row r="813">
      <c r="A813" t="inlineStr" s="14">
        <is>
          <t xml:space="preserve">Calculation</t>
        </is>
      </c>
      <c r="B813">
        <f>IF(IF(EXACT("Per audit — high",'Model inputs'!AA86)="",FALSE,EXACT("Per audit — high",'Model inputs'!AA86)),IF('Model inputs'!S74="","",'Model inputs'!S74),"")</f>
      </c>
    </row>
    <row r="814">
      <c r="A814" t="inlineStr" s="14">
        <is>
          <t xml:space="preserve">Calculation</t>
        </is>
      </c>
      <c r="B814">
        <f>IF(IF(EXACT("Per audit — low",'Model inputs'!AA86)="",FALSE,EXACT("Per audit — low",'Model inputs'!AA86)),IF('Model inputs'!S75="","",'Model inputs'!S75),"")</f>
      </c>
    </row>
    <row r="815">
      <c r="A815" t="inlineStr" s="14">
        <is>
          <t xml:space="preserve">Calculation</t>
        </is>
      </c>
      <c r="B815">
        <f>IF(IF(EXACT("Annual deal-team",'Model inputs'!AA86)="",FALSE,EXACT("Annual deal-team",'Model inputs'!AA86)),IF('Model inputs'!T71="","",'Model inputs'!T71),"")</f>
      </c>
    </row>
    <row r="816">
      <c r="A816" t="inlineStr" s="14">
        <is>
          <t xml:space="preserve">Calculation</t>
        </is>
      </c>
      <c r="B816">
        <f>IF(IF(EXACT("Hybrid",'Model inputs'!AA86)="",FALSE,EXACT("Hybrid",'Model inputs'!AA86)),IF('Model inputs'!T72="","",'Model inputs'!T72),"")</f>
      </c>
    </row>
    <row r="817">
      <c r="A817" t="inlineStr" s="14">
        <is>
          <t xml:space="preserve">Calculation</t>
        </is>
      </c>
      <c r="B817">
        <f>IF(IF(EXACT("Per audit — base",'Model inputs'!AA86)="",FALSE,EXACT("Per audit — base",'Model inputs'!AA86)),IF('Model inputs'!T73="","",'Model inputs'!T73),"")</f>
      </c>
    </row>
    <row r="818">
      <c r="A818" t="inlineStr" s="14">
        <is>
          <t xml:space="preserve">Calculation</t>
        </is>
      </c>
      <c r="B818">
        <f>IF(IF(EXACT("Per audit — high",'Model inputs'!AA86)="",FALSE,EXACT("Per audit — high",'Model inputs'!AA86)),IF('Model inputs'!T74="","",'Model inputs'!T74),"")</f>
      </c>
    </row>
    <row r="819">
      <c r="A819" t="inlineStr" s="14">
        <is>
          <t xml:space="preserve">Calculation</t>
        </is>
      </c>
      <c r="B819">
        <f>IF(IF(EXACT("Per audit — low",'Model inputs'!AA86)="",FALSE,EXACT("Per audit — low",'Model inputs'!AA86)),IF('Model inputs'!T75="","",'Model inputs'!T75),"")</f>
      </c>
    </row>
    <row r="820">
      <c r="A820" t="inlineStr" s="14">
        <is>
          <t xml:space="preserve">Calculation</t>
        </is>
      </c>
      <c r="B820">
        <f>IF(IF(EXACT("Annual deal-team",'Model inputs'!AA86)="",FALSE,EXACT("Annual deal-team",'Model inputs'!AA86)),IF('Model inputs'!U71="","",'Model inputs'!U71),"")</f>
      </c>
    </row>
    <row r="821">
      <c r="A821" t="inlineStr" s="14">
        <is>
          <t xml:space="preserve">Calculation</t>
        </is>
      </c>
      <c r="B821">
        <f>IF(IF(EXACT("Hybrid",'Model inputs'!AA86)="",FALSE,EXACT("Hybrid",'Model inputs'!AA86)),IF('Model inputs'!U72="","",'Model inputs'!U72),"")</f>
      </c>
    </row>
    <row r="822">
      <c r="A822" t="inlineStr" s="14">
        <is>
          <t xml:space="preserve">Calculation</t>
        </is>
      </c>
      <c r="B822">
        <f>IF(IF(EXACT("Per audit — base",'Model inputs'!AA86)="",FALSE,EXACT("Per audit — base",'Model inputs'!AA86)),IF('Model inputs'!U73="","",'Model inputs'!U73),"")</f>
      </c>
    </row>
    <row r="823">
      <c r="A823" t="inlineStr" s="14">
        <is>
          <t xml:space="preserve">Calculation</t>
        </is>
      </c>
      <c r="B823">
        <f>IF(IF(EXACT("Per audit — high",'Model inputs'!AA86)="",FALSE,EXACT("Per audit — high",'Model inputs'!AA86)),IF('Model inputs'!U74="","",'Model inputs'!U74),"")</f>
      </c>
    </row>
    <row r="824">
      <c r="A824" t="inlineStr" s="14">
        <is>
          <t xml:space="preserve">Calculation</t>
        </is>
      </c>
      <c r="B824">
        <f>IF(IF(EXACT("Per audit — low",'Model inputs'!AA86)="",FALSE,EXACT("Per audit — low",'Model inputs'!AA86)),IF('Model inputs'!U75="","",'Model inputs'!U75),"")</f>
      </c>
    </row>
    <row r="825">
      <c r="A825" t="inlineStr" s="14">
        <is>
          <t xml:space="preserve">Calculation</t>
        </is>
      </c>
      <c r="B825">
        <f>IF(IF(EXACT("Annual deal-team",'Model inputs'!AA86)="",FALSE,EXACT("Annual deal-team",'Model inputs'!AA86)),IF('Model inputs'!V71="","",'Model inputs'!V71),"")</f>
      </c>
    </row>
    <row r="826">
      <c r="A826" t="inlineStr" s="14">
        <is>
          <t xml:space="preserve">Calculation</t>
        </is>
      </c>
      <c r="B826">
        <f>IF(IF(EXACT("Hybrid",'Model inputs'!AA86)="",FALSE,EXACT("Hybrid",'Model inputs'!AA86)),IF('Model inputs'!V72="","",'Model inputs'!V72),"")</f>
      </c>
    </row>
    <row r="827">
      <c r="A827" t="inlineStr" s="14">
        <is>
          <t xml:space="preserve">Calculation</t>
        </is>
      </c>
      <c r="B827">
        <f>IF(IF(EXACT("Per audit — base",'Model inputs'!AA86)="",FALSE,EXACT("Per audit — base",'Model inputs'!AA86)),IF('Model inputs'!V73="","",'Model inputs'!V73),"")</f>
      </c>
    </row>
    <row r="828">
      <c r="A828" t="inlineStr" s="14">
        <is>
          <t xml:space="preserve">Calculation</t>
        </is>
      </c>
      <c r="B828">
        <f>IF(IF(EXACT("Per audit — high",'Model inputs'!AA86)="",FALSE,EXACT("Per audit — high",'Model inputs'!AA86)),IF('Model inputs'!V74="","",'Model inputs'!V74),"")</f>
      </c>
    </row>
    <row r="829">
      <c r="A829" t="inlineStr" s="14">
        <is>
          <t xml:space="preserve">Calculation</t>
        </is>
      </c>
      <c r="B829">
        <f>IF(IF(EXACT("Per audit — low",'Model inputs'!AA86)="",FALSE,EXACT("Per audit — low",'Model inputs'!AA86)),IF('Model inputs'!V75="","",'Model inputs'!V75),"")</f>
      </c>
    </row>
    <row r="830">
      <c r="A830" t="inlineStr" s="14">
        <is>
          <t xml:space="preserve">Calculation</t>
        </is>
      </c>
      <c r="B830">
        <f>IF(IF(EXACT("Annual deal-team",'Model inputs'!AA86)="",FALSE,EXACT("Annual deal-team",'Model inputs'!AA86)),IF('Model inputs'!W71="","",'Model inputs'!W71),"")</f>
      </c>
    </row>
    <row r="831">
      <c r="A831" t="inlineStr" s="14">
        <is>
          <t xml:space="preserve">Calculation</t>
        </is>
      </c>
      <c r="B831">
        <f>IF(IF(EXACT("Hybrid",'Model inputs'!AA86)="",FALSE,EXACT("Hybrid",'Model inputs'!AA86)),IF('Model inputs'!W72="","",'Model inputs'!W72),"")</f>
      </c>
    </row>
    <row r="832">
      <c r="A832" t="inlineStr" s="14">
        <is>
          <t xml:space="preserve">Calculation</t>
        </is>
      </c>
      <c r="B832">
        <f>IF(IF(EXACT("Per audit — base",'Model inputs'!AA86)="",FALSE,EXACT("Per audit — base",'Model inputs'!AA86)),IF('Model inputs'!W73="","",'Model inputs'!W73),"")</f>
      </c>
    </row>
    <row r="833">
      <c r="A833" t="inlineStr" s="14">
        <is>
          <t xml:space="preserve">Calculation</t>
        </is>
      </c>
      <c r="B833">
        <f>IF(IF(EXACT("Per audit — high",'Model inputs'!AA86)="",FALSE,EXACT("Per audit — high",'Model inputs'!AA86)),IF('Model inputs'!W74="","",'Model inputs'!W74),"")</f>
      </c>
    </row>
    <row r="834">
      <c r="A834" t="inlineStr" s="14">
        <is>
          <t xml:space="preserve">Calculation</t>
        </is>
      </c>
      <c r="B834">
        <f>IF(IF(EXACT("Per audit — low",'Model inputs'!AA86)="",FALSE,EXACT("Per audit — low",'Model inputs'!AA86)),IF('Model inputs'!W75="","",'Model inputs'!W75),"")</f>
      </c>
    </row>
    <row r="835">
      <c r="A835" t="inlineStr" s="14">
        <is>
          <t xml:space="preserve">Calculation</t>
        </is>
      </c>
      <c r="B835">
        <f>IF(IF(EXACT("Annual deal-team",'Model inputs'!AA86)="",FALSE,EXACT("Annual deal-team",'Model inputs'!AA86)),IF('Model inputs'!X71="","",'Model inputs'!X71),"")</f>
      </c>
    </row>
    <row r="836">
      <c r="A836" t="inlineStr" s="14">
        <is>
          <t xml:space="preserve">Calculation</t>
        </is>
      </c>
      <c r="B836">
        <f>IF(IF(EXACT("Hybrid",'Model inputs'!AA86)="",FALSE,EXACT("Hybrid",'Model inputs'!AA86)),IF('Model inputs'!X72="","",'Model inputs'!X72),"")</f>
      </c>
    </row>
    <row r="837">
      <c r="A837" t="inlineStr" s="14">
        <is>
          <t xml:space="preserve">Calculation</t>
        </is>
      </c>
      <c r="B837">
        <f>IF(IF(EXACT("Per audit — base",'Model inputs'!AA86)="",FALSE,EXACT("Per audit — base",'Model inputs'!AA86)),IF('Model inputs'!X73="","",'Model inputs'!X73),"")</f>
      </c>
    </row>
    <row r="838">
      <c r="A838" t="inlineStr" s="14">
        <is>
          <t xml:space="preserve">Calculation</t>
        </is>
      </c>
      <c r="B838">
        <f>IF(IF(EXACT("Per audit — high",'Model inputs'!AA86)="",FALSE,EXACT("Per audit — high",'Model inputs'!AA86)),IF('Model inputs'!X74="","",'Model inputs'!X74),"")</f>
      </c>
    </row>
    <row r="839">
      <c r="A839" t="inlineStr" s="14">
        <is>
          <t xml:space="preserve">Calculation</t>
        </is>
      </c>
      <c r="B839">
        <f>IF(IF(EXACT("Per audit — low",'Model inputs'!AA86)="",FALSE,EXACT("Per audit — low",'Model inputs'!AA86)),IF('Model inputs'!X75="","",'Model inputs'!X75),"")</f>
      </c>
    </row>
    <row r="840">
      <c r="A840" t="inlineStr" s="14">
        <is>
          <t xml:space="preserve">Calculation</t>
        </is>
      </c>
      <c r="B840">
        <f>IF(IF(EXACT("Annual deal-team",'Model inputs'!AA86)="",FALSE,EXACT("Annual deal-team",'Model inputs'!AA86)),IF('Model inputs'!Y71="","",'Model inputs'!Y71),"")</f>
      </c>
    </row>
    <row r="841">
      <c r="A841" t="inlineStr" s="14">
        <is>
          <t xml:space="preserve">Calculation</t>
        </is>
      </c>
      <c r="B841">
        <f>IF(IF(EXACT("Hybrid",'Model inputs'!AA86)="",FALSE,EXACT("Hybrid",'Model inputs'!AA86)),IF('Model inputs'!Y72="","",'Model inputs'!Y72),"")</f>
      </c>
    </row>
    <row r="842">
      <c r="A842" t="inlineStr" s="14">
        <is>
          <t xml:space="preserve">Calculation</t>
        </is>
      </c>
      <c r="B842">
        <f>IF(IF(EXACT("Per audit — base",'Model inputs'!AA86)="",FALSE,EXACT("Per audit — base",'Model inputs'!AA86)),IF('Model inputs'!Y73="","",'Model inputs'!Y73),"")</f>
      </c>
    </row>
    <row r="843">
      <c r="A843" t="inlineStr" s="14">
        <is>
          <t xml:space="preserve">Calculation</t>
        </is>
      </c>
      <c r="B843">
        <f>IF(IF(EXACT("Per audit — high",'Model inputs'!AA86)="",FALSE,EXACT("Per audit — high",'Model inputs'!AA86)),IF('Model inputs'!Y74="","",'Model inputs'!Y74),"")</f>
      </c>
    </row>
    <row r="844">
      <c r="A844" t="inlineStr" s="14">
        <is>
          <t xml:space="preserve">Calculation</t>
        </is>
      </c>
      <c r="B844">
        <f>IF(IF(EXACT("Per audit — low",'Model inputs'!AA86)="",FALSE,EXACT("Per audit — low",'Model inputs'!AA86)),IF('Model inputs'!Y75="","",'Model inputs'!Y75),"")</f>
      </c>
    </row>
    <row r="845">
      <c r="A845" t="inlineStr" s="14">
        <is>
          <t xml:space="preserve">Calculation</t>
        </is>
      </c>
      <c r="B845">
        <f>IF(IF(EXACT("Annual deal-team",'Model inputs'!AA86)="",FALSE,EXACT("Annual deal-team",'Model inputs'!AA86)),IF('Model inputs'!Z71="","",'Model inputs'!Z71),"")</f>
      </c>
    </row>
    <row r="846">
      <c r="A846" t="inlineStr" s="14">
        <is>
          <t xml:space="preserve">Calculation</t>
        </is>
      </c>
      <c r="B846">
        <f>IF(IF(EXACT("Hybrid",'Model inputs'!AA86)="",FALSE,EXACT("Hybrid",'Model inputs'!AA86)),IF('Model inputs'!Z72="","",'Model inputs'!Z72),"")</f>
      </c>
    </row>
    <row r="847">
      <c r="A847" t="inlineStr" s="14">
        <is>
          <t xml:space="preserve">Calculation</t>
        </is>
      </c>
      <c r="B847">
        <f>IF(IF(EXACT("Per audit — base",'Model inputs'!AA86)="",FALSE,EXACT("Per audit — base",'Model inputs'!AA86)),IF('Model inputs'!Z73="","",'Model inputs'!Z73),"")</f>
      </c>
    </row>
    <row r="848">
      <c r="A848" t="inlineStr" s="14">
        <is>
          <t xml:space="preserve">Calculation</t>
        </is>
      </c>
      <c r="B848">
        <f>IF(IF(EXACT("Per audit — high",'Model inputs'!AA86)="",FALSE,EXACT("Per audit — high",'Model inputs'!AA86)),IF('Model inputs'!Z74="","",'Model inputs'!Z74),"")</f>
      </c>
    </row>
    <row r="849">
      <c r="A849" t="inlineStr" s="14">
        <is>
          <t xml:space="preserve">Calculation</t>
        </is>
      </c>
      <c r="B849">
        <f>IF(IF(EXACT("Per audit — low",'Model inputs'!AA86)="",FALSE,EXACT("Per audit — low",'Model inputs'!AA86)),IF('Model inputs'!Z75="","",'Model inputs'!Z75),"")</f>
      </c>
    </row>
    <row r="850">
      <c r="A850" t="inlineStr" s="14">
        <is>
          <t xml:space="preserve">Calculation</t>
        </is>
      </c>
      <c r="B850">
        <f>IF(IF(EXACT("Annual deal-team",'Model inputs'!AA87)="",FALSE,EXACT("Annual deal-team",'Model inputs'!AA87)),IF('Model inputs'!L77="","",'Model inputs'!L77),"")</f>
      </c>
    </row>
    <row r="851">
      <c r="A851" t="inlineStr" s="14">
        <is>
          <t xml:space="preserve">Calculation</t>
        </is>
      </c>
      <c r="B851">
        <f>IF(IF(EXACT("Hybrid",'Model inputs'!AA87)="",FALSE,EXACT("Hybrid",'Model inputs'!AA87)),IF('Model inputs'!L78="","",'Model inputs'!L78),"")</f>
      </c>
    </row>
    <row r="852">
      <c r="A852" t="inlineStr" s="14">
        <is>
          <t xml:space="preserve">Calculation</t>
        </is>
      </c>
      <c r="B852">
        <f>IF(IF(EXACT("Per audit — base",'Model inputs'!AA87)="",FALSE,EXACT("Per audit — base",'Model inputs'!AA87)),IF('Model inputs'!L79="","",'Model inputs'!L79),"")</f>
      </c>
    </row>
    <row r="853">
      <c r="A853" t="inlineStr" s="14">
        <is>
          <t xml:space="preserve">Calculation</t>
        </is>
      </c>
      <c r="B853">
        <f>IF(IF(EXACT("Per audit — high",'Model inputs'!AA87)="",FALSE,EXACT("Per audit — high",'Model inputs'!AA87)),IF('Model inputs'!L80="","",'Model inputs'!L80),"")</f>
      </c>
    </row>
    <row r="854">
      <c r="A854" t="inlineStr" s="14">
        <is>
          <t xml:space="preserve">Calculation</t>
        </is>
      </c>
      <c r="B854">
        <f>IF(IF(EXACT("Per audit — low",'Model inputs'!AA87)="",FALSE,EXACT("Per audit — low",'Model inputs'!AA87)),IF('Model inputs'!L81="","",'Model inputs'!L81),"")</f>
      </c>
    </row>
    <row r="855">
      <c r="A855" t="inlineStr" s="14">
        <is>
          <t xml:space="preserve">Calculation</t>
        </is>
      </c>
      <c r="B855">
        <f>IF(IF(EXACT("Annual deal-team",'Model inputs'!AA87)="",FALSE,EXACT("Annual deal-team",'Model inputs'!AA87)),IF('Model inputs'!M77="","",'Model inputs'!M77),"")</f>
      </c>
    </row>
    <row r="856">
      <c r="A856" t="inlineStr" s="14">
        <is>
          <t xml:space="preserve">Calculation</t>
        </is>
      </c>
      <c r="B856">
        <f>IF(IF(EXACT("Hybrid",'Model inputs'!AA87)="",FALSE,EXACT("Hybrid",'Model inputs'!AA87)),IF('Model inputs'!M78="","",'Model inputs'!M78),"")</f>
      </c>
    </row>
    <row r="857">
      <c r="A857" t="inlineStr" s="14">
        <is>
          <t xml:space="preserve">Calculation</t>
        </is>
      </c>
      <c r="B857">
        <f>IF(IF(EXACT("Per audit — base",'Model inputs'!AA87)="",FALSE,EXACT("Per audit — base",'Model inputs'!AA87)),IF('Model inputs'!M79="","",'Model inputs'!M79),"")</f>
      </c>
    </row>
    <row r="858">
      <c r="A858" t="inlineStr" s="14">
        <is>
          <t xml:space="preserve">Calculation</t>
        </is>
      </c>
      <c r="B858">
        <f>IF(IF(EXACT("Per audit — high",'Model inputs'!AA87)="",FALSE,EXACT("Per audit — high",'Model inputs'!AA87)),IF('Model inputs'!M80="","",'Model inputs'!M80),"")</f>
      </c>
    </row>
    <row r="859">
      <c r="A859" t="inlineStr" s="14">
        <is>
          <t xml:space="preserve">Calculation</t>
        </is>
      </c>
      <c r="B859">
        <f>IF(IF(EXACT("Per audit — low",'Model inputs'!AA87)="",FALSE,EXACT("Per audit — low",'Model inputs'!AA87)),IF('Model inputs'!M81="","",'Model inputs'!M81),"")</f>
      </c>
    </row>
    <row r="860">
      <c r="A860" t="inlineStr" s="14">
        <is>
          <t xml:space="preserve">Calculation</t>
        </is>
      </c>
      <c r="B860">
        <f>IF(IF(EXACT("Annual deal-team",'Model inputs'!AA87)="",FALSE,EXACT("Annual deal-team",'Model inputs'!AA87)),IF('Model inputs'!N77="","",'Model inputs'!N77),"")</f>
      </c>
    </row>
    <row r="861">
      <c r="A861" t="inlineStr" s="14">
        <is>
          <t xml:space="preserve">Calculation</t>
        </is>
      </c>
      <c r="B861">
        <f>IF(IF(EXACT("Hybrid",'Model inputs'!AA87)="",FALSE,EXACT("Hybrid",'Model inputs'!AA87)),IF('Model inputs'!N78="","",'Model inputs'!N78),"")</f>
      </c>
    </row>
    <row r="862">
      <c r="A862" t="inlineStr" s="14">
        <is>
          <t xml:space="preserve">Calculation</t>
        </is>
      </c>
      <c r="B862">
        <f>IF(IF(EXACT("Per audit — base",'Model inputs'!AA87)="",FALSE,EXACT("Per audit — base",'Model inputs'!AA87)),IF('Model inputs'!N79="","",'Model inputs'!N79),"")</f>
      </c>
    </row>
    <row r="863">
      <c r="A863" t="inlineStr" s="14">
        <is>
          <t xml:space="preserve">Calculation</t>
        </is>
      </c>
      <c r="B863">
        <f>IF(IF(EXACT("Per audit — high",'Model inputs'!AA87)="",FALSE,EXACT("Per audit — high",'Model inputs'!AA87)),IF('Model inputs'!N80="","",'Model inputs'!N80),"")</f>
      </c>
    </row>
    <row r="864">
      <c r="A864" t="inlineStr" s="14">
        <is>
          <t xml:space="preserve">Calculation</t>
        </is>
      </c>
      <c r="B864">
        <f>IF(IF(EXACT("Per audit — low",'Model inputs'!AA87)="",FALSE,EXACT("Per audit — low",'Model inputs'!AA87)),IF('Model inputs'!N81="","",'Model inputs'!N81),"")</f>
      </c>
    </row>
    <row r="865">
      <c r="A865" t="inlineStr" s="14">
        <is>
          <t xml:space="preserve">Calculation</t>
        </is>
      </c>
      <c r="B865">
        <f>IF(IF(EXACT("Annual deal-team",'Model inputs'!AA87)="",FALSE,EXACT("Annual deal-team",'Model inputs'!AA87)),IF('Model inputs'!O77="","",'Model inputs'!O77),"")</f>
      </c>
    </row>
    <row r="866">
      <c r="A866" t="inlineStr" s="14">
        <is>
          <t xml:space="preserve">Calculation</t>
        </is>
      </c>
      <c r="B866">
        <f>IF(IF(EXACT("Hybrid",'Model inputs'!AA87)="",FALSE,EXACT("Hybrid",'Model inputs'!AA87)),IF('Model inputs'!O78="","",'Model inputs'!O78),"")</f>
      </c>
    </row>
    <row r="867">
      <c r="A867" t="inlineStr" s="14">
        <is>
          <t xml:space="preserve">Calculation</t>
        </is>
      </c>
      <c r="B867">
        <f>IF(IF(EXACT("Per audit — base",'Model inputs'!AA87)="",FALSE,EXACT("Per audit — base",'Model inputs'!AA87)),IF('Model inputs'!O79="","",'Model inputs'!O79),"")</f>
      </c>
    </row>
    <row r="868">
      <c r="A868" t="inlineStr" s="14">
        <is>
          <t xml:space="preserve">Calculation</t>
        </is>
      </c>
      <c r="B868">
        <f>IF(IF(EXACT("Per audit — high",'Model inputs'!AA87)="",FALSE,EXACT("Per audit — high",'Model inputs'!AA87)),IF('Model inputs'!O80="","",'Model inputs'!O80),"")</f>
      </c>
    </row>
    <row r="869">
      <c r="A869" t="inlineStr" s="14">
        <is>
          <t xml:space="preserve">Calculation</t>
        </is>
      </c>
      <c r="B869">
        <f>IF(IF(EXACT("Per audit — low",'Model inputs'!AA87)="",FALSE,EXACT("Per audit — low",'Model inputs'!AA87)),IF('Model inputs'!O81="","",'Model inputs'!O81),"")</f>
      </c>
    </row>
    <row r="870">
      <c r="A870" t="inlineStr" s="14">
        <is>
          <t xml:space="preserve">Calculation</t>
        </is>
      </c>
      <c r="B870">
        <f>IF(IF(EXACT("Annual deal-team",'Model inputs'!AA87)="",FALSE,EXACT("Annual deal-team",'Model inputs'!AA87)),IF('Model inputs'!P77="","",'Model inputs'!P77),"")</f>
      </c>
    </row>
    <row r="871">
      <c r="A871" t="inlineStr" s="14">
        <is>
          <t xml:space="preserve">Calculation</t>
        </is>
      </c>
      <c r="B871">
        <f>IF(IF(EXACT("Hybrid",'Model inputs'!AA87)="",FALSE,EXACT("Hybrid",'Model inputs'!AA87)),IF('Model inputs'!P78="","",'Model inputs'!P78),"")</f>
      </c>
    </row>
    <row r="872">
      <c r="A872" t="inlineStr" s="14">
        <is>
          <t xml:space="preserve">Calculation</t>
        </is>
      </c>
      <c r="B872">
        <f>IF(IF(EXACT("Per audit — base",'Model inputs'!AA87)="",FALSE,EXACT("Per audit — base",'Model inputs'!AA87)),IF('Model inputs'!P79="","",'Model inputs'!P79),"")</f>
      </c>
    </row>
    <row r="873">
      <c r="A873" t="inlineStr" s="14">
        <is>
          <t xml:space="preserve">Calculation</t>
        </is>
      </c>
      <c r="B873">
        <f>IF(IF(EXACT("Per audit — high",'Model inputs'!AA87)="",FALSE,EXACT("Per audit — high",'Model inputs'!AA87)),IF('Model inputs'!P80="","",'Model inputs'!P80),"")</f>
      </c>
    </row>
    <row r="874">
      <c r="A874" t="inlineStr" s="14">
        <is>
          <t xml:space="preserve">Calculation</t>
        </is>
      </c>
      <c r="B874">
        <f>IF(IF(EXACT("Per audit — low",'Model inputs'!AA87)="",FALSE,EXACT("Per audit — low",'Model inputs'!AA87)),IF('Model inputs'!P81="","",'Model inputs'!P81),"")</f>
      </c>
    </row>
    <row r="875">
      <c r="A875" t="inlineStr" s="14">
        <is>
          <t xml:space="preserve">Calculation</t>
        </is>
      </c>
      <c r="B875">
        <f>IF(IF(EXACT("Annual deal-team",'Model inputs'!AA87)="",FALSE,EXACT("Annual deal-team",'Model inputs'!AA87)),IF('Model inputs'!Q77="","",'Model inputs'!Q77),"")</f>
      </c>
    </row>
    <row r="876">
      <c r="A876" t="inlineStr" s="14">
        <is>
          <t xml:space="preserve">Calculation</t>
        </is>
      </c>
      <c r="B876">
        <f>IF(IF(EXACT("Hybrid",'Model inputs'!AA87)="",FALSE,EXACT("Hybrid",'Model inputs'!AA87)),IF('Model inputs'!Q78="","",'Model inputs'!Q78),"")</f>
      </c>
    </row>
    <row r="877">
      <c r="A877" t="inlineStr" s="14">
        <is>
          <t xml:space="preserve">Calculation</t>
        </is>
      </c>
      <c r="B877">
        <f>IF(IF(EXACT("Per audit — base",'Model inputs'!AA87)="",FALSE,EXACT("Per audit — base",'Model inputs'!AA87)),IF('Model inputs'!Q79="","",'Model inputs'!Q79),"")</f>
      </c>
    </row>
    <row r="878">
      <c r="A878" t="inlineStr" s="14">
        <is>
          <t xml:space="preserve">Calculation</t>
        </is>
      </c>
      <c r="B878">
        <f>IF(IF(EXACT("Per audit — high",'Model inputs'!AA87)="",FALSE,EXACT("Per audit — high",'Model inputs'!AA87)),IF('Model inputs'!Q80="","",'Model inputs'!Q80),"")</f>
      </c>
    </row>
    <row r="879">
      <c r="A879" t="inlineStr" s="14">
        <is>
          <t xml:space="preserve">Calculation</t>
        </is>
      </c>
      <c r="B879">
        <f>IF(IF(EXACT("Per audit — low",'Model inputs'!AA87)="",FALSE,EXACT("Per audit — low",'Model inputs'!AA87)),IF('Model inputs'!Q81="","",'Model inputs'!Q81),"")</f>
      </c>
    </row>
    <row r="880">
      <c r="A880" t="inlineStr" s="14">
        <is>
          <t xml:space="preserve">Calculation</t>
        </is>
      </c>
      <c r="B880">
        <f>IF(IF(EXACT("Annual deal-team",'Model inputs'!AA87)="",FALSE,EXACT("Annual deal-team",'Model inputs'!AA87)),IF('Model inputs'!R77="","",'Model inputs'!R77),"")</f>
      </c>
    </row>
    <row r="881">
      <c r="A881" t="inlineStr" s="14">
        <is>
          <t xml:space="preserve">Calculation</t>
        </is>
      </c>
      <c r="B881">
        <f>IF(IF(EXACT("Hybrid",'Model inputs'!AA87)="",FALSE,EXACT("Hybrid",'Model inputs'!AA87)),IF('Model inputs'!R78="","",'Model inputs'!R78),"")</f>
      </c>
    </row>
    <row r="882">
      <c r="A882" t="inlineStr" s="14">
        <is>
          <t xml:space="preserve">Calculation</t>
        </is>
      </c>
      <c r="B882">
        <f>IF(IF(EXACT("Per audit — base",'Model inputs'!AA87)="",FALSE,EXACT("Per audit — base",'Model inputs'!AA87)),IF('Model inputs'!R79="","",'Model inputs'!R79),"")</f>
      </c>
    </row>
    <row r="883">
      <c r="A883" t="inlineStr" s="14">
        <is>
          <t xml:space="preserve">Calculation</t>
        </is>
      </c>
      <c r="B883">
        <f>IF(IF(EXACT("Per audit — high",'Model inputs'!AA87)="",FALSE,EXACT("Per audit — high",'Model inputs'!AA87)),IF('Model inputs'!R80="","",'Model inputs'!R80),"")</f>
      </c>
    </row>
    <row r="884">
      <c r="A884" t="inlineStr" s="14">
        <is>
          <t xml:space="preserve">Calculation</t>
        </is>
      </c>
      <c r="B884">
        <f>IF(IF(EXACT("Per audit — low",'Model inputs'!AA87)="",FALSE,EXACT("Per audit — low",'Model inputs'!AA87)),IF('Model inputs'!R81="","",'Model inputs'!R81),"")</f>
      </c>
    </row>
    <row r="885">
      <c r="A885" t="inlineStr" s="14">
        <is>
          <t xml:space="preserve">Calculation</t>
        </is>
      </c>
      <c r="B885">
        <f>IF(IF(EXACT("Annual deal-team",'Model inputs'!AA87)="",FALSE,EXACT("Annual deal-team",'Model inputs'!AA87)),IF('Model inputs'!S77="","",'Model inputs'!S77),"")</f>
      </c>
    </row>
    <row r="886">
      <c r="A886" t="inlineStr" s="14">
        <is>
          <t xml:space="preserve">Calculation</t>
        </is>
      </c>
      <c r="B886">
        <f>IF(IF(EXACT("Hybrid",'Model inputs'!AA87)="",FALSE,EXACT("Hybrid",'Model inputs'!AA87)),IF('Model inputs'!S78="","",'Model inputs'!S78),"")</f>
      </c>
    </row>
    <row r="887">
      <c r="A887" t="inlineStr" s="14">
        <is>
          <t xml:space="preserve">Calculation</t>
        </is>
      </c>
      <c r="B887">
        <f>IF(IF(EXACT("Per audit — base",'Model inputs'!AA87)="",FALSE,EXACT("Per audit — base",'Model inputs'!AA87)),IF('Model inputs'!S79="","",'Model inputs'!S79),"")</f>
      </c>
    </row>
    <row r="888">
      <c r="A888" t="inlineStr" s="14">
        <is>
          <t xml:space="preserve">Calculation</t>
        </is>
      </c>
      <c r="B888">
        <f>IF(IF(EXACT("Per audit — high",'Model inputs'!AA87)="",FALSE,EXACT("Per audit — high",'Model inputs'!AA87)),IF('Model inputs'!S80="","",'Model inputs'!S80),"")</f>
      </c>
    </row>
    <row r="889">
      <c r="A889" t="inlineStr" s="14">
        <is>
          <t xml:space="preserve">Calculation</t>
        </is>
      </c>
      <c r="B889">
        <f>IF(IF(EXACT("Per audit — low",'Model inputs'!AA87)="",FALSE,EXACT("Per audit — low",'Model inputs'!AA87)),IF('Model inputs'!S81="","",'Model inputs'!S81),"")</f>
      </c>
    </row>
    <row r="890">
      <c r="A890" t="inlineStr" s="14">
        <is>
          <t xml:space="preserve">Calculation</t>
        </is>
      </c>
      <c r="B890">
        <f>IF(IF(EXACT("Annual deal-team",'Model inputs'!AA87)="",FALSE,EXACT("Annual deal-team",'Model inputs'!AA87)),IF('Model inputs'!T77="","",'Model inputs'!T77),"")</f>
      </c>
    </row>
    <row r="891">
      <c r="A891" t="inlineStr" s="14">
        <is>
          <t xml:space="preserve">Calculation</t>
        </is>
      </c>
      <c r="B891">
        <f>IF(IF(EXACT("Hybrid",'Model inputs'!AA87)="",FALSE,EXACT("Hybrid",'Model inputs'!AA87)),IF('Model inputs'!T78="","",'Model inputs'!T78),"")</f>
      </c>
    </row>
    <row r="892">
      <c r="A892" t="inlineStr" s="14">
        <is>
          <t xml:space="preserve">Calculation</t>
        </is>
      </c>
      <c r="B892">
        <f>IF(IF(EXACT("Per audit — base",'Model inputs'!AA87)="",FALSE,EXACT("Per audit — base",'Model inputs'!AA87)),IF('Model inputs'!T79="","",'Model inputs'!T79),"")</f>
      </c>
    </row>
    <row r="893">
      <c r="A893" t="inlineStr" s="14">
        <is>
          <t xml:space="preserve">Calculation</t>
        </is>
      </c>
      <c r="B893">
        <f>IF(IF(EXACT("Per audit — high",'Model inputs'!AA87)="",FALSE,EXACT("Per audit — high",'Model inputs'!AA87)),IF('Model inputs'!T80="","",'Model inputs'!T80),"")</f>
      </c>
    </row>
    <row r="894">
      <c r="A894" t="inlineStr" s="14">
        <is>
          <t xml:space="preserve">Calculation</t>
        </is>
      </c>
      <c r="B894">
        <f>IF(IF(EXACT("Per audit — low",'Model inputs'!AA87)="",FALSE,EXACT("Per audit — low",'Model inputs'!AA87)),IF('Model inputs'!T81="","",'Model inputs'!T81),"")</f>
      </c>
    </row>
    <row r="895">
      <c r="A895" t="inlineStr" s="14">
        <is>
          <t xml:space="preserve">Calculation</t>
        </is>
      </c>
      <c r="B895">
        <f>IF(IF(EXACT("Annual deal-team",'Model inputs'!AA87)="",FALSE,EXACT("Annual deal-team",'Model inputs'!AA87)),IF('Model inputs'!U77="","",'Model inputs'!U77),"")</f>
      </c>
    </row>
    <row r="896">
      <c r="A896" t="inlineStr" s="14">
        <is>
          <t xml:space="preserve">Calculation</t>
        </is>
      </c>
      <c r="B896">
        <f>IF(IF(EXACT("Hybrid",'Model inputs'!AA87)="",FALSE,EXACT("Hybrid",'Model inputs'!AA87)),IF('Model inputs'!U78="","",'Model inputs'!U78),"")</f>
      </c>
    </row>
    <row r="897">
      <c r="A897" t="inlineStr" s="14">
        <is>
          <t xml:space="preserve">Calculation</t>
        </is>
      </c>
      <c r="B897">
        <f>IF(IF(EXACT("Per audit — base",'Model inputs'!AA87)="",FALSE,EXACT("Per audit — base",'Model inputs'!AA87)),IF('Model inputs'!U79="","",'Model inputs'!U79),"")</f>
      </c>
    </row>
    <row r="898">
      <c r="A898" t="inlineStr" s="14">
        <is>
          <t xml:space="preserve">Calculation</t>
        </is>
      </c>
      <c r="B898">
        <f>IF(IF(EXACT("Per audit — high",'Model inputs'!AA87)="",FALSE,EXACT("Per audit — high",'Model inputs'!AA87)),IF('Model inputs'!U80="","",'Model inputs'!U80),"")</f>
      </c>
    </row>
    <row r="899">
      <c r="A899" t="inlineStr" s="14">
        <is>
          <t xml:space="preserve">Calculation</t>
        </is>
      </c>
      <c r="B899">
        <f>IF(IF(EXACT("Per audit — low",'Model inputs'!AA87)="",FALSE,EXACT("Per audit — low",'Model inputs'!AA87)),IF('Model inputs'!U81="","",'Model inputs'!U81),"")</f>
      </c>
    </row>
    <row r="900">
      <c r="A900" t="inlineStr" s="14">
        <is>
          <t xml:space="preserve">Calculation</t>
        </is>
      </c>
      <c r="B900">
        <f>IF(IF(EXACT("Annual deal-team",'Model inputs'!AA87)="",FALSE,EXACT("Annual deal-team",'Model inputs'!AA87)),IF('Model inputs'!V77="","",'Model inputs'!V77),"")</f>
      </c>
    </row>
    <row r="901">
      <c r="A901" t="inlineStr" s="14">
        <is>
          <t xml:space="preserve">Calculation</t>
        </is>
      </c>
      <c r="B901">
        <f>IF(IF(EXACT("Hybrid",'Model inputs'!AA87)="",FALSE,EXACT("Hybrid",'Model inputs'!AA87)),IF('Model inputs'!V78="","",'Model inputs'!V78),"")</f>
      </c>
    </row>
    <row r="902">
      <c r="A902" t="inlineStr" s="14">
        <is>
          <t xml:space="preserve">Calculation</t>
        </is>
      </c>
      <c r="B902">
        <f>IF(IF(EXACT("Per audit — base",'Model inputs'!AA87)="",FALSE,EXACT("Per audit — base",'Model inputs'!AA87)),IF('Model inputs'!V79="","",'Model inputs'!V79),"")</f>
      </c>
    </row>
    <row r="903">
      <c r="A903" t="inlineStr" s="14">
        <is>
          <t xml:space="preserve">Calculation</t>
        </is>
      </c>
      <c r="B903">
        <f>IF(IF(EXACT("Per audit — high",'Model inputs'!AA87)="",FALSE,EXACT("Per audit — high",'Model inputs'!AA87)),IF('Model inputs'!V80="","",'Model inputs'!V80),"")</f>
      </c>
    </row>
    <row r="904">
      <c r="A904" t="inlineStr" s="14">
        <is>
          <t xml:space="preserve">Calculation</t>
        </is>
      </c>
      <c r="B904">
        <f>IF(IF(EXACT("Per audit — low",'Model inputs'!AA87)="",FALSE,EXACT("Per audit — low",'Model inputs'!AA87)),IF('Model inputs'!V81="","",'Model inputs'!V81),"")</f>
      </c>
    </row>
    <row r="905">
      <c r="A905" t="inlineStr" s="14">
        <is>
          <t xml:space="preserve">Calculation</t>
        </is>
      </c>
      <c r="B905">
        <f>IF(IF(EXACT("Annual deal-team",'Model inputs'!AA87)="",FALSE,EXACT("Annual deal-team",'Model inputs'!AA87)),IF('Model inputs'!W77="","",'Model inputs'!W77),"")</f>
      </c>
    </row>
    <row r="906">
      <c r="A906" t="inlineStr" s="14">
        <is>
          <t xml:space="preserve">Calculation</t>
        </is>
      </c>
      <c r="B906">
        <f>IF(IF(EXACT("Hybrid",'Model inputs'!AA87)="",FALSE,EXACT("Hybrid",'Model inputs'!AA87)),IF('Model inputs'!W78="","",'Model inputs'!W78),"")</f>
      </c>
    </row>
    <row r="907">
      <c r="A907" t="inlineStr" s="14">
        <is>
          <t xml:space="preserve">Calculation</t>
        </is>
      </c>
      <c r="B907">
        <f>IF(IF(EXACT("Per audit — base",'Model inputs'!AA87)="",FALSE,EXACT("Per audit — base",'Model inputs'!AA87)),IF('Model inputs'!W79="","",'Model inputs'!W79),"")</f>
      </c>
    </row>
    <row r="908">
      <c r="A908" t="inlineStr" s="14">
        <is>
          <t xml:space="preserve">Calculation</t>
        </is>
      </c>
      <c r="B908">
        <f>IF(IF(EXACT("Per audit — high",'Model inputs'!AA87)="",FALSE,EXACT("Per audit — high",'Model inputs'!AA87)),IF('Model inputs'!W80="","",'Model inputs'!W80),"")</f>
      </c>
    </row>
    <row r="909">
      <c r="A909" t="inlineStr" s="14">
        <is>
          <t xml:space="preserve">Calculation</t>
        </is>
      </c>
      <c r="B909">
        <f>IF(IF(EXACT("Per audit — low",'Model inputs'!AA87)="",FALSE,EXACT("Per audit — low",'Model inputs'!AA87)),IF('Model inputs'!W81="","",'Model inputs'!W81),"")</f>
      </c>
    </row>
    <row r="910">
      <c r="A910" t="inlineStr" s="14">
        <is>
          <t xml:space="preserve">Calculation</t>
        </is>
      </c>
      <c r="B910">
        <f>IF(IF(EXACT("Annual deal-team",'Model inputs'!AA87)="",FALSE,EXACT("Annual deal-team",'Model inputs'!AA87)),IF('Model inputs'!X77="","",'Model inputs'!X77),"")</f>
      </c>
    </row>
    <row r="911">
      <c r="A911" t="inlineStr" s="14">
        <is>
          <t xml:space="preserve">Calculation</t>
        </is>
      </c>
      <c r="B911">
        <f>IF(IF(EXACT("Hybrid",'Model inputs'!AA87)="",FALSE,EXACT("Hybrid",'Model inputs'!AA87)),IF('Model inputs'!X78="","",'Model inputs'!X78),"")</f>
      </c>
    </row>
    <row r="912">
      <c r="A912" t="inlineStr" s="14">
        <is>
          <t xml:space="preserve">Calculation</t>
        </is>
      </c>
      <c r="B912">
        <f>IF(IF(EXACT("Per audit — base",'Model inputs'!AA87)="",FALSE,EXACT("Per audit — base",'Model inputs'!AA87)),IF('Model inputs'!X79="","",'Model inputs'!X79),"")</f>
      </c>
    </row>
    <row r="913">
      <c r="A913" t="inlineStr" s="14">
        <is>
          <t xml:space="preserve">Calculation</t>
        </is>
      </c>
      <c r="B913">
        <f>IF(IF(EXACT("Per audit — high",'Model inputs'!AA87)="",FALSE,EXACT("Per audit — high",'Model inputs'!AA87)),IF('Model inputs'!X80="","",'Model inputs'!X80),"")</f>
      </c>
    </row>
    <row r="914">
      <c r="A914" t="inlineStr" s="14">
        <is>
          <t xml:space="preserve">Calculation</t>
        </is>
      </c>
      <c r="B914">
        <f>IF(IF(EXACT("Per audit — low",'Model inputs'!AA87)="",FALSE,EXACT("Per audit — low",'Model inputs'!AA87)),IF('Model inputs'!X81="","",'Model inputs'!X81),"")</f>
      </c>
    </row>
    <row r="915">
      <c r="A915" t="inlineStr" s="14">
        <is>
          <t xml:space="preserve">Calculation</t>
        </is>
      </c>
      <c r="B915">
        <f>IF(IF(EXACT("Annual deal-team",'Model inputs'!AA87)="",FALSE,EXACT("Annual deal-team",'Model inputs'!AA87)),IF('Model inputs'!Y77="","",'Model inputs'!Y77),"")</f>
      </c>
    </row>
    <row r="916">
      <c r="A916" t="inlineStr" s="14">
        <is>
          <t xml:space="preserve">Calculation</t>
        </is>
      </c>
      <c r="B916">
        <f>IF(IF(EXACT("Hybrid",'Model inputs'!AA87)="",FALSE,EXACT("Hybrid",'Model inputs'!AA87)),IF('Model inputs'!Y78="","",'Model inputs'!Y78),"")</f>
      </c>
    </row>
    <row r="917">
      <c r="A917" t="inlineStr" s="14">
        <is>
          <t xml:space="preserve">Calculation</t>
        </is>
      </c>
      <c r="B917">
        <f>IF(IF(EXACT("Per audit — base",'Model inputs'!AA87)="",FALSE,EXACT("Per audit — base",'Model inputs'!AA87)),IF('Model inputs'!Y79="","",'Model inputs'!Y79),"")</f>
      </c>
    </row>
    <row r="918">
      <c r="A918" t="inlineStr" s="14">
        <is>
          <t xml:space="preserve">Calculation</t>
        </is>
      </c>
      <c r="B918">
        <f>IF(IF(EXACT("Per audit — high",'Model inputs'!AA87)="",FALSE,EXACT("Per audit — high",'Model inputs'!AA87)),IF('Model inputs'!Y80="","",'Model inputs'!Y80),"")</f>
      </c>
    </row>
    <row r="919">
      <c r="A919" t="inlineStr" s="14">
        <is>
          <t xml:space="preserve">Calculation</t>
        </is>
      </c>
      <c r="B919">
        <f>IF(IF(EXACT("Per audit — low",'Model inputs'!AA87)="",FALSE,EXACT("Per audit — low",'Model inputs'!AA87)),IF('Model inputs'!Y81="","",'Model inputs'!Y81),"")</f>
      </c>
    </row>
    <row r="920">
      <c r="A920" t="inlineStr" s="14">
        <is>
          <t xml:space="preserve">Calculation</t>
        </is>
      </c>
      <c r="B920">
        <f>IF(IF(EXACT("Annual deal-team",'Model inputs'!AA87)="",FALSE,EXACT("Annual deal-team",'Model inputs'!AA87)),IF('Model inputs'!Z77="","",'Model inputs'!Z77),"")</f>
      </c>
    </row>
    <row r="921">
      <c r="A921" t="inlineStr" s="14">
        <is>
          <t xml:space="preserve">Calculation</t>
        </is>
      </c>
      <c r="B921">
        <f>IF(IF(EXACT("Hybrid",'Model inputs'!AA87)="",FALSE,EXACT("Hybrid",'Model inputs'!AA87)),IF('Model inputs'!Z78="","",'Model inputs'!Z78),"")</f>
      </c>
    </row>
    <row r="922">
      <c r="A922" t="inlineStr" s="14">
        <is>
          <t xml:space="preserve">Calculation</t>
        </is>
      </c>
      <c r="B922">
        <f>IF(IF(EXACT("Per audit — base",'Model inputs'!AA87)="",FALSE,EXACT("Per audit — base",'Model inputs'!AA87)),IF('Model inputs'!Z79="","",'Model inputs'!Z79),"")</f>
      </c>
    </row>
    <row r="923">
      <c r="A923" t="inlineStr" s="14">
        <is>
          <t xml:space="preserve">Calculation</t>
        </is>
      </c>
      <c r="B923">
        <f>IF(IF(EXACT("Per audit — high",'Model inputs'!AA87)="",FALSE,EXACT("Per audit — high",'Model inputs'!AA87)),IF('Model inputs'!Z80="","",'Model inputs'!Z80),"")</f>
      </c>
    </row>
    <row r="924">
      <c r="A924" t="inlineStr" s="14">
        <is>
          <t xml:space="preserve">Calculation</t>
        </is>
      </c>
      <c r="B924">
        <f>IF(IF(EXACT("Per audit — low",'Model inputs'!AA87)="",FALSE,EXACT("Per audit — low",'Model inputs'!AA87)),IF('Model inputs'!Z81="","",'Model inputs'!Z81),"")</f>
      </c>
    </row>
    <row r="925">
      <c r="A925" t="inlineStr" s="14">
        <is>
          <t xml:space="preserve">Calculation</t>
        </is>
      </c>
      <c r="B925" s="8">
        <f>SUM(IF(IF(IF(AND('Model inputs'!B20&lt;=DATE(2026,1,1),DATE(2026,1,1)&lt;=EDATE('Model inputs'!B20,'Model inputs'!B18-1*1))="",FALSE,AND('Model inputs'!B20&lt;=DATE(2026,1,1),DATE(2026,1,1)&lt;=EDATE('Model inputs'!B20,'Model inputs'!B18-1*1))),'Model inputs'!C168,"")="",0,IF(IF(AND('Model inputs'!B20&lt;=DATE(2026,1,1),DATE(2026,1,1)&lt;=EDATE('Model inputs'!B20,'Model inputs'!B18-1*1))="",FALSE,AND('Model inputs'!B20&lt;=DATE(2026,1,1),DATE(2026,1,1)&lt;=EDATE('Model inputs'!B20,'Model inputs'!B18-1*1))),'Model inputs'!C168,"")),IF(IF(IF(AND('Model inputs'!B20&lt;=DATE(2026,2,1),DATE(2026,2,1)&lt;=EDATE('Model inputs'!B20,'Model inputs'!B18-1*1))="",FALSE,AND('Model inputs'!B20&lt;=DATE(2026,2,1),DATE(2026,2,1)&lt;=EDATE('Model inputs'!B20,'Model inputs'!B18-1*1))),'Model inputs'!D168,"")="",0,IF(IF(AND('Model inputs'!B20&lt;=DATE(2026,2,1),DATE(2026,2,1)&lt;=EDATE('Model inputs'!B20,'Model inputs'!B18-1*1))="",FALSE,AND('Model inputs'!B20&lt;=DATE(2026,2,1),DATE(2026,2,1)&lt;=EDATE('Model inputs'!B20,'Model inputs'!B18-1*1))),'Model inputs'!D168,"")),IF(IF(IF(AND('Model inputs'!B20&lt;=DATE(2026,3,1),DATE(2026,3,1)&lt;=EDATE('Model inputs'!B20,'Model inputs'!B18-1*1))="",FALSE,AND('Model inputs'!B20&lt;=DATE(2026,3,1),DATE(2026,3,1)&lt;=EDATE('Model inputs'!B20,'Model inputs'!B18-1*1))),'Model inputs'!E168,"")="",0,IF(IF(AND('Model inputs'!B20&lt;=DATE(2026,3,1),DATE(2026,3,1)&lt;=EDATE('Model inputs'!B20,'Model inputs'!B18-1*1))="",FALSE,AND('Model inputs'!B20&lt;=DATE(2026,3,1),DATE(2026,3,1)&lt;=EDATE('Model inputs'!B20,'Model inputs'!B18-1*1))),'Model inputs'!E168,"")),IF(IF(IF(AND('Model inputs'!B20&lt;=DATE(2026,4,1),DATE(2026,4,1)&lt;=EDATE('Model inputs'!B20,'Model inputs'!B18-1*1))="",FALSE,AND('Model inputs'!B20&lt;=DATE(2026,4,1),DATE(2026,4,1)&lt;=EDATE('Model inputs'!B20,'Model inputs'!B18-1*1))),'Model inputs'!F168,"")="",0,IF(IF(AND('Model inputs'!B20&lt;=DATE(2026,4,1),DATE(2026,4,1)&lt;=EDATE('Model inputs'!B20,'Model inputs'!B18-1*1))="",FALSE,AND('Model inputs'!B20&lt;=DATE(2026,4,1),DATE(2026,4,1)&lt;=EDATE('Model inputs'!B20,'Model inputs'!B18-1*1))),'Model inputs'!F168,"")),IF(IF(IF(AND('Model inputs'!B20&lt;=DATE(2026,5,1),DATE(2026,5,1)&lt;=EDATE('Model inputs'!B20,'Model inputs'!B18-1*1))="",FALSE,AND('Model inputs'!B20&lt;=DATE(2026,5,1),DATE(2026,5,1)&lt;=EDATE('Model inputs'!B20,'Model inputs'!B18-1*1))),'Model inputs'!G168,"")="",0,IF(IF(AND('Model inputs'!B20&lt;=DATE(2026,5,1),DATE(2026,5,1)&lt;=EDATE('Model inputs'!B20,'Model inputs'!B18-1*1))="",FALSE,AND('Model inputs'!B20&lt;=DATE(2026,5,1),DATE(2026,5,1)&lt;=EDATE('Model inputs'!B20,'Model inputs'!B18-1*1))),'Model inputs'!G168,"")),IF(IF(IF(AND('Model inputs'!B20&lt;=DATE(2026,6,1),DATE(2026,6,1)&lt;=EDATE('Model inputs'!B20,'Model inputs'!B18-1*1))="",FALSE,AND('Model inputs'!B20&lt;=DATE(2026,6,1),DATE(2026,6,1)&lt;=EDATE('Model inputs'!B20,'Model inputs'!B18-1*1))),'Model inputs'!H168,"")="",0,IF(IF(AND('Model inputs'!B20&lt;=DATE(2026,6,1),DATE(2026,6,1)&lt;=EDATE('Model inputs'!B20,'Model inputs'!B18-1*1))="",FALSE,AND('Model inputs'!B20&lt;=DATE(2026,6,1),DATE(2026,6,1)&lt;=EDATE('Model inputs'!B20,'Model inputs'!B18-1*1))),'Model inputs'!H168,"")),IF(IF(IF(AND('Model inputs'!B20&lt;=DATE(2026,7,1),DATE(2026,7,1)&lt;=EDATE('Model inputs'!B20,'Model inputs'!B18-1*1))="",FALSE,AND('Model inputs'!B20&lt;=DATE(2026,7,1),DATE(2026,7,1)&lt;=EDATE('Model inputs'!B20,'Model inputs'!B18-1*1))),'Model inputs'!I168,"")="",0,IF(IF(AND('Model inputs'!B20&lt;=DATE(2026,7,1),DATE(2026,7,1)&lt;=EDATE('Model inputs'!B20,'Model inputs'!B18-1*1))="",FALSE,AND('Model inputs'!B20&lt;=DATE(2026,7,1),DATE(2026,7,1)&lt;=EDATE('Model inputs'!B20,'Model inputs'!B18-1*1))),'Model inputs'!I168,"")),IF(IF(IF(AND('Model inputs'!B20&lt;=DATE(2026,8,1),DATE(2026,8,1)&lt;=EDATE('Model inputs'!B20,'Model inputs'!B18-1*1))="",FALSE,AND('Model inputs'!B20&lt;=DATE(2026,8,1),DATE(2026,8,1)&lt;=EDATE('Model inputs'!B20,'Model inputs'!B18-1*1))),'Model inputs'!J168,"")="",0,IF(IF(AND('Model inputs'!B20&lt;=DATE(2026,8,1),DATE(2026,8,1)&lt;=EDATE('Model inputs'!B20,'Model inputs'!B18-1*1))="",FALSE,AND('Model inputs'!B20&lt;=DATE(2026,8,1),DATE(2026,8,1)&lt;=EDATE('Model inputs'!B20,'Model inputs'!B18-1*1))),'Model inputs'!J168,"")),IF(IF(IF(AND('Model inputs'!B20&lt;=DATE(2026,9,1),DATE(2026,9,1)&lt;=EDATE('Model inputs'!B20,'Model inputs'!B18-1*1))="",FALSE,AND('Model inputs'!B20&lt;=DATE(2026,9,1),DATE(2026,9,1)&lt;=EDATE('Model inputs'!B20,'Model inputs'!B18-1*1))),'Model inputs'!K168,"")="",0,IF(IF(AND('Model inputs'!B20&lt;=DATE(2026,9,1),DATE(2026,9,1)&lt;=EDATE('Model inputs'!B20,'Model inputs'!B18-1*1))="",FALSE,AND('Model inputs'!B20&lt;=DATE(2026,9,1),DATE(2026,9,1)&lt;=EDATE('Model inputs'!B20,'Model inputs'!B18-1*1))),'Model inputs'!K168,"")),IF(IF(IF(AND('Model inputs'!B20&lt;=DATE(2026,10,1),DATE(2026,10,1)&lt;=EDATE('Model inputs'!B20,'Model inputs'!B18-1*1))="",FALSE,AND('Model inputs'!B20&lt;=DATE(2026,10,1),DATE(2026,10,1)&lt;=EDATE('Model inputs'!B20,'Model inputs'!B18-1*1))),'Model inputs'!L168,"")="",0,IF(IF(AND('Model inputs'!B20&lt;=DATE(2026,10,1),DATE(2026,10,1)&lt;=EDATE('Model inputs'!B20,'Model inputs'!B18-1*1))="",FALSE,AND('Model inputs'!B20&lt;=DATE(2026,10,1),DATE(2026,10,1)&lt;=EDATE('Model inputs'!B20,'Model inputs'!B18-1*1))),'Model inputs'!L168,"")),IF(IF(IF(AND('Model inputs'!B20&lt;=DATE(2026,11,1),DATE(2026,11,1)&lt;=EDATE('Model inputs'!B20,'Model inputs'!B18-1*1))="",FALSE,AND('Model inputs'!B20&lt;=DATE(2026,11,1),DATE(2026,11,1)&lt;=EDATE('Model inputs'!B20,'Model inputs'!B18-1*1))),'Model inputs'!M168,"")="",0,IF(IF(AND('Model inputs'!B20&lt;=DATE(2026,11,1),DATE(2026,11,1)&lt;=EDATE('Model inputs'!B20,'Model inputs'!B18-1*1))="",FALSE,AND('Model inputs'!B20&lt;=DATE(2026,11,1),DATE(2026,11,1)&lt;=EDATE('Model inputs'!B20,'Model inputs'!B18-1*1))),'Model inputs'!M168,"")),IF(IF(IF(AND('Model inputs'!B20&lt;=DATE(2026,12,1),DATE(2026,12,1)&lt;=EDATE('Model inputs'!B20,'Model inputs'!B18-1*1))="",FALSE,AND('Model inputs'!B20&lt;=DATE(2026,12,1),DATE(2026,12,1)&lt;=EDATE('Model inputs'!B20,'Model inputs'!B18-1*1))),'Model inputs'!N168,"")="",0,IF(IF(AND('Model inputs'!B20&lt;=DATE(2026,12,1),DATE(2026,12,1)&lt;=EDATE('Model inputs'!B20,'Model inputs'!B18-1*1))="",FALSE,AND('Model inputs'!B20&lt;=DATE(2026,12,1),DATE(2026,12,1)&lt;=EDATE('Model inputs'!B20,'Model inputs'!B18-1*1))),'Model inputs'!N168,"")),IF(IF(IF(AND('Model inputs'!B20&lt;=DATE(2027,1,1),DATE(2027,1,1)&lt;=EDATE('Model inputs'!B20,'Model inputs'!B18-1*1))="",FALSE,AND('Model inputs'!B20&lt;=DATE(2027,1,1),DATE(2027,1,1)&lt;=EDATE('Model inputs'!B20,'Model inputs'!B18-1*1))),'Model inputs'!O168,"")="",0,IF(IF(AND('Model inputs'!B20&lt;=DATE(2027,1,1),DATE(2027,1,1)&lt;=EDATE('Model inputs'!B20,'Model inputs'!B18-1*1))="",FALSE,AND('Model inputs'!B20&lt;=DATE(2027,1,1),DATE(2027,1,1)&lt;=EDATE('Model inputs'!B20,'Model inputs'!B18-1*1))),'Model inputs'!O168,"")),IF(IF(IF(AND('Model inputs'!B20&lt;=DATE(2027,2,1),DATE(2027,2,1)&lt;=EDATE('Model inputs'!B20,'Model inputs'!B18-1*1))="",FALSE,AND('Model inputs'!B20&lt;=DATE(2027,2,1),DATE(2027,2,1)&lt;=EDATE('Model inputs'!B20,'Model inputs'!B18-1*1))),'Model inputs'!P168,"")="",0,IF(IF(AND('Model inputs'!B20&lt;=DATE(2027,2,1),DATE(2027,2,1)&lt;=EDATE('Model inputs'!B20,'Model inputs'!B18-1*1))="",FALSE,AND('Model inputs'!B20&lt;=DATE(2027,2,1),DATE(2027,2,1)&lt;=EDATE('Model inputs'!B20,'Model inputs'!B18-1*1))),'Model inputs'!P168,"")),IF(IF(IF(AND('Model inputs'!B20&lt;=DATE(2027,3,1),DATE(2027,3,1)&lt;=EDATE('Model inputs'!B20,'Model inputs'!B18-1*1))="",FALSE,AND('Model inputs'!B20&lt;=DATE(2027,3,1),DATE(2027,3,1)&lt;=EDATE('Model inputs'!B20,'Model inputs'!B18-1*1))),'Model inputs'!Q168,"")="",0,IF(IF(AND('Model inputs'!B20&lt;=DATE(2027,3,1),DATE(2027,3,1)&lt;=EDATE('Model inputs'!B20,'Model inputs'!B18-1*1))="",FALSE,AND('Model inputs'!B20&lt;=DATE(2027,3,1),DATE(2027,3,1)&lt;=EDATE('Model inputs'!B20,'Model inputs'!B18-1*1))),'Model inputs'!Q168,"")),IF(IF(IF(AND('Model inputs'!B20&lt;=DATE(2027,4,1),DATE(2027,4,1)&lt;=EDATE('Model inputs'!B20,'Model inputs'!B18-1*1))="",FALSE,AND('Model inputs'!B20&lt;=DATE(2027,4,1),DATE(2027,4,1)&lt;=EDATE('Model inputs'!B20,'Model inputs'!B18-1*1))),'Model inputs'!R168,"")="",0,IF(IF(AND('Model inputs'!B20&lt;=DATE(2027,4,1),DATE(2027,4,1)&lt;=EDATE('Model inputs'!B20,'Model inputs'!B18-1*1))="",FALSE,AND('Model inputs'!B20&lt;=DATE(2027,4,1),DATE(2027,4,1)&lt;=EDATE('Model inputs'!B20,'Model inputs'!B18-1*1))),'Model inputs'!R168,"")))</f>
      </c>
    </row>
    <row r="926">
      <c r="A926" t="inlineStr" s="14">
        <is>
          <t xml:space="preserve">Calculation</t>
        </is>
      </c>
      <c r="B926" s="8">
        <f>SUM(IF(IF(IF(AND('Model inputs'!B20&lt;=DATE(2027,5,1),DATE(2027,5,1)&lt;=EDATE('Model inputs'!B20,'Model inputs'!B18-1*1))="",FALSE,AND('Model inputs'!B20&lt;=DATE(2027,5,1),DATE(2027,5,1)&lt;=EDATE('Model inputs'!B20,'Model inputs'!B18-1*1))),'Model inputs'!S168,"")="",0,IF(IF(AND('Model inputs'!B20&lt;=DATE(2027,5,1),DATE(2027,5,1)&lt;=EDATE('Model inputs'!B20,'Model inputs'!B18-1*1))="",FALSE,AND('Model inputs'!B20&lt;=DATE(2027,5,1),DATE(2027,5,1)&lt;=EDATE('Model inputs'!B20,'Model inputs'!B18-1*1))),'Model inputs'!S168,"")),IF(IF(IF(AND('Model inputs'!B20&lt;=DATE(2027,6,1),DATE(2027,6,1)&lt;=EDATE('Model inputs'!B20,'Model inputs'!B18-1*1))="",FALSE,AND('Model inputs'!B20&lt;=DATE(2027,6,1),DATE(2027,6,1)&lt;=EDATE('Model inputs'!B20,'Model inputs'!B18-1*1))),'Model inputs'!T168,"")="",0,IF(IF(AND('Model inputs'!B20&lt;=DATE(2027,6,1),DATE(2027,6,1)&lt;=EDATE('Model inputs'!B20,'Model inputs'!B18-1*1))="",FALSE,AND('Model inputs'!B20&lt;=DATE(2027,6,1),DATE(2027,6,1)&lt;=EDATE('Model inputs'!B20,'Model inputs'!B18-1*1))),'Model inputs'!T168,"")),IF(IF(IF(AND('Model inputs'!B20&lt;=DATE(2027,7,1),DATE(2027,7,1)&lt;=EDATE('Model inputs'!B20,'Model inputs'!B18-1*1))="",FALSE,AND('Model inputs'!B20&lt;=DATE(2027,7,1),DATE(2027,7,1)&lt;=EDATE('Model inputs'!B20,'Model inputs'!B18-1*1))),'Model inputs'!U168,"")="",0,IF(IF(AND('Model inputs'!B20&lt;=DATE(2027,7,1),DATE(2027,7,1)&lt;=EDATE('Model inputs'!B20,'Model inputs'!B18-1*1))="",FALSE,AND('Model inputs'!B20&lt;=DATE(2027,7,1),DATE(2027,7,1)&lt;=EDATE('Model inputs'!B20,'Model inputs'!B18-1*1))),'Model inputs'!U168,"")),IF(IF(IF(AND('Model inputs'!B20&lt;=DATE(2027,8,1),DATE(2027,8,1)&lt;=EDATE('Model inputs'!B20,'Model inputs'!B18-1*1))="",FALSE,AND('Model inputs'!B20&lt;=DATE(2027,8,1),DATE(2027,8,1)&lt;=EDATE('Model inputs'!B20,'Model inputs'!B18-1*1))),'Model inputs'!V168,"")="",0,IF(IF(AND('Model inputs'!B20&lt;=DATE(2027,8,1),DATE(2027,8,1)&lt;=EDATE('Model inputs'!B20,'Model inputs'!B18-1*1))="",FALSE,AND('Model inputs'!B20&lt;=DATE(2027,8,1),DATE(2027,8,1)&lt;=EDATE('Model inputs'!B20,'Model inputs'!B18-1*1))),'Model inputs'!V168,"")),IF(IF(IF(AND('Model inputs'!B20&lt;=DATE(2027,9,1),DATE(2027,9,1)&lt;=EDATE('Model inputs'!B20,'Model inputs'!B18-1*1))="",FALSE,AND('Model inputs'!B20&lt;=DATE(2027,9,1),DATE(2027,9,1)&lt;=EDATE('Model inputs'!B20,'Model inputs'!B18-1*1))),'Model inputs'!W168,"")="",0,IF(IF(AND('Model inputs'!B20&lt;=DATE(2027,9,1),DATE(2027,9,1)&lt;=EDATE('Model inputs'!B20,'Model inputs'!B18-1*1))="",FALSE,AND('Model inputs'!B20&lt;=DATE(2027,9,1),DATE(2027,9,1)&lt;=EDATE('Model inputs'!B20,'Model inputs'!B18-1*1))),'Model inputs'!W168,"")),IF(IF(IF(AND('Model inputs'!B20&lt;=DATE(2027,10,1),DATE(2027,10,1)&lt;=EDATE('Model inputs'!B20,'Model inputs'!B18-1*1))="",FALSE,AND('Model inputs'!B20&lt;=DATE(2027,10,1),DATE(2027,10,1)&lt;=EDATE('Model inputs'!B20,'Model inputs'!B18-1*1))),'Model inputs'!X168,"")="",0,IF(IF(AND('Model inputs'!B20&lt;=DATE(2027,10,1),DATE(2027,10,1)&lt;=EDATE('Model inputs'!B20,'Model inputs'!B18-1*1))="",FALSE,AND('Model inputs'!B20&lt;=DATE(2027,10,1),DATE(2027,10,1)&lt;=EDATE('Model inputs'!B20,'Model inputs'!B18-1*1))),'Model inputs'!X168,"")),IF(IF(IF(AND('Model inputs'!B20&lt;=DATE(2027,11,1),DATE(2027,11,1)&lt;=EDATE('Model inputs'!B20,'Model inputs'!B18-1*1))="",FALSE,AND('Model inputs'!B20&lt;=DATE(2027,11,1),DATE(2027,11,1)&lt;=EDATE('Model inputs'!B20,'Model inputs'!B18-1*1))),'Model inputs'!Y168,"")="",0,IF(IF(AND('Model inputs'!B20&lt;=DATE(2027,11,1),DATE(2027,11,1)&lt;=EDATE('Model inputs'!B20,'Model inputs'!B18-1*1))="",FALSE,AND('Model inputs'!B20&lt;=DATE(2027,11,1),DATE(2027,11,1)&lt;=EDATE('Model inputs'!B20,'Model inputs'!B18-1*1))),'Model inputs'!Y168,"")),IF(IF(IF(AND('Model inputs'!B20&lt;=DATE(2027,12,1),DATE(2027,12,1)&lt;=EDATE('Model inputs'!B20,'Model inputs'!B18-1*1))="",FALSE,AND('Model inputs'!B20&lt;=DATE(2027,12,1),DATE(2027,12,1)&lt;=EDATE('Model inputs'!B20,'Model inputs'!B18-1*1))),'Model inputs'!Z168,"")="",0,IF(IF(AND('Model inputs'!B20&lt;=DATE(2027,12,1),DATE(2027,12,1)&lt;=EDATE('Model inputs'!B20,'Model inputs'!B18-1*1))="",FALSE,AND('Model inputs'!B20&lt;=DATE(2027,12,1),DATE(2027,12,1)&lt;=EDATE('Model inputs'!B20,'Model inputs'!B18-1*1))),'Model inputs'!Z168,"")))</f>
      </c>
    </row>
    <row r="927">
      <c r="A927" t="inlineStr" s="14">
        <is>
          <t xml:space="preserve">Calculation</t>
        </is>
      </c>
      <c r="B927" s="8">
        <f>SUM(IF(IF(IF(AND('Model inputs'!B21&lt;=DATE(2026,1,1),DATE(2026,1,1)&lt;=EDATE('Model inputs'!B21,'Model inputs'!B19-1*1))="",FALSE,AND('Model inputs'!B21&lt;=DATE(2026,1,1),DATE(2026,1,1)&lt;=EDATE('Model inputs'!B21,'Model inputs'!B19-1*1))),'Model inputs'!C169,"")="",0,IF(IF(AND('Model inputs'!B21&lt;=DATE(2026,1,1),DATE(2026,1,1)&lt;=EDATE('Model inputs'!B21,'Model inputs'!B19-1*1))="",FALSE,AND('Model inputs'!B21&lt;=DATE(2026,1,1),DATE(2026,1,1)&lt;=EDATE('Model inputs'!B21,'Model inputs'!B19-1*1))),'Model inputs'!C169,"")),IF(IF(IF(AND('Model inputs'!B21&lt;=DATE(2026,2,1),DATE(2026,2,1)&lt;=EDATE('Model inputs'!B21,'Model inputs'!B19-1*1))="",FALSE,AND('Model inputs'!B21&lt;=DATE(2026,2,1),DATE(2026,2,1)&lt;=EDATE('Model inputs'!B21,'Model inputs'!B19-1*1))),'Model inputs'!D169,"")="",0,IF(IF(AND('Model inputs'!B21&lt;=DATE(2026,2,1),DATE(2026,2,1)&lt;=EDATE('Model inputs'!B21,'Model inputs'!B19-1*1))="",FALSE,AND('Model inputs'!B21&lt;=DATE(2026,2,1),DATE(2026,2,1)&lt;=EDATE('Model inputs'!B21,'Model inputs'!B19-1*1))),'Model inputs'!D169,"")),IF(IF(IF(AND('Model inputs'!B21&lt;=DATE(2026,3,1),DATE(2026,3,1)&lt;=EDATE('Model inputs'!B21,'Model inputs'!B19-1*1))="",FALSE,AND('Model inputs'!B21&lt;=DATE(2026,3,1),DATE(2026,3,1)&lt;=EDATE('Model inputs'!B21,'Model inputs'!B19-1*1))),'Model inputs'!E169,"")="",0,IF(IF(AND('Model inputs'!B21&lt;=DATE(2026,3,1),DATE(2026,3,1)&lt;=EDATE('Model inputs'!B21,'Model inputs'!B19-1*1))="",FALSE,AND('Model inputs'!B21&lt;=DATE(2026,3,1),DATE(2026,3,1)&lt;=EDATE('Model inputs'!B21,'Model inputs'!B19-1*1))),'Model inputs'!E169,"")),IF(IF(IF(AND('Model inputs'!B21&lt;=DATE(2026,4,1),DATE(2026,4,1)&lt;=EDATE('Model inputs'!B21,'Model inputs'!B19-1*1))="",FALSE,AND('Model inputs'!B21&lt;=DATE(2026,4,1),DATE(2026,4,1)&lt;=EDATE('Model inputs'!B21,'Model inputs'!B19-1*1))),'Model inputs'!F169,"")="",0,IF(IF(AND('Model inputs'!B21&lt;=DATE(2026,4,1),DATE(2026,4,1)&lt;=EDATE('Model inputs'!B21,'Model inputs'!B19-1*1))="",FALSE,AND('Model inputs'!B21&lt;=DATE(2026,4,1),DATE(2026,4,1)&lt;=EDATE('Model inputs'!B21,'Model inputs'!B19-1*1))),'Model inputs'!F169,"")),IF(IF(IF(AND('Model inputs'!B21&lt;=DATE(2026,5,1),DATE(2026,5,1)&lt;=EDATE('Model inputs'!B21,'Model inputs'!B19-1*1))="",FALSE,AND('Model inputs'!B21&lt;=DATE(2026,5,1),DATE(2026,5,1)&lt;=EDATE('Model inputs'!B21,'Model inputs'!B19-1*1))),'Model inputs'!G169,"")="",0,IF(IF(AND('Model inputs'!B21&lt;=DATE(2026,5,1),DATE(2026,5,1)&lt;=EDATE('Model inputs'!B21,'Model inputs'!B19-1*1))="",FALSE,AND('Model inputs'!B21&lt;=DATE(2026,5,1),DATE(2026,5,1)&lt;=EDATE('Model inputs'!B21,'Model inputs'!B19-1*1))),'Model inputs'!G169,"")),IF(IF(IF(AND('Model inputs'!B21&lt;=DATE(2026,6,1),DATE(2026,6,1)&lt;=EDATE('Model inputs'!B21,'Model inputs'!B19-1*1))="",FALSE,AND('Model inputs'!B21&lt;=DATE(2026,6,1),DATE(2026,6,1)&lt;=EDATE('Model inputs'!B21,'Model inputs'!B19-1*1))),'Model inputs'!H169,"")="",0,IF(IF(AND('Model inputs'!B21&lt;=DATE(2026,6,1),DATE(2026,6,1)&lt;=EDATE('Model inputs'!B21,'Model inputs'!B19-1*1))="",FALSE,AND('Model inputs'!B21&lt;=DATE(2026,6,1),DATE(2026,6,1)&lt;=EDATE('Model inputs'!B21,'Model inputs'!B19-1*1))),'Model inputs'!H169,"")),IF(IF(IF(AND('Model inputs'!B21&lt;=DATE(2026,7,1),DATE(2026,7,1)&lt;=EDATE('Model inputs'!B21,'Model inputs'!B19-1*1))="",FALSE,AND('Model inputs'!B21&lt;=DATE(2026,7,1),DATE(2026,7,1)&lt;=EDATE('Model inputs'!B21,'Model inputs'!B19-1*1))),'Model inputs'!I169,"")="",0,IF(IF(AND('Model inputs'!B21&lt;=DATE(2026,7,1),DATE(2026,7,1)&lt;=EDATE('Model inputs'!B21,'Model inputs'!B19-1*1))="",FALSE,AND('Model inputs'!B21&lt;=DATE(2026,7,1),DATE(2026,7,1)&lt;=EDATE('Model inputs'!B21,'Model inputs'!B19-1*1))),'Model inputs'!I169,"")),IF(IF(IF(AND('Model inputs'!B21&lt;=DATE(2026,8,1),DATE(2026,8,1)&lt;=EDATE('Model inputs'!B21,'Model inputs'!B19-1*1))="",FALSE,AND('Model inputs'!B21&lt;=DATE(2026,8,1),DATE(2026,8,1)&lt;=EDATE('Model inputs'!B21,'Model inputs'!B19-1*1))),'Model inputs'!J169,"")="",0,IF(IF(AND('Model inputs'!B21&lt;=DATE(2026,8,1),DATE(2026,8,1)&lt;=EDATE('Model inputs'!B21,'Model inputs'!B19-1*1))="",FALSE,AND('Model inputs'!B21&lt;=DATE(2026,8,1),DATE(2026,8,1)&lt;=EDATE('Model inputs'!B21,'Model inputs'!B19-1*1))),'Model inputs'!J169,"")),IF(IF(IF(AND('Model inputs'!B21&lt;=DATE(2026,9,1),DATE(2026,9,1)&lt;=EDATE('Model inputs'!B21,'Model inputs'!B19-1*1))="",FALSE,AND('Model inputs'!B21&lt;=DATE(2026,9,1),DATE(2026,9,1)&lt;=EDATE('Model inputs'!B21,'Model inputs'!B19-1*1))),'Model inputs'!K169,"")="",0,IF(IF(AND('Model inputs'!B21&lt;=DATE(2026,9,1),DATE(2026,9,1)&lt;=EDATE('Model inputs'!B21,'Model inputs'!B19-1*1))="",FALSE,AND('Model inputs'!B21&lt;=DATE(2026,9,1),DATE(2026,9,1)&lt;=EDATE('Model inputs'!B21,'Model inputs'!B19-1*1))),'Model inputs'!K169,"")),IF(IF(IF(AND('Model inputs'!B21&lt;=DATE(2026,10,1),DATE(2026,10,1)&lt;=EDATE('Model inputs'!B21,'Model inputs'!B19-1*1))="",FALSE,AND('Model inputs'!B21&lt;=DATE(2026,10,1),DATE(2026,10,1)&lt;=EDATE('Model inputs'!B21,'Model inputs'!B19-1*1))),'Model inputs'!L169,"")="",0,IF(IF(AND('Model inputs'!B21&lt;=DATE(2026,10,1),DATE(2026,10,1)&lt;=EDATE('Model inputs'!B21,'Model inputs'!B19-1*1))="",FALSE,AND('Model inputs'!B21&lt;=DATE(2026,10,1),DATE(2026,10,1)&lt;=EDATE('Model inputs'!B21,'Model inputs'!B19-1*1))),'Model inputs'!L169,"")),IF(IF(IF(AND('Model inputs'!B21&lt;=DATE(2026,11,1),DATE(2026,11,1)&lt;=EDATE('Model inputs'!B21,'Model inputs'!B19-1*1))="",FALSE,AND('Model inputs'!B21&lt;=DATE(2026,11,1),DATE(2026,11,1)&lt;=EDATE('Model inputs'!B21,'Model inputs'!B19-1*1))),'Model inputs'!M169,"")="",0,IF(IF(AND('Model inputs'!B21&lt;=DATE(2026,11,1),DATE(2026,11,1)&lt;=EDATE('Model inputs'!B21,'Model inputs'!B19-1*1))="",FALSE,AND('Model inputs'!B21&lt;=DATE(2026,11,1),DATE(2026,11,1)&lt;=EDATE('Model inputs'!B21,'Model inputs'!B19-1*1))),'Model inputs'!M169,"")),IF(IF(IF(AND('Model inputs'!B21&lt;=DATE(2026,12,1),DATE(2026,12,1)&lt;=EDATE('Model inputs'!B21,'Model inputs'!B19-1*1))="",FALSE,AND('Model inputs'!B21&lt;=DATE(2026,12,1),DATE(2026,12,1)&lt;=EDATE('Model inputs'!B21,'Model inputs'!B19-1*1))),'Model inputs'!N169,"")="",0,IF(IF(AND('Model inputs'!B21&lt;=DATE(2026,12,1),DATE(2026,12,1)&lt;=EDATE('Model inputs'!B21,'Model inputs'!B19-1*1))="",FALSE,AND('Model inputs'!B21&lt;=DATE(2026,12,1),DATE(2026,12,1)&lt;=EDATE('Model inputs'!B21,'Model inputs'!B19-1*1))),'Model inputs'!N169,"")),IF(IF(IF(AND('Model inputs'!B21&lt;=DATE(2027,1,1),DATE(2027,1,1)&lt;=EDATE('Model inputs'!B21,'Model inputs'!B19-1*1))="",FALSE,AND('Model inputs'!B21&lt;=DATE(2027,1,1),DATE(2027,1,1)&lt;=EDATE('Model inputs'!B21,'Model inputs'!B19-1*1))),'Model inputs'!O169,"")="",0,IF(IF(AND('Model inputs'!B21&lt;=DATE(2027,1,1),DATE(2027,1,1)&lt;=EDATE('Model inputs'!B21,'Model inputs'!B19-1*1))="",FALSE,AND('Model inputs'!B21&lt;=DATE(2027,1,1),DATE(2027,1,1)&lt;=EDATE('Model inputs'!B21,'Model inputs'!B19-1*1))),'Model inputs'!O169,"")),IF(IF(IF(AND('Model inputs'!B21&lt;=DATE(2027,2,1),DATE(2027,2,1)&lt;=EDATE('Model inputs'!B21,'Model inputs'!B19-1*1))="",FALSE,AND('Model inputs'!B21&lt;=DATE(2027,2,1),DATE(2027,2,1)&lt;=EDATE('Model inputs'!B21,'Model inputs'!B19-1*1))),'Model inputs'!P169,"")="",0,IF(IF(AND('Model inputs'!B21&lt;=DATE(2027,2,1),DATE(2027,2,1)&lt;=EDATE('Model inputs'!B21,'Model inputs'!B19-1*1))="",FALSE,AND('Model inputs'!B21&lt;=DATE(2027,2,1),DATE(2027,2,1)&lt;=EDATE('Model inputs'!B21,'Model inputs'!B19-1*1))),'Model inputs'!P169,"")),IF(IF(IF(AND('Model inputs'!B21&lt;=DATE(2027,3,1),DATE(2027,3,1)&lt;=EDATE('Model inputs'!B21,'Model inputs'!B19-1*1))="",FALSE,AND('Model inputs'!B21&lt;=DATE(2027,3,1),DATE(2027,3,1)&lt;=EDATE('Model inputs'!B21,'Model inputs'!B19-1*1))),'Model inputs'!Q169,"")="",0,IF(IF(AND('Model inputs'!B21&lt;=DATE(2027,3,1),DATE(2027,3,1)&lt;=EDATE('Model inputs'!B21,'Model inputs'!B19-1*1))="",FALSE,AND('Model inputs'!B21&lt;=DATE(2027,3,1),DATE(2027,3,1)&lt;=EDATE('Model inputs'!B21,'Model inputs'!B19-1*1))),'Model inputs'!Q169,"")),IF(IF(IF(AND('Model inputs'!B21&lt;=DATE(2027,4,1),DATE(2027,4,1)&lt;=EDATE('Model inputs'!B21,'Model inputs'!B19-1*1))="",FALSE,AND('Model inputs'!B21&lt;=DATE(2027,4,1),DATE(2027,4,1)&lt;=EDATE('Model inputs'!B21,'Model inputs'!B19-1*1))),'Model inputs'!R169,"")="",0,IF(IF(AND('Model inputs'!B21&lt;=DATE(2027,4,1),DATE(2027,4,1)&lt;=EDATE('Model inputs'!B21,'Model inputs'!B19-1*1))="",FALSE,AND('Model inputs'!B21&lt;=DATE(2027,4,1),DATE(2027,4,1)&lt;=EDATE('Model inputs'!B21,'Model inputs'!B19-1*1))),'Model inputs'!R169,"")))</f>
      </c>
    </row>
    <row r="928">
      <c r="A928" t="inlineStr" s="14">
        <is>
          <t xml:space="preserve">Calculation</t>
        </is>
      </c>
      <c r="B928" s="8">
        <f>SUM(IF(IF(IF(AND('Model inputs'!B21&lt;=DATE(2027,5,1),DATE(2027,5,1)&lt;=EDATE('Model inputs'!B21,'Model inputs'!B19-1*1))="",FALSE,AND('Model inputs'!B21&lt;=DATE(2027,5,1),DATE(2027,5,1)&lt;=EDATE('Model inputs'!B21,'Model inputs'!B19-1*1))),'Model inputs'!S169,"")="",0,IF(IF(AND('Model inputs'!B21&lt;=DATE(2027,5,1),DATE(2027,5,1)&lt;=EDATE('Model inputs'!B21,'Model inputs'!B19-1*1))="",FALSE,AND('Model inputs'!B21&lt;=DATE(2027,5,1),DATE(2027,5,1)&lt;=EDATE('Model inputs'!B21,'Model inputs'!B19-1*1))),'Model inputs'!S169,"")),IF(IF(IF(AND('Model inputs'!B21&lt;=DATE(2027,6,1),DATE(2027,6,1)&lt;=EDATE('Model inputs'!B21,'Model inputs'!B19-1*1))="",FALSE,AND('Model inputs'!B21&lt;=DATE(2027,6,1),DATE(2027,6,1)&lt;=EDATE('Model inputs'!B21,'Model inputs'!B19-1*1))),'Model inputs'!T169,"")="",0,IF(IF(AND('Model inputs'!B21&lt;=DATE(2027,6,1),DATE(2027,6,1)&lt;=EDATE('Model inputs'!B21,'Model inputs'!B19-1*1))="",FALSE,AND('Model inputs'!B21&lt;=DATE(2027,6,1),DATE(2027,6,1)&lt;=EDATE('Model inputs'!B21,'Model inputs'!B19-1*1))),'Model inputs'!T169,"")),IF(IF(IF(AND('Model inputs'!B21&lt;=DATE(2027,7,1),DATE(2027,7,1)&lt;=EDATE('Model inputs'!B21,'Model inputs'!B19-1*1))="",FALSE,AND('Model inputs'!B21&lt;=DATE(2027,7,1),DATE(2027,7,1)&lt;=EDATE('Model inputs'!B21,'Model inputs'!B19-1*1))),'Model inputs'!U169,"")="",0,IF(IF(AND('Model inputs'!B21&lt;=DATE(2027,7,1),DATE(2027,7,1)&lt;=EDATE('Model inputs'!B21,'Model inputs'!B19-1*1))="",FALSE,AND('Model inputs'!B21&lt;=DATE(2027,7,1),DATE(2027,7,1)&lt;=EDATE('Model inputs'!B21,'Model inputs'!B19-1*1))),'Model inputs'!U169,"")),IF(IF(IF(AND('Model inputs'!B21&lt;=DATE(2027,8,1),DATE(2027,8,1)&lt;=EDATE('Model inputs'!B21,'Model inputs'!B19-1*1))="",FALSE,AND('Model inputs'!B21&lt;=DATE(2027,8,1),DATE(2027,8,1)&lt;=EDATE('Model inputs'!B21,'Model inputs'!B19-1*1))),'Model inputs'!V169,"")="",0,IF(IF(AND('Model inputs'!B21&lt;=DATE(2027,8,1),DATE(2027,8,1)&lt;=EDATE('Model inputs'!B21,'Model inputs'!B19-1*1))="",FALSE,AND('Model inputs'!B21&lt;=DATE(2027,8,1),DATE(2027,8,1)&lt;=EDATE('Model inputs'!B21,'Model inputs'!B19-1*1))),'Model inputs'!V169,"")),IF(IF(IF(AND('Model inputs'!B21&lt;=DATE(2027,9,1),DATE(2027,9,1)&lt;=EDATE('Model inputs'!B21,'Model inputs'!B19-1*1))="",FALSE,AND('Model inputs'!B21&lt;=DATE(2027,9,1),DATE(2027,9,1)&lt;=EDATE('Model inputs'!B21,'Model inputs'!B19-1*1))),'Model inputs'!W169,"")="",0,IF(IF(AND('Model inputs'!B21&lt;=DATE(2027,9,1),DATE(2027,9,1)&lt;=EDATE('Model inputs'!B21,'Model inputs'!B19-1*1))="",FALSE,AND('Model inputs'!B21&lt;=DATE(2027,9,1),DATE(2027,9,1)&lt;=EDATE('Model inputs'!B21,'Model inputs'!B19-1*1))),'Model inputs'!W169,"")),IF(IF(IF(AND('Model inputs'!B21&lt;=DATE(2027,10,1),DATE(2027,10,1)&lt;=EDATE('Model inputs'!B21,'Model inputs'!B19-1*1))="",FALSE,AND('Model inputs'!B21&lt;=DATE(2027,10,1),DATE(2027,10,1)&lt;=EDATE('Model inputs'!B21,'Model inputs'!B19-1*1))),'Model inputs'!X169,"")="",0,IF(IF(AND('Model inputs'!B21&lt;=DATE(2027,10,1),DATE(2027,10,1)&lt;=EDATE('Model inputs'!B21,'Model inputs'!B19-1*1))="",FALSE,AND('Model inputs'!B21&lt;=DATE(2027,10,1),DATE(2027,10,1)&lt;=EDATE('Model inputs'!B21,'Model inputs'!B19-1*1))),'Model inputs'!X169,"")),IF(IF(IF(AND('Model inputs'!B21&lt;=DATE(2027,11,1),DATE(2027,11,1)&lt;=EDATE('Model inputs'!B21,'Model inputs'!B19-1*1))="",FALSE,AND('Model inputs'!B21&lt;=DATE(2027,11,1),DATE(2027,11,1)&lt;=EDATE('Model inputs'!B21,'Model inputs'!B19-1*1))),'Model inputs'!Y169,"")="",0,IF(IF(AND('Model inputs'!B21&lt;=DATE(2027,11,1),DATE(2027,11,1)&lt;=EDATE('Model inputs'!B21,'Model inputs'!B19-1*1))="",FALSE,AND('Model inputs'!B21&lt;=DATE(2027,11,1),DATE(2027,11,1)&lt;=EDATE('Model inputs'!B21,'Model inputs'!B19-1*1))),'Model inputs'!Y169,"")),IF(IF(IF(AND('Model inputs'!B21&lt;=DATE(2027,12,1),DATE(2027,12,1)&lt;=EDATE('Model inputs'!B21,'Model inputs'!B19-1*1))="",FALSE,AND('Model inputs'!B21&lt;=DATE(2027,12,1),DATE(2027,12,1)&lt;=EDATE('Model inputs'!B21,'Model inputs'!B19-1*1))),'Model inputs'!Z169,"")="",0,IF(IF(AND('Model inputs'!B21&lt;=DATE(2027,12,1),DATE(2027,12,1)&lt;=EDATE('Model inputs'!B21,'Model inputs'!B19-1*1))="",FALSE,AND('Model inputs'!B21&lt;=DATE(2027,12,1),DATE(2027,12,1)&lt;=EDATE('Model inputs'!B21,'Model inputs'!B19-1*1))),'Model inputs'!Z169,"")))</f>
      </c>
    </row>
    <row r="929">
      <c r="A929" t="inlineStr" s="14">
        <is>
          <t xml:space="preserve">Calculation</t>
        </is>
      </c>
      <c r="B929">
        <f>IF(IF(EXACT("Annual deal-team",'Model inputs'!AA86)="",FALSE,EXACT("Annual deal-team",'Model inputs'!AA86)),IF('Model inputs'!L101="","",'Model inputs'!L101),"")</f>
      </c>
    </row>
    <row r="930">
      <c r="A930" t="inlineStr" s="14">
        <is>
          <t xml:space="preserve">Calculation</t>
        </is>
      </c>
      <c r="B930">
        <f>IF(IF(EXACT("Hybrid",'Model inputs'!AA86)="",FALSE,EXACT("Hybrid",'Model inputs'!AA86)),IF('Model inputs'!L102="","",'Model inputs'!L102),"")</f>
      </c>
    </row>
    <row r="931">
      <c r="A931" t="inlineStr" s="14">
        <is>
          <t xml:space="preserve">Calculation</t>
        </is>
      </c>
      <c r="B931">
        <f>IF(IF(EXACT("Per audit — base",'Model inputs'!AA86)="",FALSE,EXACT("Per audit — base",'Model inputs'!AA86)),IF('Model inputs'!L103="","",'Model inputs'!L103),"")</f>
      </c>
    </row>
    <row r="932">
      <c r="A932" t="inlineStr" s="14">
        <is>
          <t xml:space="preserve">Calculation</t>
        </is>
      </c>
      <c r="B932">
        <f>IF(IF(EXACT("Per audit — high",'Model inputs'!AA86)="",FALSE,EXACT("Per audit — high",'Model inputs'!AA86)),IF('Model inputs'!L104="","",'Model inputs'!L104),"")</f>
      </c>
    </row>
    <row r="933">
      <c r="A933" t="inlineStr" s="14">
        <is>
          <t xml:space="preserve">Calculation</t>
        </is>
      </c>
      <c r="B933">
        <f>IF(IF(EXACT("Per audit — low",'Model inputs'!AA86)="",FALSE,EXACT("Per audit — low",'Model inputs'!AA86)),IF('Model inputs'!L105="","",'Model inputs'!L105),"")</f>
      </c>
    </row>
    <row r="934">
      <c r="A934" t="inlineStr" s="14">
        <is>
          <t xml:space="preserve">Calculation</t>
        </is>
      </c>
      <c r="B934">
        <f>IF(IF(EXACT("Annual deal-team",'Model inputs'!AA86)="",FALSE,EXACT("Annual deal-team",'Model inputs'!AA86)),IF('Model inputs'!M101="","",'Model inputs'!M101),"")</f>
      </c>
    </row>
    <row r="935">
      <c r="A935" t="inlineStr" s="14">
        <is>
          <t xml:space="preserve">Calculation</t>
        </is>
      </c>
      <c r="B935">
        <f>IF(IF(EXACT("Hybrid",'Model inputs'!AA86)="",FALSE,EXACT("Hybrid",'Model inputs'!AA86)),IF('Model inputs'!M102="","",'Model inputs'!M102),"")</f>
      </c>
    </row>
    <row r="936">
      <c r="A936" t="inlineStr" s="14">
        <is>
          <t xml:space="preserve">Calculation</t>
        </is>
      </c>
      <c r="B936">
        <f>IF(IF(EXACT("Per audit — base",'Model inputs'!AA86)="",FALSE,EXACT("Per audit — base",'Model inputs'!AA86)),IF('Model inputs'!M103="","",'Model inputs'!M103),"")</f>
      </c>
    </row>
    <row r="937">
      <c r="A937" t="inlineStr" s="14">
        <is>
          <t xml:space="preserve">Calculation</t>
        </is>
      </c>
      <c r="B937">
        <f>IF(IF(EXACT("Per audit — high",'Model inputs'!AA86)="",FALSE,EXACT("Per audit — high",'Model inputs'!AA86)),IF('Model inputs'!M104="","",'Model inputs'!M104),"")</f>
      </c>
    </row>
    <row r="938">
      <c r="A938" t="inlineStr" s="14">
        <is>
          <t xml:space="preserve">Calculation</t>
        </is>
      </c>
      <c r="B938">
        <f>IF(IF(EXACT("Per audit — low",'Model inputs'!AA86)="",FALSE,EXACT("Per audit — low",'Model inputs'!AA86)),IF('Model inputs'!M105="","",'Model inputs'!M105),"")</f>
      </c>
    </row>
    <row r="939">
      <c r="A939" t="inlineStr" s="14">
        <is>
          <t xml:space="preserve">Calculation</t>
        </is>
      </c>
      <c r="B939">
        <f>IF(IF(EXACT("Annual deal-team",'Model inputs'!AA86)="",FALSE,EXACT("Annual deal-team",'Model inputs'!AA86)),IF('Model inputs'!N101="","",'Model inputs'!N101),"")</f>
      </c>
    </row>
    <row r="940">
      <c r="A940" t="inlineStr" s="14">
        <is>
          <t xml:space="preserve">Calculation</t>
        </is>
      </c>
      <c r="B940">
        <f>IF(IF(EXACT("Hybrid",'Model inputs'!AA86)="",FALSE,EXACT("Hybrid",'Model inputs'!AA86)),IF('Model inputs'!N102="","",'Model inputs'!N102),"")</f>
      </c>
    </row>
    <row r="941">
      <c r="A941" t="inlineStr" s="14">
        <is>
          <t xml:space="preserve">Calculation</t>
        </is>
      </c>
      <c r="B941">
        <f>IF(IF(EXACT("Per audit — base",'Model inputs'!AA86)="",FALSE,EXACT("Per audit — base",'Model inputs'!AA86)),IF('Model inputs'!N103="","",'Model inputs'!N103),"")</f>
      </c>
    </row>
    <row r="942">
      <c r="A942" t="inlineStr" s="14">
        <is>
          <t xml:space="preserve">Calculation</t>
        </is>
      </c>
      <c r="B942">
        <f>IF(IF(EXACT("Per audit — high",'Model inputs'!AA86)="",FALSE,EXACT("Per audit — high",'Model inputs'!AA86)),IF('Model inputs'!N104="","",'Model inputs'!N104),"")</f>
      </c>
    </row>
    <row r="943">
      <c r="A943" t="inlineStr" s="14">
        <is>
          <t xml:space="preserve">Calculation</t>
        </is>
      </c>
      <c r="B943">
        <f>IF(IF(EXACT("Per audit — low",'Model inputs'!AA86)="",FALSE,EXACT("Per audit — low",'Model inputs'!AA86)),IF('Model inputs'!N105="","",'Model inputs'!N105),"")</f>
      </c>
    </row>
    <row r="944">
      <c r="A944" t="inlineStr" s="14">
        <is>
          <t xml:space="preserve">Calculation</t>
        </is>
      </c>
      <c r="B944">
        <f>IF(IF(EXACT("Annual deal-team",'Model inputs'!AA86)="",FALSE,EXACT("Annual deal-team",'Model inputs'!AA86)),IF('Model inputs'!O101="","",'Model inputs'!O101),"")</f>
      </c>
    </row>
    <row r="945">
      <c r="A945" t="inlineStr" s="14">
        <is>
          <t xml:space="preserve">Calculation</t>
        </is>
      </c>
      <c r="B945">
        <f>IF(IF(EXACT("Hybrid",'Model inputs'!AA86)="",FALSE,EXACT("Hybrid",'Model inputs'!AA86)),IF('Model inputs'!O102="","",'Model inputs'!O102),"")</f>
      </c>
    </row>
    <row r="946">
      <c r="A946" t="inlineStr" s="14">
        <is>
          <t xml:space="preserve">Calculation</t>
        </is>
      </c>
      <c r="B946">
        <f>IF(IF(EXACT("Per audit — base",'Model inputs'!AA86)="",FALSE,EXACT("Per audit — base",'Model inputs'!AA86)),IF('Model inputs'!O103="","",'Model inputs'!O103),"")</f>
      </c>
    </row>
    <row r="947">
      <c r="A947" t="inlineStr" s="14">
        <is>
          <t xml:space="preserve">Calculation</t>
        </is>
      </c>
      <c r="B947">
        <f>IF(IF(EXACT("Per audit — high",'Model inputs'!AA86)="",FALSE,EXACT("Per audit — high",'Model inputs'!AA86)),IF('Model inputs'!O104="","",'Model inputs'!O104),"")</f>
      </c>
    </row>
    <row r="948">
      <c r="A948" t="inlineStr" s="14">
        <is>
          <t xml:space="preserve">Calculation</t>
        </is>
      </c>
      <c r="B948">
        <f>IF(IF(EXACT("Per audit — low",'Model inputs'!AA86)="",FALSE,EXACT("Per audit — low",'Model inputs'!AA86)),IF('Model inputs'!O105="","",'Model inputs'!O105),"")</f>
      </c>
    </row>
    <row r="949">
      <c r="A949" t="inlineStr" s="14">
        <is>
          <t xml:space="preserve">Calculation</t>
        </is>
      </c>
      <c r="B949">
        <f>IF(IF(EXACT("Annual deal-team",'Model inputs'!AA86)="",FALSE,EXACT("Annual deal-team",'Model inputs'!AA86)),IF('Model inputs'!P101="","",'Model inputs'!P101),"")</f>
      </c>
    </row>
    <row r="950">
      <c r="A950" t="inlineStr" s="14">
        <is>
          <t xml:space="preserve">Calculation</t>
        </is>
      </c>
      <c r="B950">
        <f>IF(IF(EXACT("Hybrid",'Model inputs'!AA86)="",FALSE,EXACT("Hybrid",'Model inputs'!AA86)),IF('Model inputs'!P102="","",'Model inputs'!P102),"")</f>
      </c>
    </row>
    <row r="951">
      <c r="A951" t="inlineStr" s="14">
        <is>
          <t xml:space="preserve">Calculation</t>
        </is>
      </c>
      <c r="B951">
        <f>IF(IF(EXACT("Per audit — base",'Model inputs'!AA86)="",FALSE,EXACT("Per audit — base",'Model inputs'!AA86)),IF('Model inputs'!P103="","",'Model inputs'!P103),"")</f>
      </c>
    </row>
    <row r="952">
      <c r="A952" t="inlineStr" s="14">
        <is>
          <t xml:space="preserve">Calculation</t>
        </is>
      </c>
      <c r="B952">
        <f>IF(IF(EXACT("Per audit — high",'Model inputs'!AA86)="",FALSE,EXACT("Per audit — high",'Model inputs'!AA86)),IF('Model inputs'!P104="","",'Model inputs'!P104),"")</f>
      </c>
    </row>
    <row r="953">
      <c r="A953" t="inlineStr" s="14">
        <is>
          <t xml:space="preserve">Calculation</t>
        </is>
      </c>
      <c r="B953">
        <f>IF(IF(EXACT("Per audit — low",'Model inputs'!AA86)="",FALSE,EXACT("Per audit — low",'Model inputs'!AA86)),IF('Model inputs'!P105="","",'Model inputs'!P105),"")</f>
      </c>
    </row>
    <row r="954">
      <c r="A954" t="inlineStr" s="14">
        <is>
          <t xml:space="preserve">Calculation</t>
        </is>
      </c>
      <c r="B954">
        <f>IF(IF(EXACT("Annual deal-team",'Model inputs'!AA86)="",FALSE,EXACT("Annual deal-team",'Model inputs'!AA86)),IF('Model inputs'!Q101="","",'Model inputs'!Q101),"")</f>
      </c>
    </row>
    <row r="955">
      <c r="A955" t="inlineStr" s="14">
        <is>
          <t xml:space="preserve">Calculation</t>
        </is>
      </c>
      <c r="B955">
        <f>IF(IF(EXACT("Hybrid",'Model inputs'!AA86)="",FALSE,EXACT("Hybrid",'Model inputs'!AA86)),IF('Model inputs'!Q102="","",'Model inputs'!Q102),"")</f>
      </c>
    </row>
    <row r="956">
      <c r="A956" t="inlineStr" s="14">
        <is>
          <t xml:space="preserve">Calculation</t>
        </is>
      </c>
      <c r="B956">
        <f>IF(IF(EXACT("Per audit — base",'Model inputs'!AA86)="",FALSE,EXACT("Per audit — base",'Model inputs'!AA86)),IF('Model inputs'!Q103="","",'Model inputs'!Q103),"")</f>
      </c>
    </row>
    <row r="957">
      <c r="A957" t="inlineStr" s="14">
        <is>
          <t xml:space="preserve">Calculation</t>
        </is>
      </c>
      <c r="B957">
        <f>IF(IF(EXACT("Per audit — high",'Model inputs'!AA86)="",FALSE,EXACT("Per audit — high",'Model inputs'!AA86)),IF('Model inputs'!Q104="","",'Model inputs'!Q104),"")</f>
      </c>
    </row>
    <row r="958">
      <c r="A958" t="inlineStr" s="14">
        <is>
          <t xml:space="preserve">Calculation</t>
        </is>
      </c>
      <c r="B958">
        <f>IF(IF(EXACT("Per audit — low",'Model inputs'!AA86)="",FALSE,EXACT("Per audit — low",'Model inputs'!AA86)),IF('Model inputs'!Q105="","",'Model inputs'!Q105),"")</f>
      </c>
    </row>
    <row r="959">
      <c r="A959" t="inlineStr" s="14">
        <is>
          <t xml:space="preserve">Calculation</t>
        </is>
      </c>
      <c r="B959">
        <f>IF(IF(EXACT("Annual deal-team",'Model inputs'!AA86)="",FALSE,EXACT("Annual deal-team",'Model inputs'!AA86)),IF('Model inputs'!R101="","",'Model inputs'!R101),"")</f>
      </c>
    </row>
    <row r="960">
      <c r="A960" t="inlineStr" s="14">
        <is>
          <t xml:space="preserve">Calculation</t>
        </is>
      </c>
      <c r="B960">
        <f>IF(IF(EXACT("Hybrid",'Model inputs'!AA86)="",FALSE,EXACT("Hybrid",'Model inputs'!AA86)),IF('Model inputs'!R102="","",'Model inputs'!R102),"")</f>
      </c>
    </row>
    <row r="961">
      <c r="A961" t="inlineStr" s="14">
        <is>
          <t xml:space="preserve">Calculation</t>
        </is>
      </c>
      <c r="B961">
        <f>IF(IF(EXACT("Per audit — base",'Model inputs'!AA86)="",FALSE,EXACT("Per audit — base",'Model inputs'!AA86)),IF('Model inputs'!R103="","",'Model inputs'!R103),"")</f>
      </c>
    </row>
    <row r="962">
      <c r="A962" t="inlineStr" s="14">
        <is>
          <t xml:space="preserve">Calculation</t>
        </is>
      </c>
      <c r="B962">
        <f>IF(IF(EXACT("Per audit — high",'Model inputs'!AA86)="",FALSE,EXACT("Per audit — high",'Model inputs'!AA86)),IF('Model inputs'!R104="","",'Model inputs'!R104),"")</f>
      </c>
    </row>
    <row r="963">
      <c r="A963" t="inlineStr" s="14">
        <is>
          <t xml:space="preserve">Calculation</t>
        </is>
      </c>
      <c r="B963">
        <f>IF(IF(EXACT("Per audit — low",'Model inputs'!AA86)="",FALSE,EXACT("Per audit — low",'Model inputs'!AA86)),IF('Model inputs'!R105="","",'Model inputs'!R105),"")</f>
      </c>
    </row>
    <row r="964">
      <c r="A964" t="inlineStr" s="14">
        <is>
          <t xml:space="preserve">Calculation</t>
        </is>
      </c>
      <c r="B964">
        <f>IF(IF(EXACT("Annual deal-team",'Model inputs'!AA86)="",FALSE,EXACT("Annual deal-team",'Model inputs'!AA86)),IF('Model inputs'!S101="","",'Model inputs'!S101),"")</f>
      </c>
    </row>
    <row r="965">
      <c r="A965" t="inlineStr" s="14">
        <is>
          <t xml:space="preserve">Calculation</t>
        </is>
      </c>
      <c r="B965">
        <f>IF(IF(EXACT("Hybrid",'Model inputs'!AA86)="",FALSE,EXACT("Hybrid",'Model inputs'!AA86)),IF('Model inputs'!S102="","",'Model inputs'!S102),"")</f>
      </c>
    </row>
    <row r="966">
      <c r="A966" t="inlineStr" s="14">
        <is>
          <t xml:space="preserve">Calculation</t>
        </is>
      </c>
      <c r="B966">
        <f>IF(IF(EXACT("Per audit — base",'Model inputs'!AA86)="",FALSE,EXACT("Per audit — base",'Model inputs'!AA86)),IF('Model inputs'!S103="","",'Model inputs'!S103),"")</f>
      </c>
    </row>
    <row r="967">
      <c r="A967" t="inlineStr" s="14">
        <is>
          <t xml:space="preserve">Calculation</t>
        </is>
      </c>
      <c r="B967">
        <f>IF(IF(EXACT("Per audit — high",'Model inputs'!AA86)="",FALSE,EXACT("Per audit — high",'Model inputs'!AA86)),IF('Model inputs'!S104="","",'Model inputs'!S104),"")</f>
      </c>
    </row>
    <row r="968">
      <c r="A968" t="inlineStr" s="14">
        <is>
          <t xml:space="preserve">Calculation</t>
        </is>
      </c>
      <c r="B968">
        <f>IF(IF(EXACT("Per audit — low",'Model inputs'!AA86)="",FALSE,EXACT("Per audit — low",'Model inputs'!AA86)),IF('Model inputs'!S105="","",'Model inputs'!S105),"")</f>
      </c>
    </row>
    <row r="969">
      <c r="A969" t="inlineStr" s="14">
        <is>
          <t xml:space="preserve">Calculation</t>
        </is>
      </c>
      <c r="B969">
        <f>IF(IF(EXACT("Annual deal-team",'Model inputs'!AA86)="",FALSE,EXACT("Annual deal-team",'Model inputs'!AA86)),IF('Model inputs'!T101="","",'Model inputs'!T101),"")</f>
      </c>
    </row>
    <row r="970">
      <c r="A970" t="inlineStr" s="14">
        <is>
          <t xml:space="preserve">Calculation</t>
        </is>
      </c>
      <c r="B970">
        <f>IF(IF(EXACT("Hybrid",'Model inputs'!AA86)="",FALSE,EXACT("Hybrid",'Model inputs'!AA86)),IF('Model inputs'!T102="","",'Model inputs'!T102),"")</f>
      </c>
    </row>
    <row r="971">
      <c r="A971" t="inlineStr" s="14">
        <is>
          <t xml:space="preserve">Calculation</t>
        </is>
      </c>
      <c r="B971">
        <f>IF(IF(EXACT("Per audit — base",'Model inputs'!AA86)="",FALSE,EXACT("Per audit — base",'Model inputs'!AA86)),IF('Model inputs'!T103="","",'Model inputs'!T103),"")</f>
      </c>
    </row>
    <row r="972">
      <c r="A972" t="inlineStr" s="14">
        <is>
          <t xml:space="preserve">Calculation</t>
        </is>
      </c>
      <c r="B972">
        <f>IF(IF(EXACT("Per audit — high",'Model inputs'!AA86)="",FALSE,EXACT("Per audit — high",'Model inputs'!AA86)),IF('Model inputs'!T104="","",'Model inputs'!T104),"")</f>
      </c>
    </row>
    <row r="973">
      <c r="A973" t="inlineStr" s="14">
        <is>
          <t xml:space="preserve">Calculation</t>
        </is>
      </c>
      <c r="B973">
        <f>IF(IF(EXACT("Per audit — low",'Model inputs'!AA86)="",FALSE,EXACT("Per audit — low",'Model inputs'!AA86)),IF('Model inputs'!T105="","",'Model inputs'!T105),"")</f>
      </c>
    </row>
    <row r="974">
      <c r="A974" t="inlineStr" s="14">
        <is>
          <t xml:space="preserve">Calculation</t>
        </is>
      </c>
      <c r="B974">
        <f>IF(IF(EXACT("Annual deal-team",'Model inputs'!AA86)="",FALSE,EXACT("Annual deal-team",'Model inputs'!AA86)),IF('Model inputs'!U101="","",'Model inputs'!U101),"")</f>
      </c>
    </row>
    <row r="975">
      <c r="A975" t="inlineStr" s="14">
        <is>
          <t xml:space="preserve">Calculation</t>
        </is>
      </c>
      <c r="B975">
        <f>IF(IF(EXACT("Hybrid",'Model inputs'!AA86)="",FALSE,EXACT("Hybrid",'Model inputs'!AA86)),IF('Model inputs'!U102="","",'Model inputs'!U102),"")</f>
      </c>
    </row>
    <row r="976">
      <c r="A976" t="inlineStr" s="14">
        <is>
          <t xml:space="preserve">Calculation</t>
        </is>
      </c>
      <c r="B976">
        <f>IF(IF(EXACT("Per audit — base",'Model inputs'!AA86)="",FALSE,EXACT("Per audit — base",'Model inputs'!AA86)),IF('Model inputs'!U103="","",'Model inputs'!U103),"")</f>
      </c>
    </row>
    <row r="977">
      <c r="A977" t="inlineStr" s="14">
        <is>
          <t xml:space="preserve">Calculation</t>
        </is>
      </c>
      <c r="B977">
        <f>IF(IF(EXACT("Per audit — high",'Model inputs'!AA86)="",FALSE,EXACT("Per audit — high",'Model inputs'!AA86)),IF('Model inputs'!U104="","",'Model inputs'!U104),"")</f>
      </c>
    </row>
    <row r="978">
      <c r="A978" t="inlineStr" s="14">
        <is>
          <t xml:space="preserve">Calculation</t>
        </is>
      </c>
      <c r="B978">
        <f>IF(IF(EXACT("Per audit — low",'Model inputs'!AA86)="",FALSE,EXACT("Per audit — low",'Model inputs'!AA86)),IF('Model inputs'!U105="","",'Model inputs'!U105),"")</f>
      </c>
    </row>
    <row r="979">
      <c r="A979" t="inlineStr" s="14">
        <is>
          <t xml:space="preserve">Calculation</t>
        </is>
      </c>
      <c r="B979">
        <f>IF(IF(EXACT("Annual deal-team",'Model inputs'!AA86)="",FALSE,EXACT("Annual deal-team",'Model inputs'!AA86)),IF('Model inputs'!V101="","",'Model inputs'!V101),"")</f>
      </c>
    </row>
    <row r="980">
      <c r="A980" t="inlineStr" s="14">
        <is>
          <t xml:space="preserve">Calculation</t>
        </is>
      </c>
      <c r="B980">
        <f>IF(IF(EXACT("Hybrid",'Model inputs'!AA86)="",FALSE,EXACT("Hybrid",'Model inputs'!AA86)),IF('Model inputs'!V102="","",'Model inputs'!V102),"")</f>
      </c>
    </row>
    <row r="981">
      <c r="A981" t="inlineStr" s="14">
        <is>
          <t xml:space="preserve">Calculation</t>
        </is>
      </c>
      <c r="B981">
        <f>IF(IF(EXACT("Per audit — base",'Model inputs'!AA86)="",FALSE,EXACT("Per audit — base",'Model inputs'!AA86)),IF('Model inputs'!V103="","",'Model inputs'!V103),"")</f>
      </c>
    </row>
    <row r="982">
      <c r="A982" t="inlineStr" s="14">
        <is>
          <t xml:space="preserve">Calculation</t>
        </is>
      </c>
      <c r="B982">
        <f>IF(IF(EXACT("Per audit — high",'Model inputs'!AA86)="",FALSE,EXACT("Per audit — high",'Model inputs'!AA86)),IF('Model inputs'!V104="","",'Model inputs'!V104),"")</f>
      </c>
    </row>
    <row r="983">
      <c r="A983" t="inlineStr" s="14">
        <is>
          <t xml:space="preserve">Calculation</t>
        </is>
      </c>
      <c r="B983">
        <f>IF(IF(EXACT("Per audit — low",'Model inputs'!AA86)="",FALSE,EXACT("Per audit — low",'Model inputs'!AA86)),IF('Model inputs'!V105="","",'Model inputs'!V105),"")</f>
      </c>
    </row>
    <row r="984">
      <c r="A984" t="inlineStr" s="14">
        <is>
          <t xml:space="preserve">Calculation</t>
        </is>
      </c>
      <c r="B984">
        <f>IF(IF(EXACT("Annual deal-team",'Model inputs'!AA86)="",FALSE,EXACT("Annual deal-team",'Model inputs'!AA86)),IF('Model inputs'!W101="","",'Model inputs'!W101),"")</f>
      </c>
    </row>
    <row r="985">
      <c r="A985" t="inlineStr" s="14">
        <is>
          <t xml:space="preserve">Calculation</t>
        </is>
      </c>
      <c r="B985">
        <f>IF(IF(EXACT("Hybrid",'Model inputs'!AA86)="",FALSE,EXACT("Hybrid",'Model inputs'!AA86)),IF('Model inputs'!W102="","",'Model inputs'!W102),"")</f>
      </c>
    </row>
    <row r="986">
      <c r="A986" t="inlineStr" s="14">
        <is>
          <t xml:space="preserve">Calculation</t>
        </is>
      </c>
      <c r="B986">
        <f>IF(IF(EXACT("Per audit — base",'Model inputs'!AA86)="",FALSE,EXACT("Per audit — base",'Model inputs'!AA86)),IF('Model inputs'!W103="","",'Model inputs'!W103),"")</f>
      </c>
    </row>
    <row r="987">
      <c r="A987" t="inlineStr" s="14">
        <is>
          <t xml:space="preserve">Calculation</t>
        </is>
      </c>
      <c r="B987">
        <f>IF(IF(EXACT("Per audit — high",'Model inputs'!AA86)="",FALSE,EXACT("Per audit — high",'Model inputs'!AA86)),IF('Model inputs'!W104="","",'Model inputs'!W104),"")</f>
      </c>
    </row>
    <row r="988">
      <c r="A988" t="inlineStr" s="14">
        <is>
          <t xml:space="preserve">Calculation</t>
        </is>
      </c>
      <c r="B988">
        <f>IF(IF(EXACT("Per audit — low",'Model inputs'!AA86)="",FALSE,EXACT("Per audit — low",'Model inputs'!AA86)),IF('Model inputs'!W105="","",'Model inputs'!W105),"")</f>
      </c>
    </row>
    <row r="989">
      <c r="A989" t="inlineStr" s="14">
        <is>
          <t xml:space="preserve">Calculation</t>
        </is>
      </c>
      <c r="B989">
        <f>IF(IF(EXACT("Annual deal-team",'Model inputs'!AA86)="",FALSE,EXACT("Annual deal-team",'Model inputs'!AA86)),IF('Model inputs'!X101="","",'Model inputs'!X101),"")</f>
      </c>
    </row>
    <row r="990">
      <c r="A990" t="inlineStr" s="14">
        <is>
          <t xml:space="preserve">Calculation</t>
        </is>
      </c>
      <c r="B990">
        <f>IF(IF(EXACT("Hybrid",'Model inputs'!AA86)="",FALSE,EXACT("Hybrid",'Model inputs'!AA86)),IF('Model inputs'!X102="","",'Model inputs'!X102),"")</f>
      </c>
    </row>
    <row r="991">
      <c r="A991" t="inlineStr" s="14">
        <is>
          <t xml:space="preserve">Calculation</t>
        </is>
      </c>
      <c r="B991">
        <f>IF(IF(EXACT("Per audit — base",'Model inputs'!AA86)="",FALSE,EXACT("Per audit — base",'Model inputs'!AA86)),IF('Model inputs'!X103="","",'Model inputs'!X103),"")</f>
      </c>
    </row>
    <row r="992">
      <c r="A992" t="inlineStr" s="14">
        <is>
          <t xml:space="preserve">Calculation</t>
        </is>
      </c>
      <c r="B992">
        <f>IF(IF(EXACT("Per audit — high",'Model inputs'!AA86)="",FALSE,EXACT("Per audit — high",'Model inputs'!AA86)),IF('Model inputs'!X104="","",'Model inputs'!X104),"")</f>
      </c>
    </row>
    <row r="993">
      <c r="A993" t="inlineStr" s="14">
        <is>
          <t xml:space="preserve">Calculation</t>
        </is>
      </c>
      <c r="B993">
        <f>IF(IF(EXACT("Per audit — low",'Model inputs'!AA86)="",FALSE,EXACT("Per audit — low",'Model inputs'!AA86)),IF('Model inputs'!X105="","",'Model inputs'!X105),"")</f>
      </c>
    </row>
    <row r="994">
      <c r="A994" t="inlineStr" s="14">
        <is>
          <t xml:space="preserve">Calculation</t>
        </is>
      </c>
      <c r="B994">
        <f>IF(IF(EXACT("Annual deal-team",'Model inputs'!AA86)="",FALSE,EXACT("Annual deal-team",'Model inputs'!AA86)),IF('Model inputs'!Y101="","",'Model inputs'!Y101),"")</f>
      </c>
    </row>
    <row r="995">
      <c r="A995" t="inlineStr" s="14">
        <is>
          <t xml:space="preserve">Calculation</t>
        </is>
      </c>
      <c r="B995">
        <f>IF(IF(EXACT("Hybrid",'Model inputs'!AA86)="",FALSE,EXACT("Hybrid",'Model inputs'!AA86)),IF('Model inputs'!Y102="","",'Model inputs'!Y102),"")</f>
      </c>
    </row>
    <row r="996">
      <c r="A996" t="inlineStr" s="14">
        <is>
          <t xml:space="preserve">Calculation</t>
        </is>
      </c>
      <c r="B996">
        <f>IF(IF(EXACT("Per audit — base",'Model inputs'!AA86)="",FALSE,EXACT("Per audit — base",'Model inputs'!AA86)),IF('Model inputs'!Y103="","",'Model inputs'!Y103),"")</f>
      </c>
    </row>
    <row r="997">
      <c r="A997" t="inlineStr" s="14">
        <is>
          <t xml:space="preserve">Calculation</t>
        </is>
      </c>
      <c r="B997">
        <f>IF(IF(EXACT("Per audit — high",'Model inputs'!AA86)="",FALSE,EXACT("Per audit — high",'Model inputs'!AA86)),IF('Model inputs'!Y104="","",'Model inputs'!Y104),"")</f>
      </c>
    </row>
    <row r="998">
      <c r="A998" t="inlineStr" s="14">
        <is>
          <t xml:space="preserve">Calculation</t>
        </is>
      </c>
      <c r="B998">
        <f>IF(IF(EXACT("Per audit — low",'Model inputs'!AA86)="",FALSE,EXACT("Per audit — low",'Model inputs'!AA86)),IF('Model inputs'!Y105="","",'Model inputs'!Y105),"")</f>
      </c>
    </row>
    <row r="999">
      <c r="A999" t="inlineStr" s="14">
        <is>
          <t xml:space="preserve">Calculation</t>
        </is>
      </c>
      <c r="B999">
        <f>IF(IF(EXACT("Annual deal-team",'Model inputs'!AA86)="",FALSE,EXACT("Annual deal-team",'Model inputs'!AA86)),IF('Model inputs'!Z101="","",'Model inputs'!Z101),"")</f>
      </c>
    </row>
    <row r="1000">
      <c r="A1000" t="inlineStr" s="14">
        <is>
          <t xml:space="preserve">Calculation</t>
        </is>
      </c>
      <c r="B1000">
        <f>IF(IF(EXACT("Hybrid",'Model inputs'!AA86)="",FALSE,EXACT("Hybrid",'Model inputs'!AA86)),IF('Model inputs'!Z102="","",'Model inputs'!Z102),"")</f>
      </c>
    </row>
    <row r="1001">
      <c r="A1001" t="inlineStr" s="14">
        <is>
          <t xml:space="preserve">Calculation</t>
        </is>
      </c>
      <c r="B1001">
        <f>IF(IF(EXACT("Per audit — base",'Model inputs'!AA86)="",FALSE,EXACT("Per audit — base",'Model inputs'!AA86)),IF('Model inputs'!Z103="","",'Model inputs'!Z103),"")</f>
      </c>
    </row>
    <row r="1002">
      <c r="A1002" t="inlineStr" s="14">
        <is>
          <t xml:space="preserve">Calculation</t>
        </is>
      </c>
      <c r="B1002">
        <f>IF(IF(EXACT("Per audit — high",'Model inputs'!AA86)="",FALSE,EXACT("Per audit — high",'Model inputs'!AA86)),IF('Model inputs'!Z104="","",'Model inputs'!Z104),"")</f>
      </c>
    </row>
    <row r="1003">
      <c r="A1003" t="inlineStr" s="14">
        <is>
          <t xml:space="preserve">Calculation</t>
        </is>
      </c>
      <c r="B1003">
        <f>IF(IF(EXACT("Per audit — low",'Model inputs'!AA86)="",FALSE,EXACT("Per audit — low",'Model inputs'!AA86)),IF('Model inputs'!Z105="","",'Model inputs'!Z105),"")</f>
      </c>
    </row>
    <row r="1004">
      <c r="A1004" t="inlineStr" s="14">
        <is>
          <t xml:space="preserve">Calculation</t>
        </is>
      </c>
      <c r="B1004">
        <f>IF(IF(EXACT("Annual deal-team",'Model inputs'!AA87)="",FALSE,EXACT("Annual deal-team",'Model inputs'!AA87)),IF('Model inputs'!L107="","",'Model inputs'!L107),"")</f>
      </c>
    </row>
    <row r="1005">
      <c r="A1005" t="inlineStr" s="14">
        <is>
          <t xml:space="preserve">Calculation</t>
        </is>
      </c>
      <c r="B1005">
        <f>IF(IF(EXACT("Hybrid",'Model inputs'!AA87)="",FALSE,EXACT("Hybrid",'Model inputs'!AA87)),IF('Model inputs'!L108="","",'Model inputs'!L108),"")</f>
      </c>
    </row>
    <row r="1006">
      <c r="A1006" t="inlineStr" s="14">
        <is>
          <t xml:space="preserve">Calculation</t>
        </is>
      </c>
      <c r="B1006">
        <f>IF(IF(EXACT("Per audit — base",'Model inputs'!AA87)="",FALSE,EXACT("Per audit — base",'Model inputs'!AA87)),IF('Model inputs'!L109="","",'Model inputs'!L109),"")</f>
      </c>
    </row>
    <row r="1007">
      <c r="A1007" t="inlineStr" s="14">
        <is>
          <t xml:space="preserve">Calculation</t>
        </is>
      </c>
      <c r="B1007">
        <f>IF(IF(EXACT("Per audit — high",'Model inputs'!AA87)="",FALSE,EXACT("Per audit — high",'Model inputs'!AA87)),IF('Model inputs'!L110="","",'Model inputs'!L110),"")</f>
      </c>
    </row>
    <row r="1008">
      <c r="A1008" t="inlineStr" s="14">
        <is>
          <t xml:space="preserve">Calculation</t>
        </is>
      </c>
      <c r="B1008">
        <f>IF(IF(EXACT("Per audit — low",'Model inputs'!AA87)="",FALSE,EXACT("Per audit — low",'Model inputs'!AA87)),IF('Model inputs'!L111="","",'Model inputs'!L111),"")</f>
      </c>
    </row>
    <row r="1009">
      <c r="A1009" t="inlineStr" s="14">
        <is>
          <t xml:space="preserve">Calculation</t>
        </is>
      </c>
      <c r="B1009">
        <f>IF(IF(EXACT("Annual deal-team",'Model inputs'!AA87)="",FALSE,EXACT("Annual deal-team",'Model inputs'!AA87)),IF('Model inputs'!M107="","",'Model inputs'!M107),"")</f>
      </c>
    </row>
    <row r="1010">
      <c r="A1010" t="inlineStr" s="14">
        <is>
          <t xml:space="preserve">Calculation</t>
        </is>
      </c>
      <c r="B1010">
        <f>IF(IF(EXACT("Hybrid",'Model inputs'!AA87)="",FALSE,EXACT("Hybrid",'Model inputs'!AA87)),IF('Model inputs'!M108="","",'Model inputs'!M108),"")</f>
      </c>
    </row>
    <row r="1011">
      <c r="A1011" t="inlineStr" s="14">
        <is>
          <t xml:space="preserve">Calculation</t>
        </is>
      </c>
      <c r="B1011">
        <f>IF(IF(EXACT("Per audit — base",'Model inputs'!AA87)="",FALSE,EXACT("Per audit — base",'Model inputs'!AA87)),IF('Model inputs'!M109="","",'Model inputs'!M109),"")</f>
      </c>
    </row>
    <row r="1012">
      <c r="A1012" t="inlineStr" s="14">
        <is>
          <t xml:space="preserve">Calculation</t>
        </is>
      </c>
      <c r="B1012">
        <f>IF(IF(EXACT("Per audit — high",'Model inputs'!AA87)="",FALSE,EXACT("Per audit — high",'Model inputs'!AA87)),IF('Model inputs'!M110="","",'Model inputs'!M110),"")</f>
      </c>
    </row>
    <row r="1013">
      <c r="A1013" t="inlineStr" s="14">
        <is>
          <t xml:space="preserve">Calculation</t>
        </is>
      </c>
      <c r="B1013">
        <f>IF(IF(EXACT("Per audit — low",'Model inputs'!AA87)="",FALSE,EXACT("Per audit — low",'Model inputs'!AA87)),IF('Model inputs'!M111="","",'Model inputs'!M111),"")</f>
      </c>
    </row>
    <row r="1014">
      <c r="A1014" t="inlineStr" s="14">
        <is>
          <t xml:space="preserve">Calculation</t>
        </is>
      </c>
      <c r="B1014">
        <f>IF(IF(EXACT("Annual deal-team",'Model inputs'!AA87)="",FALSE,EXACT("Annual deal-team",'Model inputs'!AA87)),IF('Model inputs'!N107="","",'Model inputs'!N107),"")</f>
      </c>
    </row>
    <row r="1015">
      <c r="A1015" t="inlineStr" s="14">
        <is>
          <t xml:space="preserve">Calculation</t>
        </is>
      </c>
      <c r="B1015">
        <f>IF(IF(EXACT("Hybrid",'Model inputs'!AA87)="",FALSE,EXACT("Hybrid",'Model inputs'!AA87)),IF('Model inputs'!N108="","",'Model inputs'!N108),"")</f>
      </c>
    </row>
    <row r="1016">
      <c r="A1016" t="inlineStr" s="14">
        <is>
          <t xml:space="preserve">Calculation</t>
        </is>
      </c>
      <c r="B1016">
        <f>IF(IF(EXACT("Per audit — base",'Model inputs'!AA87)="",FALSE,EXACT("Per audit — base",'Model inputs'!AA87)),IF('Model inputs'!N109="","",'Model inputs'!N109),"")</f>
      </c>
    </row>
    <row r="1017">
      <c r="A1017" t="inlineStr" s="14">
        <is>
          <t xml:space="preserve">Calculation</t>
        </is>
      </c>
      <c r="B1017">
        <f>IF(IF(EXACT("Per audit — high",'Model inputs'!AA87)="",FALSE,EXACT("Per audit — high",'Model inputs'!AA87)),IF('Model inputs'!N110="","",'Model inputs'!N110),"")</f>
      </c>
    </row>
    <row r="1018">
      <c r="A1018" t="inlineStr" s="14">
        <is>
          <t xml:space="preserve">Calculation</t>
        </is>
      </c>
      <c r="B1018">
        <f>IF(IF(EXACT("Per audit — low",'Model inputs'!AA87)="",FALSE,EXACT("Per audit — low",'Model inputs'!AA87)),IF('Model inputs'!N111="","",'Model inputs'!N111),"")</f>
      </c>
    </row>
    <row r="1019">
      <c r="A1019" t="inlineStr" s="14">
        <is>
          <t xml:space="preserve">Calculation</t>
        </is>
      </c>
      <c r="B1019">
        <f>IF(IF(EXACT("Annual deal-team",'Model inputs'!AA87)="",FALSE,EXACT("Annual deal-team",'Model inputs'!AA87)),IF('Model inputs'!O107="","",'Model inputs'!O107),"")</f>
      </c>
    </row>
    <row r="1020">
      <c r="A1020" t="inlineStr" s="14">
        <is>
          <t xml:space="preserve">Calculation</t>
        </is>
      </c>
      <c r="B1020">
        <f>IF(IF(EXACT("Hybrid",'Model inputs'!AA87)="",FALSE,EXACT("Hybrid",'Model inputs'!AA87)),IF('Model inputs'!O108="","",'Model inputs'!O108),"")</f>
      </c>
    </row>
    <row r="1021">
      <c r="A1021" t="inlineStr" s="14">
        <is>
          <t xml:space="preserve">Calculation</t>
        </is>
      </c>
      <c r="B1021">
        <f>IF(IF(EXACT("Per audit — base",'Model inputs'!AA87)="",FALSE,EXACT("Per audit — base",'Model inputs'!AA87)),IF('Model inputs'!O109="","",'Model inputs'!O109),"")</f>
      </c>
    </row>
    <row r="1022">
      <c r="A1022" t="inlineStr" s="14">
        <is>
          <t xml:space="preserve">Calculation</t>
        </is>
      </c>
      <c r="B1022">
        <f>IF(IF(EXACT("Per audit — high",'Model inputs'!AA87)="",FALSE,EXACT("Per audit — high",'Model inputs'!AA87)),IF('Model inputs'!O110="","",'Model inputs'!O110),"")</f>
      </c>
    </row>
    <row r="1023">
      <c r="A1023" t="inlineStr" s="14">
        <is>
          <t xml:space="preserve">Calculation</t>
        </is>
      </c>
      <c r="B1023">
        <f>IF(IF(EXACT("Per audit — low",'Model inputs'!AA87)="",FALSE,EXACT("Per audit — low",'Model inputs'!AA87)),IF('Model inputs'!O111="","",'Model inputs'!O111),"")</f>
      </c>
    </row>
    <row r="1024">
      <c r="A1024" t="inlineStr" s="14">
        <is>
          <t xml:space="preserve">Calculation</t>
        </is>
      </c>
      <c r="B1024">
        <f>IF(IF(EXACT("Annual deal-team",'Model inputs'!AA87)="",FALSE,EXACT("Annual deal-team",'Model inputs'!AA87)),IF('Model inputs'!P107="","",'Model inputs'!P107),"")</f>
      </c>
    </row>
    <row r="1025">
      <c r="A1025" t="inlineStr" s="14">
        <is>
          <t xml:space="preserve">Calculation</t>
        </is>
      </c>
      <c r="B1025">
        <f>IF(IF(EXACT("Hybrid",'Model inputs'!AA87)="",FALSE,EXACT("Hybrid",'Model inputs'!AA87)),IF('Model inputs'!P108="","",'Model inputs'!P108),"")</f>
      </c>
    </row>
    <row r="1026">
      <c r="A1026" t="inlineStr" s="14">
        <is>
          <t xml:space="preserve">Calculation</t>
        </is>
      </c>
      <c r="B1026">
        <f>IF(IF(EXACT("Per audit — base",'Model inputs'!AA87)="",FALSE,EXACT("Per audit — base",'Model inputs'!AA87)),IF('Model inputs'!P109="","",'Model inputs'!P109),"")</f>
      </c>
    </row>
    <row r="1027">
      <c r="A1027" t="inlineStr" s="14">
        <is>
          <t xml:space="preserve">Calculation</t>
        </is>
      </c>
      <c r="B1027">
        <f>IF(IF(EXACT("Per audit — high",'Model inputs'!AA87)="",FALSE,EXACT("Per audit — high",'Model inputs'!AA87)),IF('Model inputs'!P110="","",'Model inputs'!P110),"")</f>
      </c>
    </row>
    <row r="1028">
      <c r="A1028" t="inlineStr" s="14">
        <is>
          <t xml:space="preserve">Calculation</t>
        </is>
      </c>
      <c r="B1028">
        <f>IF(IF(EXACT("Per audit — low",'Model inputs'!AA87)="",FALSE,EXACT("Per audit — low",'Model inputs'!AA87)),IF('Model inputs'!P111="","",'Model inputs'!P111),"")</f>
      </c>
    </row>
    <row r="1029">
      <c r="A1029" t="inlineStr" s="14">
        <is>
          <t xml:space="preserve">Calculation</t>
        </is>
      </c>
      <c r="B1029">
        <f>IF(IF(EXACT("Annual deal-team",'Model inputs'!AA87)="",FALSE,EXACT("Annual deal-team",'Model inputs'!AA87)),IF('Model inputs'!Q107="","",'Model inputs'!Q107),"")</f>
      </c>
    </row>
    <row r="1030">
      <c r="A1030" t="inlineStr" s="14">
        <is>
          <t xml:space="preserve">Calculation</t>
        </is>
      </c>
      <c r="B1030">
        <f>IF(IF(EXACT("Hybrid",'Model inputs'!AA87)="",FALSE,EXACT("Hybrid",'Model inputs'!AA87)),IF('Model inputs'!Q108="","",'Model inputs'!Q108),"")</f>
      </c>
    </row>
    <row r="1031">
      <c r="A1031" t="inlineStr" s="14">
        <is>
          <t xml:space="preserve">Calculation</t>
        </is>
      </c>
      <c r="B1031">
        <f>IF(IF(EXACT("Per audit — base",'Model inputs'!AA87)="",FALSE,EXACT("Per audit — base",'Model inputs'!AA87)),IF('Model inputs'!Q109="","",'Model inputs'!Q109),"")</f>
      </c>
    </row>
    <row r="1032">
      <c r="A1032" t="inlineStr" s="14">
        <is>
          <t xml:space="preserve">Calculation</t>
        </is>
      </c>
      <c r="B1032">
        <f>IF(IF(EXACT("Per audit — high",'Model inputs'!AA87)="",FALSE,EXACT("Per audit — high",'Model inputs'!AA87)),IF('Model inputs'!Q110="","",'Model inputs'!Q110),"")</f>
      </c>
    </row>
    <row r="1033">
      <c r="A1033" t="inlineStr" s="14">
        <is>
          <t xml:space="preserve">Calculation</t>
        </is>
      </c>
      <c r="B1033">
        <f>IF(IF(EXACT("Per audit — low",'Model inputs'!AA87)="",FALSE,EXACT("Per audit — low",'Model inputs'!AA87)),IF('Model inputs'!Q111="","",'Model inputs'!Q111),"")</f>
      </c>
    </row>
    <row r="1034">
      <c r="A1034" t="inlineStr" s="14">
        <is>
          <t xml:space="preserve">Calculation</t>
        </is>
      </c>
      <c r="B1034">
        <f>IF(IF(EXACT("Annual deal-team",'Model inputs'!AA87)="",FALSE,EXACT("Annual deal-team",'Model inputs'!AA87)),IF('Model inputs'!R107="","",'Model inputs'!R107),"")</f>
      </c>
    </row>
    <row r="1035">
      <c r="A1035" t="inlineStr" s="14">
        <is>
          <t xml:space="preserve">Calculation</t>
        </is>
      </c>
      <c r="B1035">
        <f>IF(IF(EXACT("Hybrid",'Model inputs'!AA87)="",FALSE,EXACT("Hybrid",'Model inputs'!AA87)),IF('Model inputs'!R108="","",'Model inputs'!R108),"")</f>
      </c>
    </row>
    <row r="1036">
      <c r="A1036" t="inlineStr" s="14">
        <is>
          <t xml:space="preserve">Calculation</t>
        </is>
      </c>
      <c r="B1036">
        <f>IF(IF(EXACT("Per audit — base",'Model inputs'!AA87)="",FALSE,EXACT("Per audit — base",'Model inputs'!AA87)),IF('Model inputs'!R109="","",'Model inputs'!R109),"")</f>
      </c>
    </row>
    <row r="1037">
      <c r="A1037" t="inlineStr" s="14">
        <is>
          <t xml:space="preserve">Calculation</t>
        </is>
      </c>
      <c r="B1037">
        <f>IF(IF(EXACT("Per audit — high",'Model inputs'!AA87)="",FALSE,EXACT("Per audit — high",'Model inputs'!AA87)),IF('Model inputs'!R110="","",'Model inputs'!R110),"")</f>
      </c>
    </row>
    <row r="1038">
      <c r="A1038" t="inlineStr" s="14">
        <is>
          <t xml:space="preserve">Calculation</t>
        </is>
      </c>
      <c r="B1038">
        <f>IF(IF(EXACT("Per audit — low",'Model inputs'!AA87)="",FALSE,EXACT("Per audit — low",'Model inputs'!AA87)),IF('Model inputs'!R111="","",'Model inputs'!R111),"")</f>
      </c>
    </row>
    <row r="1039">
      <c r="A1039" t="inlineStr" s="14">
        <is>
          <t xml:space="preserve">Calculation</t>
        </is>
      </c>
      <c r="B1039">
        <f>IF(IF(EXACT("Annual deal-team",'Model inputs'!AA87)="",FALSE,EXACT("Annual deal-team",'Model inputs'!AA87)),IF('Model inputs'!S107="","",'Model inputs'!S107),"")</f>
      </c>
    </row>
    <row r="1040">
      <c r="A1040" t="inlineStr" s="14">
        <is>
          <t xml:space="preserve">Calculation</t>
        </is>
      </c>
      <c r="B1040">
        <f>IF(IF(EXACT("Hybrid",'Model inputs'!AA87)="",FALSE,EXACT("Hybrid",'Model inputs'!AA87)),IF('Model inputs'!S108="","",'Model inputs'!S108),"")</f>
      </c>
    </row>
    <row r="1041">
      <c r="A1041" t="inlineStr" s="14">
        <is>
          <t xml:space="preserve">Calculation</t>
        </is>
      </c>
      <c r="B1041">
        <f>IF(IF(EXACT("Per audit — base",'Model inputs'!AA87)="",FALSE,EXACT("Per audit — base",'Model inputs'!AA87)),IF('Model inputs'!S109="","",'Model inputs'!S109),"")</f>
      </c>
    </row>
    <row r="1042">
      <c r="A1042" t="inlineStr" s="14">
        <is>
          <t xml:space="preserve">Calculation</t>
        </is>
      </c>
      <c r="B1042">
        <f>IF(IF(EXACT("Per audit — high",'Model inputs'!AA87)="",FALSE,EXACT("Per audit — high",'Model inputs'!AA87)),IF('Model inputs'!S110="","",'Model inputs'!S110),"")</f>
      </c>
    </row>
    <row r="1043">
      <c r="A1043" t="inlineStr" s="14">
        <is>
          <t xml:space="preserve">Calculation</t>
        </is>
      </c>
      <c r="B1043">
        <f>IF(IF(EXACT("Per audit — low",'Model inputs'!AA87)="",FALSE,EXACT("Per audit — low",'Model inputs'!AA87)),IF('Model inputs'!S111="","",'Model inputs'!S111),"")</f>
      </c>
    </row>
    <row r="1044">
      <c r="A1044" t="inlineStr" s="14">
        <is>
          <t xml:space="preserve">Calculation</t>
        </is>
      </c>
      <c r="B1044">
        <f>IF(IF(EXACT("Annual deal-team",'Model inputs'!AA87)="",FALSE,EXACT("Annual deal-team",'Model inputs'!AA87)),IF('Model inputs'!T107="","",'Model inputs'!T107),"")</f>
      </c>
    </row>
    <row r="1045">
      <c r="A1045" t="inlineStr" s="14">
        <is>
          <t xml:space="preserve">Calculation</t>
        </is>
      </c>
      <c r="B1045">
        <f>IF(IF(EXACT("Hybrid",'Model inputs'!AA87)="",FALSE,EXACT("Hybrid",'Model inputs'!AA87)),IF('Model inputs'!T108="","",'Model inputs'!T108),"")</f>
      </c>
    </row>
    <row r="1046">
      <c r="A1046" t="inlineStr" s="14">
        <is>
          <t xml:space="preserve">Calculation</t>
        </is>
      </c>
      <c r="B1046">
        <f>IF(IF(EXACT("Per audit — base",'Model inputs'!AA87)="",FALSE,EXACT("Per audit — base",'Model inputs'!AA87)),IF('Model inputs'!T109="","",'Model inputs'!T109),"")</f>
      </c>
    </row>
    <row r="1047">
      <c r="A1047" t="inlineStr" s="14">
        <is>
          <t xml:space="preserve">Calculation</t>
        </is>
      </c>
      <c r="B1047">
        <f>IF(IF(EXACT("Per audit — high",'Model inputs'!AA87)="",FALSE,EXACT("Per audit — high",'Model inputs'!AA87)),IF('Model inputs'!T110="","",'Model inputs'!T110),"")</f>
      </c>
    </row>
    <row r="1048">
      <c r="A1048" t="inlineStr" s="14">
        <is>
          <t xml:space="preserve">Calculation</t>
        </is>
      </c>
      <c r="B1048">
        <f>IF(IF(EXACT("Per audit — low",'Model inputs'!AA87)="",FALSE,EXACT("Per audit — low",'Model inputs'!AA87)),IF('Model inputs'!T111="","",'Model inputs'!T111),"")</f>
      </c>
    </row>
    <row r="1049">
      <c r="A1049" t="inlineStr" s="14">
        <is>
          <t xml:space="preserve">Calculation</t>
        </is>
      </c>
      <c r="B1049">
        <f>IF(IF(EXACT("Annual deal-team",'Model inputs'!AA87)="",FALSE,EXACT("Annual deal-team",'Model inputs'!AA87)),IF('Model inputs'!U107="","",'Model inputs'!U107),"")</f>
      </c>
    </row>
    <row r="1050">
      <c r="A1050" t="inlineStr" s="14">
        <is>
          <t xml:space="preserve">Calculation</t>
        </is>
      </c>
      <c r="B1050">
        <f>IF(IF(EXACT("Hybrid",'Model inputs'!AA87)="",FALSE,EXACT("Hybrid",'Model inputs'!AA87)),IF('Model inputs'!U108="","",'Model inputs'!U108),"")</f>
      </c>
    </row>
    <row r="1051">
      <c r="A1051" t="inlineStr" s="14">
        <is>
          <t xml:space="preserve">Calculation</t>
        </is>
      </c>
      <c r="B1051">
        <f>IF(IF(EXACT("Per audit — base",'Model inputs'!AA87)="",FALSE,EXACT("Per audit — base",'Model inputs'!AA87)),IF('Model inputs'!U109="","",'Model inputs'!U109),"")</f>
      </c>
    </row>
    <row r="1052">
      <c r="A1052" t="inlineStr" s="14">
        <is>
          <t xml:space="preserve">Calculation</t>
        </is>
      </c>
      <c r="B1052">
        <f>IF(IF(EXACT("Per audit — high",'Model inputs'!AA87)="",FALSE,EXACT("Per audit — high",'Model inputs'!AA87)),IF('Model inputs'!U110="","",'Model inputs'!U110),"")</f>
      </c>
    </row>
    <row r="1053">
      <c r="A1053" t="inlineStr" s="14">
        <is>
          <t xml:space="preserve">Calculation</t>
        </is>
      </c>
      <c r="B1053">
        <f>IF(IF(EXACT("Per audit — low",'Model inputs'!AA87)="",FALSE,EXACT("Per audit — low",'Model inputs'!AA87)),IF('Model inputs'!U111="","",'Model inputs'!U111),"")</f>
      </c>
    </row>
    <row r="1054">
      <c r="A1054" t="inlineStr" s="14">
        <is>
          <t xml:space="preserve">Calculation</t>
        </is>
      </c>
      <c r="B1054">
        <f>IF(IF(EXACT("Annual deal-team",'Model inputs'!AA87)="",FALSE,EXACT("Annual deal-team",'Model inputs'!AA87)),IF('Model inputs'!V107="","",'Model inputs'!V107),"")</f>
      </c>
    </row>
    <row r="1055">
      <c r="A1055" t="inlineStr" s="14">
        <is>
          <t xml:space="preserve">Calculation</t>
        </is>
      </c>
      <c r="B1055">
        <f>IF(IF(EXACT("Hybrid",'Model inputs'!AA87)="",FALSE,EXACT("Hybrid",'Model inputs'!AA87)),IF('Model inputs'!V108="","",'Model inputs'!V108),"")</f>
      </c>
    </row>
    <row r="1056">
      <c r="A1056" t="inlineStr" s="14">
        <is>
          <t xml:space="preserve">Calculation</t>
        </is>
      </c>
      <c r="B1056">
        <f>IF(IF(EXACT("Per audit — base",'Model inputs'!AA87)="",FALSE,EXACT("Per audit — base",'Model inputs'!AA87)),IF('Model inputs'!V109="","",'Model inputs'!V109),"")</f>
      </c>
    </row>
    <row r="1057">
      <c r="A1057" t="inlineStr" s="14">
        <is>
          <t xml:space="preserve">Calculation</t>
        </is>
      </c>
      <c r="B1057">
        <f>IF(IF(EXACT("Per audit — high",'Model inputs'!AA87)="",FALSE,EXACT("Per audit — high",'Model inputs'!AA87)),IF('Model inputs'!V110="","",'Model inputs'!V110),"")</f>
      </c>
    </row>
    <row r="1058">
      <c r="A1058" t="inlineStr" s="14">
        <is>
          <t xml:space="preserve">Calculation</t>
        </is>
      </c>
      <c r="B1058">
        <f>IF(IF(EXACT("Per audit — low",'Model inputs'!AA87)="",FALSE,EXACT("Per audit — low",'Model inputs'!AA87)),IF('Model inputs'!V111="","",'Model inputs'!V111),"")</f>
      </c>
    </row>
    <row r="1059">
      <c r="A1059" t="inlineStr" s="14">
        <is>
          <t xml:space="preserve">Calculation</t>
        </is>
      </c>
      <c r="B1059">
        <f>IF(IF(EXACT("Annual deal-team",'Model inputs'!AA87)="",FALSE,EXACT("Annual deal-team",'Model inputs'!AA87)),IF('Model inputs'!W107="","",'Model inputs'!W107),"")</f>
      </c>
    </row>
    <row r="1060">
      <c r="A1060" t="inlineStr" s="14">
        <is>
          <t xml:space="preserve">Calculation</t>
        </is>
      </c>
      <c r="B1060">
        <f>IF(IF(EXACT("Hybrid",'Model inputs'!AA87)="",FALSE,EXACT("Hybrid",'Model inputs'!AA87)),IF('Model inputs'!W108="","",'Model inputs'!W108),"")</f>
      </c>
    </row>
    <row r="1061">
      <c r="A1061" t="inlineStr" s="14">
        <is>
          <t xml:space="preserve">Calculation</t>
        </is>
      </c>
      <c r="B1061">
        <f>IF(IF(EXACT("Per audit — base",'Model inputs'!AA87)="",FALSE,EXACT("Per audit — base",'Model inputs'!AA87)),IF('Model inputs'!W109="","",'Model inputs'!W109),"")</f>
      </c>
    </row>
    <row r="1062">
      <c r="A1062" t="inlineStr" s="14">
        <is>
          <t xml:space="preserve">Calculation</t>
        </is>
      </c>
      <c r="B1062">
        <f>IF(IF(EXACT("Per audit — high",'Model inputs'!AA87)="",FALSE,EXACT("Per audit — high",'Model inputs'!AA87)),IF('Model inputs'!W110="","",'Model inputs'!W110),"")</f>
      </c>
    </row>
    <row r="1063">
      <c r="A1063" t="inlineStr" s="14">
        <is>
          <t xml:space="preserve">Calculation</t>
        </is>
      </c>
      <c r="B1063">
        <f>IF(IF(EXACT("Per audit — low",'Model inputs'!AA87)="",FALSE,EXACT("Per audit — low",'Model inputs'!AA87)),IF('Model inputs'!W111="","",'Model inputs'!W111),"")</f>
      </c>
    </row>
    <row r="1064">
      <c r="A1064" t="inlineStr" s="14">
        <is>
          <t xml:space="preserve">Calculation</t>
        </is>
      </c>
      <c r="B1064">
        <f>IF(IF(EXACT("Annual deal-team",'Model inputs'!AA87)="",FALSE,EXACT("Annual deal-team",'Model inputs'!AA87)),IF('Model inputs'!X107="","",'Model inputs'!X107),"")</f>
      </c>
    </row>
    <row r="1065">
      <c r="A1065" t="inlineStr" s="14">
        <is>
          <t xml:space="preserve">Calculation</t>
        </is>
      </c>
      <c r="B1065">
        <f>IF(IF(EXACT("Hybrid",'Model inputs'!AA87)="",FALSE,EXACT("Hybrid",'Model inputs'!AA87)),IF('Model inputs'!X108="","",'Model inputs'!X108),"")</f>
      </c>
    </row>
    <row r="1066">
      <c r="A1066" t="inlineStr" s="14">
        <is>
          <t xml:space="preserve">Calculation</t>
        </is>
      </c>
      <c r="B1066">
        <f>IF(IF(EXACT("Per audit — base",'Model inputs'!AA87)="",FALSE,EXACT("Per audit — base",'Model inputs'!AA87)),IF('Model inputs'!X109="","",'Model inputs'!X109),"")</f>
      </c>
    </row>
    <row r="1067">
      <c r="A1067" t="inlineStr" s="14">
        <is>
          <t xml:space="preserve">Calculation</t>
        </is>
      </c>
      <c r="B1067">
        <f>IF(IF(EXACT("Per audit — high",'Model inputs'!AA87)="",FALSE,EXACT("Per audit — high",'Model inputs'!AA87)),IF('Model inputs'!X110="","",'Model inputs'!X110),"")</f>
      </c>
    </row>
    <row r="1068">
      <c r="A1068" t="inlineStr" s="14">
        <is>
          <t xml:space="preserve">Calculation</t>
        </is>
      </c>
      <c r="B1068">
        <f>IF(IF(EXACT("Per audit — low",'Model inputs'!AA87)="",FALSE,EXACT("Per audit — low",'Model inputs'!AA87)),IF('Model inputs'!X111="","",'Model inputs'!X111),"")</f>
      </c>
    </row>
    <row r="1069">
      <c r="A1069" t="inlineStr" s="14">
        <is>
          <t xml:space="preserve">Calculation</t>
        </is>
      </c>
      <c r="B1069">
        <f>IF(IF(EXACT("Annual deal-team",'Model inputs'!AA87)="",FALSE,EXACT("Annual deal-team",'Model inputs'!AA87)),IF('Model inputs'!Y107="","",'Model inputs'!Y107),"")</f>
      </c>
    </row>
    <row r="1070">
      <c r="A1070" t="inlineStr" s="14">
        <is>
          <t xml:space="preserve">Calculation</t>
        </is>
      </c>
      <c r="B1070">
        <f>IF(IF(EXACT("Hybrid",'Model inputs'!AA87)="",FALSE,EXACT("Hybrid",'Model inputs'!AA87)),IF('Model inputs'!Y108="","",'Model inputs'!Y108),"")</f>
      </c>
    </row>
    <row r="1071">
      <c r="A1071" t="inlineStr" s="14">
        <is>
          <t xml:space="preserve">Calculation</t>
        </is>
      </c>
      <c r="B1071">
        <f>IF(IF(EXACT("Per audit — base",'Model inputs'!AA87)="",FALSE,EXACT("Per audit — base",'Model inputs'!AA87)),IF('Model inputs'!Y109="","",'Model inputs'!Y109),"")</f>
      </c>
    </row>
    <row r="1072">
      <c r="A1072" t="inlineStr" s="14">
        <is>
          <t xml:space="preserve">Calculation</t>
        </is>
      </c>
      <c r="B1072">
        <f>IF(IF(EXACT("Per audit — high",'Model inputs'!AA87)="",FALSE,EXACT("Per audit — high",'Model inputs'!AA87)),IF('Model inputs'!Y110="","",'Model inputs'!Y110),"")</f>
      </c>
    </row>
    <row r="1073">
      <c r="A1073" t="inlineStr" s="14">
        <is>
          <t xml:space="preserve">Calculation</t>
        </is>
      </c>
      <c r="B1073">
        <f>IF(IF(EXACT("Per audit — low",'Model inputs'!AA87)="",FALSE,EXACT("Per audit — low",'Model inputs'!AA87)),IF('Model inputs'!Y111="","",'Model inputs'!Y111),"")</f>
      </c>
    </row>
    <row r="1074">
      <c r="A1074" t="inlineStr" s="14">
        <is>
          <t xml:space="preserve">Calculation</t>
        </is>
      </c>
      <c r="B1074">
        <f>IF(IF(EXACT("Annual deal-team",'Model inputs'!AA87)="",FALSE,EXACT("Annual deal-team",'Model inputs'!AA87)),IF('Model inputs'!Z107="","",'Model inputs'!Z107),"")</f>
      </c>
    </row>
    <row r="1075">
      <c r="A1075" t="inlineStr" s="14">
        <is>
          <t xml:space="preserve">Calculation</t>
        </is>
      </c>
      <c r="B1075">
        <f>IF(IF(EXACT("Hybrid",'Model inputs'!AA87)="",FALSE,EXACT("Hybrid",'Model inputs'!AA87)),IF('Model inputs'!Z108="","",'Model inputs'!Z108),"")</f>
      </c>
    </row>
    <row r="1076">
      <c r="A1076" t="inlineStr" s="14">
        <is>
          <t xml:space="preserve">Calculation</t>
        </is>
      </c>
      <c r="B1076">
        <f>IF(IF(EXACT("Per audit — base",'Model inputs'!AA87)="",FALSE,EXACT("Per audit — base",'Model inputs'!AA87)),IF('Model inputs'!Z109="","",'Model inputs'!Z109),"")</f>
      </c>
    </row>
    <row r="1077">
      <c r="A1077" t="inlineStr" s="14">
        <is>
          <t xml:space="preserve">Calculation</t>
        </is>
      </c>
      <c r="B1077">
        <f>IF(IF(EXACT("Per audit — high",'Model inputs'!AA87)="",FALSE,EXACT("Per audit — high",'Model inputs'!AA87)),IF('Model inputs'!Z110="","",'Model inputs'!Z110),"")</f>
      </c>
    </row>
    <row r="1078">
      <c r="A1078" t="inlineStr" s="14">
        <is>
          <t xml:space="preserve">Calculation</t>
        </is>
      </c>
      <c r="B1078">
        <f>IF(IF(EXACT("Per audit — low",'Model inputs'!AA87)="",FALSE,EXACT("Per audit — low",'Model inputs'!AA87)),IF('Model inputs'!Z111="","",'Model inputs'!Z111),"")</f>
      </c>
    </row>
    <row r="1079">
      <c r="A1079" t="inlineStr" s="14">
        <is>
          <t xml:space="preserve">Calculation</t>
        </is>
      </c>
      <c r="B1079">
        <f>IF(IF(EXACT("Annual deal-team",'Model inputs'!AA86)="",FALSE,EXACT("Annual deal-team",'Model inputs'!AA86)),IF('Model inputs'!L137="","",'Model inputs'!L137),"")</f>
      </c>
    </row>
    <row r="1080">
      <c r="A1080" t="inlineStr" s="14">
        <is>
          <t xml:space="preserve">Calculation</t>
        </is>
      </c>
      <c r="B1080">
        <f>IF(IF(EXACT("Hybrid",'Model inputs'!AA86)="",FALSE,EXACT("Hybrid",'Model inputs'!AA86)),IF('Model inputs'!L138="","",'Model inputs'!L138),"")</f>
      </c>
    </row>
    <row r="1081">
      <c r="A1081" t="inlineStr" s="14">
        <is>
          <t xml:space="preserve">Calculation</t>
        </is>
      </c>
      <c r="B1081">
        <f>IF(IF(EXACT("Per audit — base",'Model inputs'!AA86)="",FALSE,EXACT("Per audit — base",'Model inputs'!AA86)),IF('Model inputs'!L139="","",'Model inputs'!L139),"")</f>
      </c>
    </row>
    <row r="1082">
      <c r="A1082" t="inlineStr" s="14">
        <is>
          <t xml:space="preserve">Calculation</t>
        </is>
      </c>
      <c r="B1082">
        <f>IF(IF(EXACT("Per audit — high",'Model inputs'!AA86)="",FALSE,EXACT("Per audit — high",'Model inputs'!AA86)),IF('Model inputs'!L140="","",'Model inputs'!L140),"")</f>
      </c>
    </row>
    <row r="1083">
      <c r="A1083" t="inlineStr" s="14">
        <is>
          <t xml:space="preserve">Calculation</t>
        </is>
      </c>
      <c r="B1083">
        <f>IF(IF(EXACT("Per audit — low",'Model inputs'!AA86)="",FALSE,EXACT("Per audit — low",'Model inputs'!AA86)),IF('Model inputs'!L141="","",'Model inputs'!L141),"")</f>
      </c>
    </row>
    <row r="1084">
      <c r="A1084" t="inlineStr" s="14">
        <is>
          <t xml:space="preserve">Calculation</t>
        </is>
      </c>
      <c r="B1084">
        <f>IF(IF(EXACT("Annual deal-team",'Model inputs'!AA86)="",FALSE,EXACT("Annual deal-team",'Model inputs'!AA86)),IF('Model inputs'!M137="","",'Model inputs'!M137),"")</f>
      </c>
    </row>
    <row r="1085">
      <c r="A1085" t="inlineStr" s="14">
        <is>
          <t xml:space="preserve">Calculation</t>
        </is>
      </c>
      <c r="B1085">
        <f>IF(IF(EXACT("Hybrid",'Model inputs'!AA86)="",FALSE,EXACT("Hybrid",'Model inputs'!AA86)),IF('Model inputs'!M138="","",'Model inputs'!M138),"")</f>
      </c>
    </row>
    <row r="1086">
      <c r="A1086" t="inlineStr" s="14">
        <is>
          <t xml:space="preserve">Calculation</t>
        </is>
      </c>
      <c r="B1086">
        <f>IF(IF(EXACT("Per audit — base",'Model inputs'!AA86)="",FALSE,EXACT("Per audit — base",'Model inputs'!AA86)),IF('Model inputs'!M139="","",'Model inputs'!M139),"")</f>
      </c>
    </row>
    <row r="1087">
      <c r="A1087" t="inlineStr" s="14">
        <is>
          <t xml:space="preserve">Calculation</t>
        </is>
      </c>
      <c r="B1087">
        <f>IF(IF(EXACT("Per audit — high",'Model inputs'!AA86)="",FALSE,EXACT("Per audit — high",'Model inputs'!AA86)),IF('Model inputs'!M140="","",'Model inputs'!M140),"")</f>
      </c>
    </row>
    <row r="1088">
      <c r="A1088" t="inlineStr" s="14">
        <is>
          <t xml:space="preserve">Calculation</t>
        </is>
      </c>
      <c r="B1088">
        <f>IF(IF(EXACT("Per audit — low",'Model inputs'!AA86)="",FALSE,EXACT("Per audit — low",'Model inputs'!AA86)),IF('Model inputs'!M141="","",'Model inputs'!M141),"")</f>
      </c>
    </row>
    <row r="1089">
      <c r="A1089" t="inlineStr" s="14">
        <is>
          <t xml:space="preserve">Calculation</t>
        </is>
      </c>
      <c r="B1089">
        <f>IF(IF(EXACT("Annual deal-team",'Model inputs'!AA86)="",FALSE,EXACT("Annual deal-team",'Model inputs'!AA86)),IF('Model inputs'!N137="","",'Model inputs'!N137),"")</f>
      </c>
    </row>
    <row r="1090">
      <c r="A1090" t="inlineStr" s="14">
        <is>
          <t xml:space="preserve">Calculation</t>
        </is>
      </c>
      <c r="B1090">
        <f>IF(IF(EXACT("Hybrid",'Model inputs'!AA86)="",FALSE,EXACT("Hybrid",'Model inputs'!AA86)),IF('Model inputs'!N138="","",'Model inputs'!N138),"")</f>
      </c>
    </row>
    <row r="1091">
      <c r="A1091" t="inlineStr" s="14">
        <is>
          <t xml:space="preserve">Calculation</t>
        </is>
      </c>
      <c r="B1091">
        <f>IF(IF(EXACT("Per audit — base",'Model inputs'!AA86)="",FALSE,EXACT("Per audit — base",'Model inputs'!AA86)),IF('Model inputs'!N139="","",'Model inputs'!N139),"")</f>
      </c>
    </row>
    <row r="1092">
      <c r="A1092" t="inlineStr" s="14">
        <is>
          <t xml:space="preserve">Calculation</t>
        </is>
      </c>
      <c r="B1092">
        <f>IF(IF(EXACT("Per audit — high",'Model inputs'!AA86)="",FALSE,EXACT("Per audit — high",'Model inputs'!AA86)),IF('Model inputs'!N140="","",'Model inputs'!N140),"")</f>
      </c>
    </row>
    <row r="1093">
      <c r="A1093" t="inlineStr" s="14">
        <is>
          <t xml:space="preserve">Calculation</t>
        </is>
      </c>
      <c r="B1093">
        <f>IF(IF(EXACT("Per audit — low",'Model inputs'!AA86)="",FALSE,EXACT("Per audit — low",'Model inputs'!AA86)),IF('Model inputs'!N141="","",'Model inputs'!N141),"")</f>
      </c>
    </row>
    <row r="1094">
      <c r="A1094" t="inlineStr" s="14">
        <is>
          <t xml:space="preserve">Calculation</t>
        </is>
      </c>
      <c r="B1094">
        <f>IF(IF(EXACT("Annual deal-team",'Model inputs'!AA86)="",FALSE,EXACT("Annual deal-team",'Model inputs'!AA86)),IF('Model inputs'!O137="","",'Model inputs'!O137),"")</f>
      </c>
    </row>
    <row r="1095">
      <c r="A1095" t="inlineStr" s="14">
        <is>
          <t xml:space="preserve">Calculation</t>
        </is>
      </c>
      <c r="B1095">
        <f>IF(IF(EXACT("Hybrid",'Model inputs'!AA86)="",FALSE,EXACT("Hybrid",'Model inputs'!AA86)),IF('Model inputs'!O138="","",'Model inputs'!O138),"")</f>
      </c>
    </row>
    <row r="1096">
      <c r="A1096" t="inlineStr" s="14">
        <is>
          <t xml:space="preserve">Calculation</t>
        </is>
      </c>
      <c r="B1096">
        <f>IF(IF(EXACT("Per audit — base",'Model inputs'!AA86)="",FALSE,EXACT("Per audit — base",'Model inputs'!AA86)),IF('Model inputs'!O139="","",'Model inputs'!O139),"")</f>
      </c>
    </row>
    <row r="1097">
      <c r="A1097" t="inlineStr" s="14">
        <is>
          <t xml:space="preserve">Calculation</t>
        </is>
      </c>
      <c r="B1097">
        <f>IF(IF(EXACT("Per audit — high",'Model inputs'!AA86)="",FALSE,EXACT("Per audit — high",'Model inputs'!AA86)),IF('Model inputs'!O140="","",'Model inputs'!O140),"")</f>
      </c>
    </row>
    <row r="1098">
      <c r="A1098" t="inlineStr" s="14">
        <is>
          <t xml:space="preserve">Calculation</t>
        </is>
      </c>
      <c r="B1098">
        <f>IF(IF(EXACT("Per audit — low",'Model inputs'!AA86)="",FALSE,EXACT("Per audit — low",'Model inputs'!AA86)),IF('Model inputs'!O141="","",'Model inputs'!O141),"")</f>
      </c>
    </row>
    <row r="1099">
      <c r="A1099" t="inlineStr" s="14">
        <is>
          <t xml:space="preserve">Calculation</t>
        </is>
      </c>
      <c r="B1099">
        <f>IF(IF(EXACT("Annual deal-team",'Model inputs'!AA86)="",FALSE,EXACT("Annual deal-team",'Model inputs'!AA86)),IF('Model inputs'!P137="","",'Model inputs'!P137),"")</f>
      </c>
    </row>
    <row r="1100">
      <c r="A1100" t="inlineStr" s="14">
        <is>
          <t xml:space="preserve">Calculation</t>
        </is>
      </c>
      <c r="B1100">
        <f>IF(IF(EXACT("Hybrid",'Model inputs'!AA86)="",FALSE,EXACT("Hybrid",'Model inputs'!AA86)),IF('Model inputs'!P138="","",'Model inputs'!P138),"")</f>
      </c>
    </row>
    <row r="1101">
      <c r="A1101" t="inlineStr" s="14">
        <is>
          <t xml:space="preserve">Calculation</t>
        </is>
      </c>
      <c r="B1101">
        <f>IF(IF(EXACT("Per audit — base",'Model inputs'!AA86)="",FALSE,EXACT("Per audit — base",'Model inputs'!AA86)),IF('Model inputs'!P139="","",'Model inputs'!P139),"")</f>
      </c>
    </row>
    <row r="1102">
      <c r="A1102" t="inlineStr" s="14">
        <is>
          <t xml:space="preserve">Calculation</t>
        </is>
      </c>
      <c r="B1102">
        <f>IF(IF(EXACT("Per audit — high",'Model inputs'!AA86)="",FALSE,EXACT("Per audit — high",'Model inputs'!AA86)),IF('Model inputs'!P140="","",'Model inputs'!P140),"")</f>
      </c>
    </row>
    <row r="1103">
      <c r="A1103" t="inlineStr" s="14">
        <is>
          <t xml:space="preserve">Calculation</t>
        </is>
      </c>
      <c r="B1103">
        <f>IF(IF(EXACT("Per audit — low",'Model inputs'!AA86)="",FALSE,EXACT("Per audit — low",'Model inputs'!AA86)),IF('Model inputs'!P141="","",'Model inputs'!P141),"")</f>
      </c>
    </row>
    <row r="1104">
      <c r="A1104" t="inlineStr" s="14">
        <is>
          <t xml:space="preserve">Calculation</t>
        </is>
      </c>
      <c r="B1104">
        <f>IF(IF(EXACT("Annual deal-team",'Model inputs'!AA86)="",FALSE,EXACT("Annual deal-team",'Model inputs'!AA86)),IF('Model inputs'!Q137="","",'Model inputs'!Q137),"")</f>
      </c>
    </row>
    <row r="1105">
      <c r="A1105" t="inlineStr" s="14">
        <is>
          <t xml:space="preserve">Calculation</t>
        </is>
      </c>
      <c r="B1105">
        <f>IF(IF(EXACT("Hybrid",'Model inputs'!AA86)="",FALSE,EXACT("Hybrid",'Model inputs'!AA86)),IF('Model inputs'!Q138="","",'Model inputs'!Q138),"")</f>
      </c>
    </row>
    <row r="1106">
      <c r="A1106" t="inlineStr" s="14">
        <is>
          <t xml:space="preserve">Calculation</t>
        </is>
      </c>
      <c r="B1106">
        <f>IF(IF(EXACT("Per audit — base",'Model inputs'!AA86)="",FALSE,EXACT("Per audit — base",'Model inputs'!AA86)),IF('Model inputs'!Q139="","",'Model inputs'!Q139),"")</f>
      </c>
    </row>
    <row r="1107">
      <c r="A1107" t="inlineStr" s="14">
        <is>
          <t xml:space="preserve">Calculation</t>
        </is>
      </c>
      <c r="B1107">
        <f>IF(IF(EXACT("Per audit — high",'Model inputs'!AA86)="",FALSE,EXACT("Per audit — high",'Model inputs'!AA86)),IF('Model inputs'!Q140="","",'Model inputs'!Q140),"")</f>
      </c>
    </row>
    <row r="1108">
      <c r="A1108" t="inlineStr" s="14">
        <is>
          <t xml:space="preserve">Calculation</t>
        </is>
      </c>
      <c r="B1108">
        <f>IF(IF(EXACT("Per audit — low",'Model inputs'!AA86)="",FALSE,EXACT("Per audit — low",'Model inputs'!AA86)),IF('Model inputs'!Q141="","",'Model inputs'!Q141),"")</f>
      </c>
    </row>
    <row r="1109">
      <c r="A1109" t="inlineStr" s="14">
        <is>
          <t xml:space="preserve">Calculation</t>
        </is>
      </c>
      <c r="B1109">
        <f>IF(IF(EXACT("Annual deal-team",'Model inputs'!AA86)="",FALSE,EXACT("Annual deal-team",'Model inputs'!AA86)),IF('Model inputs'!R137="","",'Model inputs'!R137),"")</f>
      </c>
    </row>
    <row r="1110">
      <c r="A1110" t="inlineStr" s="14">
        <is>
          <t xml:space="preserve">Calculation</t>
        </is>
      </c>
      <c r="B1110">
        <f>IF(IF(EXACT("Hybrid",'Model inputs'!AA86)="",FALSE,EXACT("Hybrid",'Model inputs'!AA86)),IF('Model inputs'!R138="","",'Model inputs'!R138),"")</f>
      </c>
    </row>
    <row r="1111">
      <c r="A1111" t="inlineStr" s="14">
        <is>
          <t xml:space="preserve">Calculation</t>
        </is>
      </c>
      <c r="B1111">
        <f>IF(IF(EXACT("Per audit — base",'Model inputs'!AA86)="",FALSE,EXACT("Per audit — base",'Model inputs'!AA86)),IF('Model inputs'!R139="","",'Model inputs'!R139),"")</f>
      </c>
    </row>
    <row r="1112">
      <c r="A1112" t="inlineStr" s="14">
        <is>
          <t xml:space="preserve">Calculation</t>
        </is>
      </c>
      <c r="B1112">
        <f>IF(IF(EXACT("Per audit — high",'Model inputs'!AA86)="",FALSE,EXACT("Per audit — high",'Model inputs'!AA86)),IF('Model inputs'!R140="","",'Model inputs'!R140),"")</f>
      </c>
    </row>
    <row r="1113">
      <c r="A1113" t="inlineStr" s="14">
        <is>
          <t xml:space="preserve">Calculation</t>
        </is>
      </c>
      <c r="B1113">
        <f>IF(IF(EXACT("Per audit — low",'Model inputs'!AA86)="",FALSE,EXACT("Per audit — low",'Model inputs'!AA86)),IF('Model inputs'!R141="","",'Model inputs'!R141),"")</f>
      </c>
    </row>
    <row r="1114">
      <c r="A1114" t="inlineStr" s="14">
        <is>
          <t xml:space="preserve">Calculation</t>
        </is>
      </c>
      <c r="B1114">
        <f>IF(IF(EXACT("Annual deal-team",'Model inputs'!AA86)="",FALSE,EXACT("Annual deal-team",'Model inputs'!AA86)),IF('Model inputs'!S137="","",'Model inputs'!S137),"")</f>
      </c>
    </row>
    <row r="1115">
      <c r="A1115" t="inlineStr" s="14">
        <is>
          <t xml:space="preserve">Calculation</t>
        </is>
      </c>
      <c r="B1115">
        <f>IF(IF(EXACT("Hybrid",'Model inputs'!AA86)="",FALSE,EXACT("Hybrid",'Model inputs'!AA86)),IF('Model inputs'!S138="","",'Model inputs'!S138),"")</f>
      </c>
    </row>
    <row r="1116">
      <c r="A1116" t="inlineStr" s="14">
        <is>
          <t xml:space="preserve">Calculation</t>
        </is>
      </c>
      <c r="B1116">
        <f>IF(IF(EXACT("Per audit — base",'Model inputs'!AA86)="",FALSE,EXACT("Per audit — base",'Model inputs'!AA86)),IF('Model inputs'!S139="","",'Model inputs'!S139),"")</f>
      </c>
    </row>
    <row r="1117">
      <c r="A1117" t="inlineStr" s="14">
        <is>
          <t xml:space="preserve">Calculation</t>
        </is>
      </c>
      <c r="B1117">
        <f>IF(IF(EXACT("Per audit — high",'Model inputs'!AA86)="",FALSE,EXACT("Per audit — high",'Model inputs'!AA86)),IF('Model inputs'!S140="","",'Model inputs'!S140),"")</f>
      </c>
    </row>
    <row r="1118">
      <c r="A1118" t="inlineStr" s="14">
        <is>
          <t xml:space="preserve">Calculation</t>
        </is>
      </c>
      <c r="B1118">
        <f>IF(IF(EXACT("Per audit — low",'Model inputs'!AA86)="",FALSE,EXACT("Per audit — low",'Model inputs'!AA86)),IF('Model inputs'!S141="","",'Model inputs'!S141),"")</f>
      </c>
    </row>
    <row r="1119">
      <c r="A1119" t="inlineStr" s="14">
        <is>
          <t xml:space="preserve">Calculation</t>
        </is>
      </c>
      <c r="B1119">
        <f>IF(IF(EXACT("Annual deal-team",'Model inputs'!AA86)="",FALSE,EXACT("Annual deal-team",'Model inputs'!AA86)),IF('Model inputs'!T137="","",'Model inputs'!T137),"")</f>
      </c>
    </row>
    <row r="1120">
      <c r="A1120" t="inlineStr" s="14">
        <is>
          <t xml:space="preserve">Calculation</t>
        </is>
      </c>
      <c r="B1120">
        <f>IF(IF(EXACT("Hybrid",'Model inputs'!AA86)="",FALSE,EXACT("Hybrid",'Model inputs'!AA86)),IF('Model inputs'!T138="","",'Model inputs'!T138),"")</f>
      </c>
    </row>
    <row r="1121">
      <c r="A1121" t="inlineStr" s="14">
        <is>
          <t xml:space="preserve">Calculation</t>
        </is>
      </c>
      <c r="B1121">
        <f>IF(IF(EXACT("Per audit — base",'Model inputs'!AA86)="",FALSE,EXACT("Per audit — base",'Model inputs'!AA86)),IF('Model inputs'!T139="","",'Model inputs'!T139),"")</f>
      </c>
    </row>
    <row r="1122">
      <c r="A1122" t="inlineStr" s="14">
        <is>
          <t xml:space="preserve">Calculation</t>
        </is>
      </c>
      <c r="B1122">
        <f>IF(IF(EXACT("Per audit — high",'Model inputs'!AA86)="",FALSE,EXACT("Per audit — high",'Model inputs'!AA86)),IF('Model inputs'!T140="","",'Model inputs'!T140),"")</f>
      </c>
    </row>
    <row r="1123">
      <c r="A1123" t="inlineStr" s="14">
        <is>
          <t xml:space="preserve">Calculation</t>
        </is>
      </c>
      <c r="B1123">
        <f>IF(IF(EXACT("Per audit — low",'Model inputs'!AA86)="",FALSE,EXACT("Per audit — low",'Model inputs'!AA86)),IF('Model inputs'!T141="","",'Model inputs'!T141),"")</f>
      </c>
    </row>
    <row r="1124">
      <c r="A1124" t="inlineStr" s="14">
        <is>
          <t xml:space="preserve">Calculation</t>
        </is>
      </c>
      <c r="B1124">
        <f>IF(IF(EXACT("Annual deal-team",'Model inputs'!AA86)="",FALSE,EXACT("Annual deal-team",'Model inputs'!AA86)),IF('Model inputs'!U137="","",'Model inputs'!U137),"")</f>
      </c>
    </row>
    <row r="1125">
      <c r="A1125" t="inlineStr" s="14">
        <is>
          <t xml:space="preserve">Calculation</t>
        </is>
      </c>
      <c r="B1125">
        <f>IF(IF(EXACT("Hybrid",'Model inputs'!AA86)="",FALSE,EXACT("Hybrid",'Model inputs'!AA86)),IF('Model inputs'!U138="","",'Model inputs'!U138),"")</f>
      </c>
    </row>
    <row r="1126">
      <c r="A1126" t="inlineStr" s="14">
        <is>
          <t xml:space="preserve">Calculation</t>
        </is>
      </c>
      <c r="B1126">
        <f>IF(IF(EXACT("Per audit — base",'Model inputs'!AA86)="",FALSE,EXACT("Per audit — base",'Model inputs'!AA86)),IF('Model inputs'!U139="","",'Model inputs'!U139),"")</f>
      </c>
    </row>
    <row r="1127">
      <c r="A1127" t="inlineStr" s="14">
        <is>
          <t xml:space="preserve">Calculation</t>
        </is>
      </c>
      <c r="B1127">
        <f>IF(IF(EXACT("Per audit — high",'Model inputs'!AA86)="",FALSE,EXACT("Per audit — high",'Model inputs'!AA86)),IF('Model inputs'!U140="","",'Model inputs'!U140),"")</f>
      </c>
    </row>
    <row r="1128">
      <c r="A1128" t="inlineStr" s="14">
        <is>
          <t xml:space="preserve">Calculation</t>
        </is>
      </c>
      <c r="B1128">
        <f>IF(IF(EXACT("Per audit — low",'Model inputs'!AA86)="",FALSE,EXACT("Per audit — low",'Model inputs'!AA86)),IF('Model inputs'!U141="","",'Model inputs'!U141),"")</f>
      </c>
    </row>
    <row r="1129">
      <c r="A1129" t="inlineStr" s="14">
        <is>
          <t xml:space="preserve">Calculation</t>
        </is>
      </c>
      <c r="B1129">
        <f>IF(IF(EXACT("Annual deal-team",'Model inputs'!AA86)="",FALSE,EXACT("Annual deal-team",'Model inputs'!AA86)),IF('Model inputs'!V137="","",'Model inputs'!V137),"")</f>
      </c>
    </row>
    <row r="1130">
      <c r="A1130" t="inlineStr" s="14">
        <is>
          <t xml:space="preserve">Calculation</t>
        </is>
      </c>
      <c r="B1130">
        <f>IF(IF(EXACT("Hybrid",'Model inputs'!AA86)="",FALSE,EXACT("Hybrid",'Model inputs'!AA86)),IF('Model inputs'!V138="","",'Model inputs'!V138),"")</f>
      </c>
    </row>
    <row r="1131">
      <c r="A1131" t="inlineStr" s="14">
        <is>
          <t xml:space="preserve">Calculation</t>
        </is>
      </c>
      <c r="B1131">
        <f>IF(IF(EXACT("Per audit — base",'Model inputs'!AA86)="",FALSE,EXACT("Per audit — base",'Model inputs'!AA86)),IF('Model inputs'!V139="","",'Model inputs'!V139),"")</f>
      </c>
    </row>
    <row r="1132">
      <c r="A1132" t="inlineStr" s="14">
        <is>
          <t xml:space="preserve">Calculation</t>
        </is>
      </c>
      <c r="B1132">
        <f>IF(IF(EXACT("Per audit — high",'Model inputs'!AA86)="",FALSE,EXACT("Per audit — high",'Model inputs'!AA86)),IF('Model inputs'!V140="","",'Model inputs'!V140),"")</f>
      </c>
    </row>
    <row r="1133">
      <c r="A1133" t="inlineStr" s="14">
        <is>
          <t xml:space="preserve">Calculation</t>
        </is>
      </c>
      <c r="B1133">
        <f>IF(IF(EXACT("Per audit — low",'Model inputs'!AA86)="",FALSE,EXACT("Per audit — low",'Model inputs'!AA86)),IF('Model inputs'!V141="","",'Model inputs'!V141),"")</f>
      </c>
    </row>
    <row r="1134">
      <c r="A1134" t="inlineStr" s="14">
        <is>
          <t xml:space="preserve">Calculation</t>
        </is>
      </c>
      <c r="B1134">
        <f>IF(IF(EXACT("Annual deal-team",'Model inputs'!AA86)="",FALSE,EXACT("Annual deal-team",'Model inputs'!AA86)),IF('Model inputs'!W137="","",'Model inputs'!W137),"")</f>
      </c>
    </row>
    <row r="1135">
      <c r="A1135" t="inlineStr" s="14">
        <is>
          <t xml:space="preserve">Calculation</t>
        </is>
      </c>
      <c r="B1135">
        <f>IF(IF(EXACT("Hybrid",'Model inputs'!AA86)="",FALSE,EXACT("Hybrid",'Model inputs'!AA86)),IF('Model inputs'!W138="","",'Model inputs'!W138),"")</f>
      </c>
    </row>
    <row r="1136">
      <c r="A1136" t="inlineStr" s="14">
        <is>
          <t xml:space="preserve">Calculation</t>
        </is>
      </c>
      <c r="B1136">
        <f>IF(IF(EXACT("Per audit — base",'Model inputs'!AA86)="",FALSE,EXACT("Per audit — base",'Model inputs'!AA86)),IF('Model inputs'!W139="","",'Model inputs'!W139),"")</f>
      </c>
    </row>
    <row r="1137">
      <c r="A1137" t="inlineStr" s="14">
        <is>
          <t xml:space="preserve">Calculation</t>
        </is>
      </c>
      <c r="B1137">
        <f>IF(IF(EXACT("Per audit — high",'Model inputs'!AA86)="",FALSE,EXACT("Per audit — high",'Model inputs'!AA86)),IF('Model inputs'!W140="","",'Model inputs'!W140),"")</f>
      </c>
    </row>
    <row r="1138">
      <c r="A1138" t="inlineStr" s="14">
        <is>
          <t xml:space="preserve">Calculation</t>
        </is>
      </c>
      <c r="B1138">
        <f>IF(IF(EXACT("Per audit — low",'Model inputs'!AA86)="",FALSE,EXACT("Per audit — low",'Model inputs'!AA86)),IF('Model inputs'!W141="","",'Model inputs'!W141),"")</f>
      </c>
    </row>
    <row r="1139">
      <c r="A1139" t="inlineStr" s="14">
        <is>
          <t xml:space="preserve">Calculation</t>
        </is>
      </c>
      <c r="B1139">
        <f>IF(IF(EXACT("Annual deal-team",'Model inputs'!AA86)="",FALSE,EXACT("Annual deal-team",'Model inputs'!AA86)),IF('Model inputs'!X137="","",'Model inputs'!X137),"")</f>
      </c>
    </row>
    <row r="1140">
      <c r="A1140" t="inlineStr" s="14">
        <is>
          <t xml:space="preserve">Calculation</t>
        </is>
      </c>
      <c r="B1140">
        <f>IF(IF(EXACT("Hybrid",'Model inputs'!AA86)="",FALSE,EXACT("Hybrid",'Model inputs'!AA86)),IF('Model inputs'!X138="","",'Model inputs'!X138),"")</f>
      </c>
    </row>
    <row r="1141">
      <c r="A1141" t="inlineStr" s="14">
        <is>
          <t xml:space="preserve">Calculation</t>
        </is>
      </c>
      <c r="B1141">
        <f>IF(IF(EXACT("Per audit — base",'Model inputs'!AA86)="",FALSE,EXACT("Per audit — base",'Model inputs'!AA86)),IF('Model inputs'!X139="","",'Model inputs'!X139),"")</f>
      </c>
    </row>
    <row r="1142">
      <c r="A1142" t="inlineStr" s="14">
        <is>
          <t xml:space="preserve">Calculation</t>
        </is>
      </c>
      <c r="B1142">
        <f>IF(IF(EXACT("Per audit — high",'Model inputs'!AA86)="",FALSE,EXACT("Per audit — high",'Model inputs'!AA86)),IF('Model inputs'!X140="","",'Model inputs'!X140),"")</f>
      </c>
    </row>
    <row r="1143">
      <c r="A1143" t="inlineStr" s="14">
        <is>
          <t xml:space="preserve">Calculation</t>
        </is>
      </c>
      <c r="B1143">
        <f>IF(IF(EXACT("Per audit — low",'Model inputs'!AA86)="",FALSE,EXACT("Per audit — low",'Model inputs'!AA86)),IF('Model inputs'!X141="","",'Model inputs'!X141),"")</f>
      </c>
    </row>
    <row r="1144">
      <c r="A1144" t="inlineStr" s="14">
        <is>
          <t xml:space="preserve">Calculation</t>
        </is>
      </c>
      <c r="B1144">
        <f>IF(IF(EXACT("Annual deal-team",'Model inputs'!AA86)="",FALSE,EXACT("Annual deal-team",'Model inputs'!AA86)),IF('Model inputs'!Y137="","",'Model inputs'!Y137),"")</f>
      </c>
    </row>
    <row r="1145">
      <c r="A1145" t="inlineStr" s="14">
        <is>
          <t xml:space="preserve">Calculation</t>
        </is>
      </c>
      <c r="B1145">
        <f>IF(IF(EXACT("Hybrid",'Model inputs'!AA86)="",FALSE,EXACT("Hybrid",'Model inputs'!AA86)),IF('Model inputs'!Y138="","",'Model inputs'!Y138),"")</f>
      </c>
    </row>
    <row r="1146">
      <c r="A1146" t="inlineStr" s="14">
        <is>
          <t xml:space="preserve">Calculation</t>
        </is>
      </c>
      <c r="B1146">
        <f>IF(IF(EXACT("Per audit — base",'Model inputs'!AA86)="",FALSE,EXACT("Per audit — base",'Model inputs'!AA86)),IF('Model inputs'!Y139="","",'Model inputs'!Y139),"")</f>
      </c>
    </row>
    <row r="1147">
      <c r="A1147" t="inlineStr" s="14">
        <is>
          <t xml:space="preserve">Calculation</t>
        </is>
      </c>
      <c r="B1147">
        <f>IF(IF(EXACT("Per audit — high",'Model inputs'!AA86)="",FALSE,EXACT("Per audit — high",'Model inputs'!AA86)),IF('Model inputs'!Y140="","",'Model inputs'!Y140),"")</f>
      </c>
    </row>
    <row r="1148">
      <c r="A1148" t="inlineStr" s="14">
        <is>
          <t xml:space="preserve">Calculation</t>
        </is>
      </c>
      <c r="B1148">
        <f>IF(IF(EXACT("Per audit — low",'Model inputs'!AA86)="",FALSE,EXACT("Per audit — low",'Model inputs'!AA86)),IF('Model inputs'!Y141="","",'Model inputs'!Y141),"")</f>
      </c>
    </row>
    <row r="1149">
      <c r="A1149" t="inlineStr" s="14">
        <is>
          <t xml:space="preserve">Calculation</t>
        </is>
      </c>
      <c r="B1149">
        <f>IF(IF(EXACT("Annual deal-team",'Model inputs'!AA86)="",FALSE,EXACT("Annual deal-team",'Model inputs'!AA86)),IF('Model inputs'!Z137="","",'Model inputs'!Z137),"")</f>
      </c>
    </row>
    <row r="1150">
      <c r="A1150" t="inlineStr" s="14">
        <is>
          <t xml:space="preserve">Calculation</t>
        </is>
      </c>
      <c r="B1150">
        <f>IF(IF(EXACT("Hybrid",'Model inputs'!AA86)="",FALSE,EXACT("Hybrid",'Model inputs'!AA86)),IF('Model inputs'!Z138="","",'Model inputs'!Z138),"")</f>
      </c>
    </row>
    <row r="1151">
      <c r="A1151" t="inlineStr" s="14">
        <is>
          <t xml:space="preserve">Calculation</t>
        </is>
      </c>
      <c r="B1151">
        <f>IF(IF(EXACT("Per audit — base",'Model inputs'!AA86)="",FALSE,EXACT("Per audit — base",'Model inputs'!AA86)),IF('Model inputs'!Z139="","",'Model inputs'!Z139),"")</f>
      </c>
    </row>
    <row r="1152">
      <c r="A1152" t="inlineStr" s="14">
        <is>
          <t xml:space="preserve">Calculation</t>
        </is>
      </c>
      <c r="B1152">
        <f>IF(IF(EXACT("Per audit — high",'Model inputs'!AA86)="",FALSE,EXACT("Per audit — high",'Model inputs'!AA86)),IF('Model inputs'!Z140="","",'Model inputs'!Z140),"")</f>
      </c>
    </row>
    <row r="1153">
      <c r="A1153" t="inlineStr" s="14">
        <is>
          <t xml:space="preserve">Calculation</t>
        </is>
      </c>
      <c r="B1153">
        <f>IF(IF(EXACT("Per audit — low",'Model inputs'!AA86)="",FALSE,EXACT("Per audit — low",'Model inputs'!AA86)),IF('Model inputs'!Z141="","",'Model inputs'!Z141),"")</f>
      </c>
    </row>
    <row r="1154">
      <c r="A1154" t="inlineStr" s="14">
        <is>
          <t xml:space="preserve">Calculation</t>
        </is>
      </c>
      <c r="B1154">
        <f>IF(IF(EXACT("Annual deal-team",'Model inputs'!AA87)="",FALSE,EXACT("Annual deal-team",'Model inputs'!AA87)),IF('Model inputs'!L143="","",'Model inputs'!L143),"")</f>
      </c>
    </row>
    <row r="1155">
      <c r="A1155" t="inlineStr" s="14">
        <is>
          <t xml:space="preserve">Calculation</t>
        </is>
      </c>
      <c r="B1155">
        <f>IF(IF(EXACT("Hybrid",'Model inputs'!AA87)="",FALSE,EXACT("Hybrid",'Model inputs'!AA87)),IF('Model inputs'!L144="","",'Model inputs'!L144),"")</f>
      </c>
    </row>
    <row r="1156">
      <c r="A1156" t="inlineStr" s="14">
        <is>
          <t xml:space="preserve">Calculation</t>
        </is>
      </c>
      <c r="B1156">
        <f>IF(IF(EXACT("Per audit — base",'Model inputs'!AA87)="",FALSE,EXACT("Per audit — base",'Model inputs'!AA87)),IF('Model inputs'!L145="","",'Model inputs'!L145),"")</f>
      </c>
    </row>
    <row r="1157">
      <c r="A1157" t="inlineStr" s="14">
        <is>
          <t xml:space="preserve">Calculation</t>
        </is>
      </c>
      <c r="B1157">
        <f>IF(IF(EXACT("Per audit — high",'Model inputs'!AA87)="",FALSE,EXACT("Per audit — high",'Model inputs'!AA87)),IF('Model inputs'!L146="","",'Model inputs'!L146),"")</f>
      </c>
    </row>
    <row r="1158">
      <c r="A1158" t="inlineStr" s="14">
        <is>
          <t xml:space="preserve">Calculation</t>
        </is>
      </c>
      <c r="B1158">
        <f>IF(IF(EXACT("Per audit — low",'Model inputs'!AA87)="",FALSE,EXACT("Per audit — low",'Model inputs'!AA87)),IF('Model inputs'!L147="","",'Model inputs'!L147),"")</f>
      </c>
    </row>
    <row r="1159">
      <c r="A1159" t="inlineStr" s="14">
        <is>
          <t xml:space="preserve">Calculation</t>
        </is>
      </c>
      <c r="B1159">
        <f>IF(IF(EXACT("Annual deal-team",'Model inputs'!AA87)="",FALSE,EXACT("Annual deal-team",'Model inputs'!AA87)),IF('Model inputs'!M143="","",'Model inputs'!M143),"")</f>
      </c>
    </row>
    <row r="1160">
      <c r="A1160" t="inlineStr" s="14">
        <is>
          <t xml:space="preserve">Calculation</t>
        </is>
      </c>
      <c r="B1160">
        <f>IF(IF(EXACT("Hybrid",'Model inputs'!AA87)="",FALSE,EXACT("Hybrid",'Model inputs'!AA87)),IF('Model inputs'!M144="","",'Model inputs'!M144),"")</f>
      </c>
    </row>
    <row r="1161">
      <c r="A1161" t="inlineStr" s="14">
        <is>
          <t xml:space="preserve">Calculation</t>
        </is>
      </c>
      <c r="B1161">
        <f>IF(IF(EXACT("Per audit — base",'Model inputs'!AA87)="",FALSE,EXACT("Per audit — base",'Model inputs'!AA87)),IF('Model inputs'!M145="","",'Model inputs'!M145),"")</f>
      </c>
    </row>
    <row r="1162">
      <c r="A1162" t="inlineStr" s="14">
        <is>
          <t xml:space="preserve">Calculation</t>
        </is>
      </c>
      <c r="B1162">
        <f>IF(IF(EXACT("Per audit — high",'Model inputs'!AA87)="",FALSE,EXACT("Per audit — high",'Model inputs'!AA87)),IF('Model inputs'!M146="","",'Model inputs'!M146),"")</f>
      </c>
    </row>
    <row r="1163">
      <c r="A1163" t="inlineStr" s="14">
        <is>
          <t xml:space="preserve">Calculation</t>
        </is>
      </c>
      <c r="B1163">
        <f>IF(IF(EXACT("Per audit — low",'Model inputs'!AA87)="",FALSE,EXACT("Per audit — low",'Model inputs'!AA87)),IF('Model inputs'!M147="","",'Model inputs'!M147),"")</f>
      </c>
    </row>
    <row r="1164">
      <c r="A1164" t="inlineStr" s="14">
        <is>
          <t xml:space="preserve">Calculation</t>
        </is>
      </c>
      <c r="B1164">
        <f>IF(IF(EXACT("Annual deal-team",'Model inputs'!AA87)="",FALSE,EXACT("Annual deal-team",'Model inputs'!AA87)),IF('Model inputs'!N143="","",'Model inputs'!N143),"")</f>
      </c>
    </row>
    <row r="1165">
      <c r="A1165" t="inlineStr" s="14">
        <is>
          <t xml:space="preserve">Calculation</t>
        </is>
      </c>
      <c r="B1165">
        <f>IF(IF(EXACT("Hybrid",'Model inputs'!AA87)="",FALSE,EXACT("Hybrid",'Model inputs'!AA87)),IF('Model inputs'!N144="","",'Model inputs'!N144),"")</f>
      </c>
    </row>
    <row r="1166">
      <c r="A1166" t="inlineStr" s="14">
        <is>
          <t xml:space="preserve">Calculation</t>
        </is>
      </c>
      <c r="B1166">
        <f>IF(IF(EXACT("Per audit — base",'Model inputs'!AA87)="",FALSE,EXACT("Per audit — base",'Model inputs'!AA87)),IF('Model inputs'!N145="","",'Model inputs'!N145),"")</f>
      </c>
    </row>
    <row r="1167">
      <c r="A1167" t="inlineStr" s="14">
        <is>
          <t xml:space="preserve">Calculation</t>
        </is>
      </c>
      <c r="B1167">
        <f>IF(IF(EXACT("Per audit — high",'Model inputs'!AA87)="",FALSE,EXACT("Per audit — high",'Model inputs'!AA87)),IF('Model inputs'!N146="","",'Model inputs'!N146),"")</f>
      </c>
    </row>
    <row r="1168">
      <c r="A1168" t="inlineStr" s="14">
        <is>
          <t xml:space="preserve">Calculation</t>
        </is>
      </c>
      <c r="B1168">
        <f>IF(IF(EXACT("Per audit — low",'Model inputs'!AA87)="",FALSE,EXACT("Per audit — low",'Model inputs'!AA87)),IF('Model inputs'!N147="","",'Model inputs'!N147),"")</f>
      </c>
    </row>
    <row r="1169">
      <c r="A1169" t="inlineStr" s="14">
        <is>
          <t xml:space="preserve">Calculation</t>
        </is>
      </c>
      <c r="B1169">
        <f>IF(IF(EXACT("Annual deal-team",'Model inputs'!AA87)="",FALSE,EXACT("Annual deal-team",'Model inputs'!AA87)),IF('Model inputs'!O143="","",'Model inputs'!O143),"")</f>
      </c>
    </row>
    <row r="1170">
      <c r="A1170" t="inlineStr" s="14">
        <is>
          <t xml:space="preserve">Calculation</t>
        </is>
      </c>
      <c r="B1170">
        <f>IF(IF(EXACT("Hybrid",'Model inputs'!AA87)="",FALSE,EXACT("Hybrid",'Model inputs'!AA87)),IF('Model inputs'!O144="","",'Model inputs'!O144),"")</f>
      </c>
    </row>
    <row r="1171">
      <c r="A1171" t="inlineStr" s="14">
        <is>
          <t xml:space="preserve">Calculation</t>
        </is>
      </c>
      <c r="B1171">
        <f>IF(IF(EXACT("Per audit — base",'Model inputs'!AA87)="",FALSE,EXACT("Per audit — base",'Model inputs'!AA87)),IF('Model inputs'!O145="","",'Model inputs'!O145),"")</f>
      </c>
    </row>
    <row r="1172">
      <c r="A1172" t="inlineStr" s="14">
        <is>
          <t xml:space="preserve">Calculation</t>
        </is>
      </c>
      <c r="B1172">
        <f>IF(IF(EXACT("Per audit — high",'Model inputs'!AA87)="",FALSE,EXACT("Per audit — high",'Model inputs'!AA87)),IF('Model inputs'!O146="","",'Model inputs'!O146),"")</f>
      </c>
    </row>
    <row r="1173">
      <c r="A1173" t="inlineStr" s="14">
        <is>
          <t xml:space="preserve">Calculation</t>
        </is>
      </c>
      <c r="B1173">
        <f>IF(IF(EXACT("Per audit — low",'Model inputs'!AA87)="",FALSE,EXACT("Per audit — low",'Model inputs'!AA87)),IF('Model inputs'!O147="","",'Model inputs'!O147),"")</f>
      </c>
    </row>
    <row r="1174">
      <c r="A1174" t="inlineStr" s="14">
        <is>
          <t xml:space="preserve">Calculation</t>
        </is>
      </c>
      <c r="B1174">
        <f>IF(IF(EXACT("Annual deal-team",'Model inputs'!AA87)="",FALSE,EXACT("Annual deal-team",'Model inputs'!AA87)),IF('Model inputs'!P143="","",'Model inputs'!P143),"")</f>
      </c>
    </row>
    <row r="1175">
      <c r="A1175" t="inlineStr" s="14">
        <is>
          <t xml:space="preserve">Calculation</t>
        </is>
      </c>
      <c r="B1175">
        <f>IF(IF(EXACT("Hybrid",'Model inputs'!AA87)="",FALSE,EXACT("Hybrid",'Model inputs'!AA87)),IF('Model inputs'!P144="","",'Model inputs'!P144),"")</f>
      </c>
    </row>
    <row r="1176">
      <c r="A1176" t="inlineStr" s="14">
        <is>
          <t xml:space="preserve">Calculation</t>
        </is>
      </c>
      <c r="B1176">
        <f>IF(IF(EXACT("Per audit — base",'Model inputs'!AA87)="",FALSE,EXACT("Per audit — base",'Model inputs'!AA87)),IF('Model inputs'!P145="","",'Model inputs'!P145),"")</f>
      </c>
    </row>
    <row r="1177">
      <c r="A1177" t="inlineStr" s="14">
        <is>
          <t xml:space="preserve">Calculation</t>
        </is>
      </c>
      <c r="B1177">
        <f>IF(IF(EXACT("Per audit — high",'Model inputs'!AA87)="",FALSE,EXACT("Per audit — high",'Model inputs'!AA87)),IF('Model inputs'!P146="","",'Model inputs'!P146),"")</f>
      </c>
    </row>
    <row r="1178">
      <c r="A1178" t="inlineStr" s="14">
        <is>
          <t xml:space="preserve">Calculation</t>
        </is>
      </c>
      <c r="B1178">
        <f>IF(IF(EXACT("Per audit — low",'Model inputs'!AA87)="",FALSE,EXACT("Per audit — low",'Model inputs'!AA87)),IF('Model inputs'!P147="","",'Model inputs'!P147),"")</f>
      </c>
    </row>
    <row r="1179">
      <c r="A1179" t="inlineStr" s="14">
        <is>
          <t xml:space="preserve">Calculation</t>
        </is>
      </c>
      <c r="B1179">
        <f>IF(IF(EXACT("Annual deal-team",'Model inputs'!AA87)="",FALSE,EXACT("Annual deal-team",'Model inputs'!AA87)),IF('Model inputs'!Q143="","",'Model inputs'!Q143),"")</f>
      </c>
    </row>
    <row r="1180">
      <c r="A1180" t="inlineStr" s="14">
        <is>
          <t xml:space="preserve">Calculation</t>
        </is>
      </c>
      <c r="B1180">
        <f>IF(IF(EXACT("Hybrid",'Model inputs'!AA87)="",FALSE,EXACT("Hybrid",'Model inputs'!AA87)),IF('Model inputs'!Q144="","",'Model inputs'!Q144),"")</f>
      </c>
    </row>
    <row r="1181">
      <c r="A1181" t="inlineStr" s="14">
        <is>
          <t xml:space="preserve">Calculation</t>
        </is>
      </c>
      <c r="B1181">
        <f>IF(IF(EXACT("Per audit — base",'Model inputs'!AA87)="",FALSE,EXACT("Per audit — base",'Model inputs'!AA87)),IF('Model inputs'!Q145="","",'Model inputs'!Q145),"")</f>
      </c>
    </row>
    <row r="1182">
      <c r="A1182" t="inlineStr" s="14">
        <is>
          <t xml:space="preserve">Calculation</t>
        </is>
      </c>
      <c r="B1182">
        <f>IF(IF(EXACT("Per audit — high",'Model inputs'!AA87)="",FALSE,EXACT("Per audit — high",'Model inputs'!AA87)),IF('Model inputs'!Q146="","",'Model inputs'!Q146),"")</f>
      </c>
    </row>
    <row r="1183">
      <c r="A1183" t="inlineStr" s="14">
        <is>
          <t xml:space="preserve">Calculation</t>
        </is>
      </c>
      <c r="B1183">
        <f>IF(IF(EXACT("Per audit — low",'Model inputs'!AA87)="",FALSE,EXACT("Per audit — low",'Model inputs'!AA87)),IF('Model inputs'!Q147="","",'Model inputs'!Q147),"")</f>
      </c>
    </row>
    <row r="1184">
      <c r="A1184" t="inlineStr" s="14">
        <is>
          <t xml:space="preserve">Calculation</t>
        </is>
      </c>
      <c r="B1184">
        <f>IF(IF(EXACT("Annual deal-team",'Model inputs'!AA87)="",FALSE,EXACT("Annual deal-team",'Model inputs'!AA87)),IF('Model inputs'!R143="","",'Model inputs'!R143),"")</f>
      </c>
    </row>
    <row r="1185">
      <c r="A1185" t="inlineStr" s="14">
        <is>
          <t xml:space="preserve">Calculation</t>
        </is>
      </c>
      <c r="B1185">
        <f>IF(IF(EXACT("Hybrid",'Model inputs'!AA87)="",FALSE,EXACT("Hybrid",'Model inputs'!AA87)),IF('Model inputs'!R144="","",'Model inputs'!R144),"")</f>
      </c>
    </row>
    <row r="1186">
      <c r="A1186" t="inlineStr" s="14">
        <is>
          <t xml:space="preserve">Calculation</t>
        </is>
      </c>
      <c r="B1186">
        <f>IF(IF(EXACT("Per audit — base",'Model inputs'!AA87)="",FALSE,EXACT("Per audit — base",'Model inputs'!AA87)),IF('Model inputs'!R145="","",'Model inputs'!R145),"")</f>
      </c>
    </row>
    <row r="1187">
      <c r="A1187" t="inlineStr" s="14">
        <is>
          <t xml:space="preserve">Calculation</t>
        </is>
      </c>
      <c r="B1187">
        <f>IF(IF(EXACT("Per audit — high",'Model inputs'!AA87)="",FALSE,EXACT("Per audit — high",'Model inputs'!AA87)),IF('Model inputs'!R146="","",'Model inputs'!R146),"")</f>
      </c>
    </row>
    <row r="1188">
      <c r="A1188" t="inlineStr" s="14">
        <is>
          <t xml:space="preserve">Calculation</t>
        </is>
      </c>
      <c r="B1188">
        <f>IF(IF(EXACT("Per audit — low",'Model inputs'!AA87)="",FALSE,EXACT("Per audit — low",'Model inputs'!AA87)),IF('Model inputs'!R147="","",'Model inputs'!R147),"")</f>
      </c>
    </row>
    <row r="1189">
      <c r="A1189" t="inlineStr" s="14">
        <is>
          <t xml:space="preserve">Calculation</t>
        </is>
      </c>
      <c r="B1189">
        <f>IF(IF(EXACT("Annual deal-team",'Model inputs'!AA87)="",FALSE,EXACT("Annual deal-team",'Model inputs'!AA87)),IF('Model inputs'!S143="","",'Model inputs'!S143),"")</f>
      </c>
    </row>
    <row r="1190">
      <c r="A1190" t="inlineStr" s="14">
        <is>
          <t xml:space="preserve">Calculation</t>
        </is>
      </c>
      <c r="B1190">
        <f>IF(IF(EXACT("Hybrid",'Model inputs'!AA87)="",FALSE,EXACT("Hybrid",'Model inputs'!AA87)),IF('Model inputs'!S144="","",'Model inputs'!S144),"")</f>
      </c>
    </row>
    <row r="1191">
      <c r="A1191" t="inlineStr" s="14">
        <is>
          <t xml:space="preserve">Calculation</t>
        </is>
      </c>
      <c r="B1191">
        <f>IF(IF(EXACT("Per audit — base",'Model inputs'!AA87)="",FALSE,EXACT("Per audit — base",'Model inputs'!AA87)),IF('Model inputs'!S145="","",'Model inputs'!S145),"")</f>
      </c>
    </row>
    <row r="1192">
      <c r="A1192" t="inlineStr" s="14">
        <is>
          <t xml:space="preserve">Calculation</t>
        </is>
      </c>
      <c r="B1192">
        <f>IF(IF(EXACT("Per audit — high",'Model inputs'!AA87)="",FALSE,EXACT("Per audit — high",'Model inputs'!AA87)),IF('Model inputs'!S146="","",'Model inputs'!S146),"")</f>
      </c>
    </row>
    <row r="1193">
      <c r="A1193" t="inlineStr" s="14">
        <is>
          <t xml:space="preserve">Calculation</t>
        </is>
      </c>
      <c r="B1193">
        <f>IF(IF(EXACT("Per audit — low",'Model inputs'!AA87)="",FALSE,EXACT("Per audit — low",'Model inputs'!AA87)),IF('Model inputs'!S147="","",'Model inputs'!S147),"")</f>
      </c>
    </row>
    <row r="1194">
      <c r="A1194" t="inlineStr" s="14">
        <is>
          <t xml:space="preserve">Calculation</t>
        </is>
      </c>
      <c r="B1194">
        <f>IF(IF(EXACT("Annual deal-team",'Model inputs'!AA87)="",FALSE,EXACT("Annual deal-team",'Model inputs'!AA87)),IF('Model inputs'!T143="","",'Model inputs'!T143),"")</f>
      </c>
    </row>
    <row r="1195">
      <c r="A1195" t="inlineStr" s="14">
        <is>
          <t xml:space="preserve">Calculation</t>
        </is>
      </c>
      <c r="B1195">
        <f>IF(IF(EXACT("Hybrid",'Model inputs'!AA87)="",FALSE,EXACT("Hybrid",'Model inputs'!AA87)),IF('Model inputs'!T144="","",'Model inputs'!T144),"")</f>
      </c>
    </row>
    <row r="1196">
      <c r="A1196" t="inlineStr" s="14">
        <is>
          <t xml:space="preserve">Calculation</t>
        </is>
      </c>
      <c r="B1196">
        <f>IF(IF(EXACT("Per audit — base",'Model inputs'!AA87)="",FALSE,EXACT("Per audit — base",'Model inputs'!AA87)),IF('Model inputs'!T145="","",'Model inputs'!T145),"")</f>
      </c>
    </row>
    <row r="1197">
      <c r="A1197" t="inlineStr" s="14">
        <is>
          <t xml:space="preserve">Calculation</t>
        </is>
      </c>
      <c r="B1197">
        <f>IF(IF(EXACT("Per audit — high",'Model inputs'!AA87)="",FALSE,EXACT("Per audit — high",'Model inputs'!AA87)),IF('Model inputs'!T146="","",'Model inputs'!T146),"")</f>
      </c>
    </row>
    <row r="1198">
      <c r="A1198" t="inlineStr" s="14">
        <is>
          <t xml:space="preserve">Calculation</t>
        </is>
      </c>
      <c r="B1198">
        <f>IF(IF(EXACT("Per audit — low",'Model inputs'!AA87)="",FALSE,EXACT("Per audit — low",'Model inputs'!AA87)),IF('Model inputs'!T147="","",'Model inputs'!T147),"")</f>
      </c>
    </row>
    <row r="1199">
      <c r="A1199" t="inlineStr" s="14">
        <is>
          <t xml:space="preserve">Calculation</t>
        </is>
      </c>
      <c r="B1199">
        <f>IF(IF(EXACT("Annual deal-team",'Model inputs'!AA87)="",FALSE,EXACT("Annual deal-team",'Model inputs'!AA87)),IF('Model inputs'!U143="","",'Model inputs'!U143),"")</f>
      </c>
    </row>
    <row r="1200">
      <c r="A1200" t="inlineStr" s="14">
        <is>
          <t xml:space="preserve">Calculation</t>
        </is>
      </c>
      <c r="B1200">
        <f>IF(IF(EXACT("Hybrid",'Model inputs'!AA87)="",FALSE,EXACT("Hybrid",'Model inputs'!AA87)),IF('Model inputs'!U144="","",'Model inputs'!U144),"")</f>
      </c>
    </row>
    <row r="1201">
      <c r="A1201" t="inlineStr" s="14">
        <is>
          <t xml:space="preserve">Calculation</t>
        </is>
      </c>
      <c r="B1201">
        <f>IF(IF(EXACT("Per audit — base",'Model inputs'!AA87)="",FALSE,EXACT("Per audit — base",'Model inputs'!AA87)),IF('Model inputs'!U145="","",'Model inputs'!U145),"")</f>
      </c>
    </row>
    <row r="1202">
      <c r="A1202" t="inlineStr" s="14">
        <is>
          <t xml:space="preserve">Calculation</t>
        </is>
      </c>
      <c r="B1202">
        <f>IF(IF(EXACT("Per audit — high",'Model inputs'!AA87)="",FALSE,EXACT("Per audit — high",'Model inputs'!AA87)),IF('Model inputs'!U146="","",'Model inputs'!U146),"")</f>
      </c>
    </row>
    <row r="1203">
      <c r="A1203" t="inlineStr" s="14">
        <is>
          <t xml:space="preserve">Calculation</t>
        </is>
      </c>
      <c r="B1203">
        <f>IF(IF(EXACT("Per audit — low",'Model inputs'!AA87)="",FALSE,EXACT("Per audit — low",'Model inputs'!AA87)),IF('Model inputs'!U147="","",'Model inputs'!U147),"")</f>
      </c>
    </row>
    <row r="1204">
      <c r="A1204" t="inlineStr" s="14">
        <is>
          <t xml:space="preserve">Calculation</t>
        </is>
      </c>
      <c r="B1204">
        <f>IF(IF(EXACT("Annual deal-team",'Model inputs'!AA87)="",FALSE,EXACT("Annual deal-team",'Model inputs'!AA87)),IF('Model inputs'!V143="","",'Model inputs'!V143),"")</f>
      </c>
    </row>
    <row r="1205">
      <c r="A1205" t="inlineStr" s="14">
        <is>
          <t xml:space="preserve">Calculation</t>
        </is>
      </c>
      <c r="B1205">
        <f>IF(IF(EXACT("Hybrid",'Model inputs'!AA87)="",FALSE,EXACT("Hybrid",'Model inputs'!AA87)),IF('Model inputs'!V144="","",'Model inputs'!V144),"")</f>
      </c>
    </row>
    <row r="1206">
      <c r="A1206" t="inlineStr" s="14">
        <is>
          <t xml:space="preserve">Calculation</t>
        </is>
      </c>
      <c r="B1206">
        <f>IF(IF(EXACT("Per audit — base",'Model inputs'!AA87)="",FALSE,EXACT("Per audit — base",'Model inputs'!AA87)),IF('Model inputs'!V145="","",'Model inputs'!V145),"")</f>
      </c>
    </row>
    <row r="1207">
      <c r="A1207" t="inlineStr" s="14">
        <is>
          <t xml:space="preserve">Calculation</t>
        </is>
      </c>
      <c r="B1207">
        <f>IF(IF(EXACT("Per audit — high",'Model inputs'!AA87)="",FALSE,EXACT("Per audit — high",'Model inputs'!AA87)),IF('Model inputs'!V146="","",'Model inputs'!V146),"")</f>
      </c>
    </row>
    <row r="1208">
      <c r="A1208" t="inlineStr" s="14">
        <is>
          <t xml:space="preserve">Calculation</t>
        </is>
      </c>
      <c r="B1208">
        <f>IF(IF(EXACT("Per audit — low",'Model inputs'!AA87)="",FALSE,EXACT("Per audit — low",'Model inputs'!AA87)),IF('Model inputs'!V147="","",'Model inputs'!V147),"")</f>
      </c>
    </row>
    <row r="1209">
      <c r="A1209" t="inlineStr" s="14">
        <is>
          <t xml:space="preserve">Calculation</t>
        </is>
      </c>
      <c r="B1209">
        <f>IF(IF(EXACT("Annual deal-team",'Model inputs'!AA87)="",FALSE,EXACT("Annual deal-team",'Model inputs'!AA87)),IF('Model inputs'!W143="","",'Model inputs'!W143),"")</f>
      </c>
    </row>
    <row r="1210">
      <c r="A1210" t="inlineStr" s="14">
        <is>
          <t xml:space="preserve">Calculation</t>
        </is>
      </c>
      <c r="B1210">
        <f>IF(IF(EXACT("Hybrid",'Model inputs'!AA87)="",FALSE,EXACT("Hybrid",'Model inputs'!AA87)),IF('Model inputs'!W144="","",'Model inputs'!W144),"")</f>
      </c>
    </row>
    <row r="1211">
      <c r="A1211" t="inlineStr" s="14">
        <is>
          <t xml:space="preserve">Calculation</t>
        </is>
      </c>
      <c r="B1211">
        <f>IF(IF(EXACT("Per audit — base",'Model inputs'!AA87)="",FALSE,EXACT("Per audit — base",'Model inputs'!AA87)),IF('Model inputs'!W145="","",'Model inputs'!W145),"")</f>
      </c>
    </row>
    <row r="1212">
      <c r="A1212" t="inlineStr" s="14">
        <is>
          <t xml:space="preserve">Calculation</t>
        </is>
      </c>
      <c r="B1212">
        <f>IF(IF(EXACT("Per audit — high",'Model inputs'!AA87)="",FALSE,EXACT("Per audit — high",'Model inputs'!AA87)),IF('Model inputs'!W146="","",'Model inputs'!W146),"")</f>
      </c>
    </row>
    <row r="1213">
      <c r="A1213" t="inlineStr" s="14">
        <is>
          <t xml:space="preserve">Calculation</t>
        </is>
      </c>
      <c r="B1213">
        <f>IF(IF(EXACT("Per audit — low",'Model inputs'!AA87)="",FALSE,EXACT("Per audit — low",'Model inputs'!AA87)),IF('Model inputs'!W147="","",'Model inputs'!W147),"")</f>
      </c>
    </row>
    <row r="1214">
      <c r="A1214" t="inlineStr" s="14">
        <is>
          <t xml:space="preserve">Calculation</t>
        </is>
      </c>
      <c r="B1214">
        <f>IF(IF(EXACT("Annual deal-team",'Model inputs'!AA87)="",FALSE,EXACT("Annual deal-team",'Model inputs'!AA87)),IF('Model inputs'!X143="","",'Model inputs'!X143),"")</f>
      </c>
    </row>
    <row r="1215">
      <c r="A1215" t="inlineStr" s="14">
        <is>
          <t xml:space="preserve">Calculation</t>
        </is>
      </c>
      <c r="B1215">
        <f>IF(IF(EXACT("Hybrid",'Model inputs'!AA87)="",FALSE,EXACT("Hybrid",'Model inputs'!AA87)),IF('Model inputs'!X144="","",'Model inputs'!X144),"")</f>
      </c>
    </row>
    <row r="1216">
      <c r="A1216" t="inlineStr" s="14">
        <is>
          <t xml:space="preserve">Calculation</t>
        </is>
      </c>
      <c r="B1216">
        <f>IF(IF(EXACT("Per audit — base",'Model inputs'!AA87)="",FALSE,EXACT("Per audit — base",'Model inputs'!AA87)),IF('Model inputs'!X145="","",'Model inputs'!X145),"")</f>
      </c>
    </row>
    <row r="1217">
      <c r="A1217" t="inlineStr" s="14">
        <is>
          <t xml:space="preserve">Calculation</t>
        </is>
      </c>
      <c r="B1217">
        <f>IF(IF(EXACT("Per audit — high",'Model inputs'!AA87)="",FALSE,EXACT("Per audit — high",'Model inputs'!AA87)),IF('Model inputs'!X146="","",'Model inputs'!X146),"")</f>
      </c>
    </row>
    <row r="1218">
      <c r="A1218" t="inlineStr" s="14">
        <is>
          <t xml:space="preserve">Calculation</t>
        </is>
      </c>
      <c r="B1218">
        <f>IF(IF(EXACT("Per audit — low",'Model inputs'!AA87)="",FALSE,EXACT("Per audit — low",'Model inputs'!AA87)),IF('Model inputs'!X147="","",'Model inputs'!X147),"")</f>
      </c>
    </row>
    <row r="1219">
      <c r="A1219" t="inlineStr" s="14">
        <is>
          <t xml:space="preserve">Calculation</t>
        </is>
      </c>
      <c r="B1219">
        <f>IF(IF(EXACT("Annual deal-team",'Model inputs'!AA87)="",FALSE,EXACT("Annual deal-team",'Model inputs'!AA87)),IF('Model inputs'!Y143="","",'Model inputs'!Y143),"")</f>
      </c>
    </row>
    <row r="1220">
      <c r="A1220" t="inlineStr" s="14">
        <is>
          <t xml:space="preserve">Calculation</t>
        </is>
      </c>
      <c r="B1220">
        <f>IF(IF(EXACT("Hybrid",'Model inputs'!AA87)="",FALSE,EXACT("Hybrid",'Model inputs'!AA87)),IF('Model inputs'!Y144="","",'Model inputs'!Y144),"")</f>
      </c>
    </row>
    <row r="1221">
      <c r="A1221" t="inlineStr" s="14">
        <is>
          <t xml:space="preserve">Calculation</t>
        </is>
      </c>
      <c r="B1221">
        <f>IF(IF(EXACT("Per audit — base",'Model inputs'!AA87)="",FALSE,EXACT("Per audit — base",'Model inputs'!AA87)),IF('Model inputs'!Y145="","",'Model inputs'!Y145),"")</f>
      </c>
    </row>
    <row r="1222">
      <c r="A1222" t="inlineStr" s="14">
        <is>
          <t xml:space="preserve">Calculation</t>
        </is>
      </c>
      <c r="B1222">
        <f>IF(IF(EXACT("Per audit — high",'Model inputs'!AA87)="",FALSE,EXACT("Per audit — high",'Model inputs'!AA87)),IF('Model inputs'!Y146="","",'Model inputs'!Y146),"")</f>
      </c>
    </row>
    <row r="1223">
      <c r="A1223" t="inlineStr" s="14">
        <is>
          <t xml:space="preserve">Calculation</t>
        </is>
      </c>
      <c r="B1223">
        <f>IF(IF(EXACT("Per audit — low",'Model inputs'!AA87)="",FALSE,EXACT("Per audit — low",'Model inputs'!AA87)),IF('Model inputs'!Y147="","",'Model inputs'!Y147),"")</f>
      </c>
    </row>
    <row r="1224">
      <c r="A1224" t="inlineStr" s="14">
        <is>
          <t xml:space="preserve">Calculation</t>
        </is>
      </c>
      <c r="B1224">
        <f>IF(IF(EXACT("Annual deal-team",'Model inputs'!AA87)="",FALSE,EXACT("Annual deal-team",'Model inputs'!AA87)),IF('Model inputs'!Z143="","",'Model inputs'!Z143),"")</f>
      </c>
    </row>
    <row r="1225">
      <c r="A1225" t="inlineStr" s="14">
        <is>
          <t xml:space="preserve">Calculation</t>
        </is>
      </c>
      <c r="B1225">
        <f>IF(IF(EXACT("Hybrid",'Model inputs'!AA87)="",FALSE,EXACT("Hybrid",'Model inputs'!AA87)),IF('Model inputs'!Z144="","",'Model inputs'!Z144),"")</f>
      </c>
    </row>
    <row r="1226">
      <c r="A1226" t="inlineStr" s="14">
        <is>
          <t xml:space="preserve">Calculation</t>
        </is>
      </c>
      <c r="B1226">
        <f>IF(IF(EXACT("Per audit — base",'Model inputs'!AA87)="",FALSE,EXACT("Per audit — base",'Model inputs'!AA87)),IF('Model inputs'!Z145="","",'Model inputs'!Z145),"")</f>
      </c>
    </row>
    <row r="1227">
      <c r="A1227" t="inlineStr" s="14">
        <is>
          <t xml:space="preserve">Calculation</t>
        </is>
      </c>
      <c r="B1227">
        <f>IF(IF(EXACT("Per audit — high",'Model inputs'!AA87)="",FALSE,EXACT("Per audit — high",'Model inputs'!AA87)),IF('Model inputs'!Z146="","",'Model inputs'!Z146),"")</f>
      </c>
    </row>
    <row r="1228">
      <c r="A1228" t="inlineStr" s="14">
        <is>
          <t xml:space="preserve">Calculation</t>
        </is>
      </c>
      <c r="B1228">
        <f>IF(IF(EXACT("Per audit — low",'Model inputs'!AA87)="",FALSE,EXACT("Per audit — low",'Model inputs'!AA87)),IF('Model inputs'!Z147="","",'Model inputs'!Z147),"")</f>
      </c>
    </row>
  </sheetData>
  <mergeCells count="2">
    <mergeCell ref="A1:AA1"/>
    <mergeCell ref="A2:AA2"/>
  </mergeCells>
</worksheet>
</file>

<file path=xl/worksheets/sheet3.xml><?xml version="1.0" encoding="utf-8"?>
<worksheet xmlns="http://schemas.openxmlformats.org/spreadsheetml/2006/main">
  <dimension ref="A1:F8"/>
  <sheetViews>
    <sheetView showGridLines="0" workbookViewId="0">
      <pane xSplit="0" ySplit="4" topLeftCell="A5" activePane="bottomRight" state="frozen"/>
      <selection pane="bottomRight" activeCell="A5" sqref="A5"/>
    </sheetView>
  </sheetViews>
  <sheetFormatPr defaultRowHeight="18"/>
  <cols>
    <col min="1" max="1" width="32" customWidth="1"/>
    <col min="2" max="2" width="10" customWidth="1"/>
    <col min="3" max="3" width="36" customWidth="1"/>
    <col min="4" max="4" width="14" customWidth="1"/>
    <col min="5" max="5" width="24" customWidth="1"/>
    <col min="6" max="6" width="80" customWidth="1"/>
  </cols>
  <sheetData>
    <row r="1" ht="32" customHeight="1">
      <c r="A1" t="inlineStr" s="1">
        <is>
          <t xml:space="preserve">Export notes</t>
        </is>
      </c>
    </row>
    <row r="2" ht="20" customHeight="1">
      <c r="A2" t="inlineStr" s="2">
        <is>
          <t xml:space="preserve">These cells hold the value cfo.ai calculated instead of a formula. They do not recalculate when you edit an input.</t>
        </is>
      </c>
    </row>
    <row r="4" ht="22" customHeight="1">
      <c r="A4" t="inlineStr" s="3">
        <is>
          <t xml:space="preserve">Sheet</t>
        </is>
      </c>
      <c r="B4" t="inlineStr" s="3">
        <is>
          <t xml:space="preserve">Cell</t>
        </is>
      </c>
      <c r="C4" t="inlineStr" s="3">
        <is>
          <t xml:space="preserve">Variable</t>
        </is>
      </c>
      <c r="D4" t="inlineStr" s="3">
        <is>
          <t xml:space="preserve">Period</t>
        </is>
      </c>
      <c r="E4" t="inlineStr" s="3">
        <is>
          <t xml:space="preserve">Scenario</t>
        </is>
      </c>
      <c r="F4" t="inlineStr" s="3">
        <is>
          <t xml:space="preserve">Why</t>
        </is>
      </c>
    </row>
    <row r="5">
      <c r="A5" t="inlineStr" s="17">
        <is>
          <t xml:space="preserve">Model inputs</t>
        </is>
      </c>
      <c r="B5" t="inlineStr" s="17">
        <is>
          <t xml:space="preserve">AA112</t>
        </is>
      </c>
      <c r="C5" t="inlineStr" s="17">
        <is>
          <t xml:space="preserve">Customer monthly delivered audits</t>
        </is>
      </c>
      <c r="D5" t="inlineStr" s="17">
        <is>
          <t xml:space="preserve"/>
        </is>
      </c>
      <c r="E5" t="inlineStr" s="17">
        <is>
          <t xml:space="preserve">Growth</t>
        </is>
      </c>
      <c r="F5" t="inlineStr" s="17">
        <is>
          <t xml:space="preserve">It reads Pricing model, which this workbook does not contain.</t>
        </is>
      </c>
    </row>
    <row r="6">
      <c r="A6" t="inlineStr" s="17">
        <is>
          <t xml:space="preserve">Model inputs</t>
        </is>
      </c>
      <c r="B6" t="inlineStr" s="17">
        <is>
          <t xml:space="preserve">AA118</t>
        </is>
      </c>
      <c r="C6" t="inlineStr" s="17">
        <is>
          <t xml:space="preserve">Customer monthly delivered audits</t>
        </is>
      </c>
      <c r="D6" t="inlineStr" s="17">
        <is>
          <t xml:space="preserve"/>
        </is>
      </c>
      <c r="E6" t="inlineStr" s="17">
        <is>
          <t xml:space="preserve">Conservative</t>
        </is>
      </c>
      <c r="F6" t="inlineStr" s="17">
        <is>
          <t xml:space="preserve">It reads Pricing model, which this workbook does not contain.</t>
        </is>
      </c>
    </row>
    <row r="7">
      <c r="A7" t="inlineStr" s="17">
        <is>
          <t xml:space="preserve">Model inputs</t>
        </is>
      </c>
      <c r="B7" t="inlineStr" s="17">
        <is>
          <t xml:space="preserve">AA124</t>
        </is>
      </c>
      <c r="C7" t="inlineStr" s="17">
        <is>
          <t xml:space="preserve">Customer monthly earned revenue</t>
        </is>
      </c>
      <c r="D7" t="inlineStr" s="17">
        <is>
          <t xml:space="preserve"/>
        </is>
      </c>
      <c r="E7" t="inlineStr" s="17">
        <is>
          <t xml:space="preserve">Growth</t>
        </is>
      </c>
      <c r="F7" t="inlineStr" s="17">
        <is>
          <t xml:space="preserve">It reads Pricing model, which this workbook does not contain.</t>
        </is>
      </c>
    </row>
    <row r="8">
      <c r="A8" t="inlineStr" s="17">
        <is>
          <t xml:space="preserve">Model inputs</t>
        </is>
      </c>
      <c r="B8" t="inlineStr" s="17">
        <is>
          <t xml:space="preserve">AA130</t>
        </is>
      </c>
      <c r="C8" t="inlineStr" s="17">
        <is>
          <t xml:space="preserve">Customer monthly earned revenue</t>
        </is>
      </c>
      <c r="D8" t="inlineStr" s="17">
        <is>
          <t xml:space="preserve"/>
        </is>
      </c>
      <c r="E8" t="inlineStr" s="17">
        <is>
          <t xml:space="preserve">Conservative</t>
        </is>
      </c>
      <c r="F8" t="inlineStr" s="17">
        <is>
          <t xml:space="preserve">It reads Pricing model, which this workbook does not contain.</t>
        </is>
      </c>
    </row>
  </sheetData>
  <mergeCells count="2">
    <mergeCell ref="A1:F1"/>
    <mergeCell ref="A2:F2"/>
  </mergeCells>
</worksheet>
</file>