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ealScope editable drivers" sheetId="1" r:id="rId1"/>
    <sheet name="DealScope pricing inputs" sheetId="2" r:id="rId2"/>
    <sheet name="DealScope delivery unit cos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###;(#,##0.###)"/>
    <numFmt numFmtId="165" formatCode="0.00%"/>
    <numFmt numFmtId="166" formatCode="&quot;$&quot;#,##0.00;(&quot;$&quot;#,##0.00)"/>
    <numFmt numFmtId="167" formatCode="yyyy-mm-dd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4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DealScope editable drivers</t>
        </is>
      </c>
    </row>
    <row r="2" ht="20" customHeight="1">
      <c r="A2" t="inlineStr" s="2">
        <is>
          <t xml:space="preserve">DealScope — 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Target paying customers</t>
        </is>
      </c>
      <c r="B5" s="6">
        <f>5</f>
        <v>5</v>
      </c>
    </row>
    <row r="6">
      <c r="A6" t="inlineStr" s="7">
        <is>
          <t xml:space="preserve">Audits per customer per month</t>
        </is>
      </c>
      <c r="B6" s="8">
        <f>3</f>
        <v>3</v>
      </c>
    </row>
    <row r="7">
      <c r="A7" t="inlineStr" s="7">
        <is>
          <t xml:space="preserve">Sales delay months</t>
        </is>
      </c>
      <c r="B7" s="8">
        <f>0</f>
        <v>0</v>
      </c>
    </row>
    <row r="8">
      <c r="A8" t="inlineStr" s="7">
        <is>
          <t xml:space="preserve">Linear customer ramp switch</t>
        </is>
      </c>
      <c r="B8" s="8">
        <f>0</f>
        <v>0</v>
      </c>
    </row>
    <row r="9">
      <c r="A9" t="inlineStr" s="7">
        <is>
          <t xml:space="preserve">Selected pricing model</t>
        </is>
      </c>
      <c r="B9" t="str" s="8">
        <f>"Per audit — base"</f>
        <v>Per audit — base</v>
      </c>
    </row>
    <row r="10">
      <c r="A10" t="inlineStr" s="7">
        <is>
          <t xml:space="preserve">Price discount</t>
        </is>
      </c>
      <c r="B10" s="9">
        <f>0</f>
        <v>0</v>
      </c>
    </row>
    <row r="11">
      <c r="A11" t="inlineStr" s="7">
        <is>
          <t xml:space="preserve">Data and model cost multiplier</t>
        </is>
      </c>
      <c r="B11" s="8">
        <f>1</f>
        <v>1</v>
      </c>
    </row>
    <row r="12">
      <c r="A12" t="inlineStr" s="7">
        <is>
          <t xml:space="preserve">Crustdata credits per audit</t>
        </is>
      </c>
      <c r="B12" s="8">
        <f>26</f>
        <v>26</v>
      </c>
    </row>
    <row r="13">
      <c r="A13" t="inlineStr" s="7">
        <is>
          <t xml:space="preserve">Crustdata credit cap</t>
        </is>
      </c>
      <c r="B13" s="8">
        <f>40</f>
        <v>40</v>
      </c>
    </row>
    <row r="14">
      <c r="A14" t="inlineStr" s="7">
        <is>
          <t xml:space="preserve">Crustdata dollars per credit</t>
        </is>
      </c>
      <c r="B14" s="10">
        <f>0.1</f>
        <v>0.1</v>
      </c>
    </row>
    <row r="15">
      <c r="A15" t="inlineStr" s="7">
        <is>
          <t xml:space="preserve">Flash inference per audit</t>
        </is>
      </c>
      <c r="B15" s="10">
        <f>0.05</f>
        <v>0.05</v>
      </c>
    </row>
    <row r="16">
      <c r="A16" t="inlineStr" s="7">
        <is>
          <t xml:space="preserve">Escalation cost multiple</t>
        </is>
      </c>
      <c r="B16" s="8">
        <f>5</f>
        <v>5</v>
      </c>
    </row>
    <row r="17">
      <c r="A17" t="inlineStr" s="7">
        <is>
          <t xml:space="preserve">Escalation share</t>
        </is>
      </c>
      <c r="B17" s="9">
        <f>0</f>
        <v>0</v>
      </c>
    </row>
    <row r="18">
      <c r="A18" t="inlineStr" s="7">
        <is>
          <t xml:space="preserve">QA hours per audit</t>
        </is>
      </c>
      <c r="B18" s="8">
        <f>1.5</f>
        <v>1.5</v>
      </c>
    </row>
    <row r="19">
      <c r="A19" t="inlineStr" s="7">
        <is>
          <t xml:space="preserve">QA dollars per hour</t>
        </is>
      </c>
      <c r="B19" s="10">
        <f>60</f>
        <v>60</v>
      </c>
    </row>
    <row r="20">
      <c r="A20" t="inlineStr" s="7">
        <is>
          <t xml:space="preserve">Support hours per customer per month</t>
        </is>
      </c>
      <c r="B20" s="8">
        <f>0.5</f>
        <v>0.5</v>
      </c>
    </row>
    <row r="21">
      <c r="A21" t="inlineStr" s="7">
        <is>
          <t xml:space="preserve">Support dollars per hour</t>
        </is>
      </c>
      <c r="B21" s="10">
        <f>60</f>
        <v>60</v>
      </c>
    </row>
    <row r="22">
      <c r="A22" t="inlineStr" s="7">
        <is>
          <t xml:space="preserve">Delivery tooling per audit</t>
        </is>
      </c>
      <c r="B22" s="10">
        <f>2</f>
        <v>2</v>
      </c>
    </row>
    <row r="23">
      <c r="A23" t="inlineStr" s="7">
        <is>
          <t xml:space="preserve">Processing rate</t>
        </is>
      </c>
      <c r="B23" s="9">
        <f>0.03</f>
        <v>0.03</v>
      </c>
    </row>
    <row r="24">
      <c r="A24" t="inlineStr" s="7">
        <is>
          <t xml:space="preserve">Hosting monthly</t>
        </is>
      </c>
      <c r="B24" s="10">
        <f>150</f>
        <v>150</v>
      </c>
    </row>
    <row r="25">
      <c r="A25" t="inlineStr" s="7">
        <is>
          <t xml:space="preserve">Software monthly</t>
        </is>
      </c>
      <c r="B25" s="10">
        <f>100</f>
        <v>100</v>
      </c>
    </row>
    <row r="26">
      <c r="A26" t="inlineStr" s="7">
        <is>
          <t xml:space="preserve">Data minimum monthly</t>
        </is>
      </c>
      <c r="B26" s="10">
        <f>0</f>
        <v>0</v>
      </c>
    </row>
    <row r="27">
      <c r="A27" t="inlineStr" s="7">
        <is>
          <t xml:space="preserve">Compliance monthly</t>
        </is>
      </c>
      <c r="B27" s="10">
        <f>500</f>
        <v>500</v>
      </c>
    </row>
    <row r="28">
      <c r="A28" t="inlineStr" s="7">
        <is>
          <t xml:space="preserve">Compliance start month</t>
        </is>
      </c>
      <c r="B28" s="8">
        <f>6</f>
        <v>6</v>
      </c>
    </row>
    <row r="29">
      <c r="A29" t="inlineStr" s="7">
        <is>
          <t xml:space="preserve">Founder salary monthly</t>
        </is>
      </c>
      <c r="B29" s="10">
        <f>0</f>
        <v>0</v>
      </c>
    </row>
    <row r="30">
      <c r="A30" t="inlineStr" s="7">
        <is>
          <t xml:space="preserve">Sales marketing monthly</t>
        </is>
      </c>
      <c r="B30" s="10">
        <f>500</f>
        <v>500</v>
      </c>
    </row>
    <row r="31">
      <c r="A31" t="inlineStr" s="7">
        <is>
          <t xml:space="preserve">Cash supplied switch</t>
        </is>
      </c>
      <c r="B31" s="8">
        <f>0</f>
        <v>0</v>
      </c>
    </row>
    <row r="32">
      <c r="A32" t="inlineStr" s="7">
        <is>
          <t xml:space="preserve">Available opening cash</t>
        </is>
      </c>
      <c r="B32" t="str" s="10">
        <f>""</f>
        <v/>
      </c>
    </row>
    <row r="33">
      <c r="A33" t="inlineStr" s="7">
        <is>
          <t xml:space="preserve">Actual credit allocation</t>
        </is>
      </c>
      <c r="B33" s="8">
        <f>200</f>
        <v>200</v>
      </c>
    </row>
    <row r="34">
      <c r="A34" t="inlineStr" s="7">
        <is>
          <t xml:space="preserve">Annual included audits</t>
        </is>
      </c>
      <c r="B34" s="8">
        <f>24</f>
        <v>24</v>
      </c>
    </row>
    <row r="35">
      <c r="A35" t="inlineStr" s="7">
        <is>
          <t xml:space="preserve">Annual overage price</t>
        </is>
      </c>
      <c r="B35" s="10">
        <f>1000</f>
        <v>1000</v>
      </c>
    </row>
    <row r="36">
      <c r="A36" t="inlineStr" s="7">
        <is>
          <t xml:space="preserve">Annual fee</t>
        </is>
      </c>
      <c r="B36" s="10">
        <f>24000</f>
        <v>24000</v>
      </c>
    </row>
    <row r="37">
      <c r="A37" t="inlineStr" s="7">
        <is>
          <t xml:space="preserve">Hybrid workspace fee</t>
        </is>
      </c>
      <c r="B37" s="10">
        <f>6000</f>
        <v>6000</v>
      </c>
    </row>
    <row r="38">
      <c r="A38" t="inlineStr" s="7">
        <is>
          <t xml:space="preserve">Hybrid audit price</t>
        </is>
      </c>
      <c r="B38" s="10">
        <f>1000</f>
        <v>1000</v>
      </c>
    </row>
    <row r="39">
      <c r="A39" t="inlineStr" s="7">
        <is>
          <t xml:space="preserve">Annual utilization</t>
        </is>
      </c>
      <c r="B39" s="9">
        <f>1</f>
        <v>1</v>
      </c>
    </row>
    <row r="40">
      <c r="A40" t="inlineStr" s="7">
        <is>
          <t xml:space="preserve">Forecast start date</t>
        </is>
      </c>
      <c r="B40" s="11">
        <f>DATE(2026,10,1)</f>
        <v>46296</v>
      </c>
    </row>
    <row r="41">
      <c r="A41" t="inlineStr" s="7">
        <is>
          <t xml:space="preserve">Forecast months</t>
        </is>
      </c>
      <c r="B41" s="8">
        <f>12</f>
        <v>12</v>
      </c>
    </row>
    <row r="42">
      <c r="A42" t="inlineStr" s="7">
        <is>
          <t xml:space="preserve">Actual customers</t>
        </is>
      </c>
      <c r="B42" s="8">
        <f>0</f>
        <v>0</v>
      </c>
    </row>
    <row r="43">
      <c r="A43" t="inlineStr" s="7">
        <is>
          <t xml:space="preserve">Actual revenue</t>
        </is>
      </c>
      <c r="B43" s="8">
        <f>0</f>
        <v>0</v>
      </c>
    </row>
    <row r="44">
      <c r="A44" t="inlineStr" s="5">
        <is>
          <t xml:space="preserve">Actual signed pilots</t>
        </is>
      </c>
      <c r="B44" s="6">
        <f>0</f>
        <v>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E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DealScope pricing inputs</t>
        </is>
      </c>
    </row>
    <row r="2" ht="20" customHeight="1">
      <c r="A2" t="inlineStr" s="2">
        <is>
          <t xml:space="preserve">DealScope — 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Audit list price</t>
        </is>
      </c>
      <c r="C4" t="inlineStr" s="4">
        <is>
          <t xml:space="preserve">Upfront subscription fee</t>
        </is>
      </c>
      <c r="D4" t="inlineStr" s="4">
        <is>
          <t xml:space="preserve">Included annual audits</t>
        </is>
      </c>
      <c r="E4" t="inlineStr" s="4">
        <is>
          <t xml:space="preserve">Overage audit price</t>
        </is>
      </c>
    </row>
    <row r="5">
      <c r="A5" t="inlineStr" s="5">
        <is>
          <t xml:space="preserve">Per audit — low</t>
        </is>
      </c>
      <c r="B5" s="12">
        <f>750</f>
        <v>750</v>
      </c>
      <c r="C5" s="12">
        <f>0</f>
        <v>0</v>
      </c>
      <c r="D5" s="6">
        <f>0</f>
        <v>0</v>
      </c>
      <c r="E5" s="12">
        <f>0</f>
        <v>0</v>
      </c>
    </row>
    <row r="6">
      <c r="A6" t="inlineStr" s="7">
        <is>
          <t xml:space="preserve">Per audit — base</t>
        </is>
      </c>
      <c r="B6" s="10">
        <f>1500</f>
        <v>1500</v>
      </c>
      <c r="C6" s="10">
        <f>0</f>
        <v>0</v>
      </c>
      <c r="D6" s="8">
        <f>0</f>
        <v>0</v>
      </c>
      <c r="E6" s="10">
        <f>0</f>
        <v>0</v>
      </c>
    </row>
    <row r="7">
      <c r="A7" t="inlineStr" s="7">
        <is>
          <t xml:space="preserve">Per audit — high</t>
        </is>
      </c>
      <c r="B7" s="10">
        <f>3000</f>
        <v>3000</v>
      </c>
      <c r="C7" s="10">
        <f>0</f>
        <v>0</v>
      </c>
      <c r="D7" s="8">
        <f>0</f>
        <v>0</v>
      </c>
      <c r="E7" s="10">
        <f>0</f>
        <v>0</v>
      </c>
    </row>
    <row r="8">
      <c r="A8" t="inlineStr" s="7">
        <is>
          <t xml:space="preserve">Annual deal-team</t>
        </is>
      </c>
      <c r="B8" s="10">
        <f>0</f>
        <v>0</v>
      </c>
      <c r="C8" s="10">
        <f>IF('DealScope editable drivers'!B36="","",'DealScope editable drivers'!B36)</f>
        <v>24000</v>
      </c>
      <c r="D8" s="8">
        <f>IF('DealScope editable drivers'!B34="","",'DealScope editable drivers'!B34)</f>
        <v>24</v>
      </c>
      <c r="E8" s="10">
        <f>IF('DealScope editable drivers'!B35="","",'DealScope editable drivers'!B35)</f>
        <v>1000</v>
      </c>
    </row>
    <row r="9">
      <c r="A9" t="inlineStr" s="5">
        <is>
          <t xml:space="preserve">Hybrid</t>
        </is>
      </c>
      <c r="B9" s="12">
        <f>IF('DealScope editable drivers'!B38="","",'DealScope editable drivers'!B38)</f>
        <v>1000</v>
      </c>
      <c r="C9" s="12">
        <f>IF('DealScope editable drivers'!B37="","",'DealScope editable drivers'!B37)</f>
        <v>6000</v>
      </c>
      <c r="D9" s="6">
        <f>0</f>
        <v>0</v>
      </c>
      <c r="E9" s="12">
        <f>0</f>
        <v>0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>
  <dimension ref="A1:B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DealScope delivery unit costs</t>
        </is>
      </c>
    </row>
    <row r="2" ht="20" customHeight="1">
      <c r="A2" t="inlineStr" s="2">
        <is>
          <t xml:space="preserve">DealScope — 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Crustdata cost per audit</t>
        </is>
      </c>
      <c r="B5" s="12">
        <f>'DealScope editable drivers'!B12*'DealScope editable drivers'!B14*'DealScope editable drivers'!B11</f>
        <v>2.6</v>
      </c>
    </row>
    <row r="6">
      <c r="A6" t="inlineStr" s="7">
        <is>
          <t xml:space="preserve">LLM cost per audit</t>
        </is>
      </c>
      <c r="B6" s="10">
        <f>'DealScope editable drivers'!B15*(1+'DealScope editable drivers'!B17*('DealScope editable drivers'!B16-1))*'DealScope editable drivers'!B11</f>
        <v>0.05</v>
      </c>
    </row>
    <row r="7">
      <c r="A7" t="inlineStr" s="7">
        <is>
          <t xml:space="preserve">QA cost per audit</t>
        </is>
      </c>
      <c r="B7" s="10">
        <f>'DealScope editable drivers'!B18*'DealScope editable drivers'!B19</f>
        <v>90</v>
      </c>
    </row>
    <row r="8">
      <c r="A8" t="inlineStr" s="7">
        <is>
          <t xml:space="preserve">Delivery cost per audit</t>
        </is>
      </c>
      <c r="B8" s="10">
        <f>'DealScope delivery unit costs'!B5+'DealScope delivery unit costs'!B6+'DealScope delivery unit costs'!B7+'DealScope editable drivers'!B22</f>
        <v>94.65</v>
      </c>
    </row>
    <row r="9">
      <c r="A9" t="inlineStr" s="7">
        <is>
          <t xml:space="preserve">Credits within cap switch</t>
        </is>
      </c>
      <c r="B9" s="8">
        <f>IF(IF(IF(ISERROR('DealScope editable drivers'!B12&lt;='DealScope editable drivers'!B13),'DealScope editable drivers'!B12&lt;='DealScope editable drivers'!B13,IF(OR('DealScope editable drivers'!B12="",'DealScope editable drivers'!B13=""),"",'DealScope editable drivers'!B12&lt;='DealScope editable drivers'!B13))="",FALSE,IF(ISERROR('DealScope editable drivers'!B12&lt;='DealScope editable drivers'!B13),'DealScope editable drivers'!B12&lt;='DealScope editable drivers'!B13,IF(OR('DealScope editable drivers'!B12="",'DealScope editable drivers'!B13=""),"",'DealScope editable drivers'!B12&lt;='DealScope editable drivers'!B13))),1,0)</f>
        <v>1</v>
      </c>
    </row>
    <row r="10">
      <c r="A10" t="inlineStr" s="5">
        <is>
          <t xml:space="preserve">Audits covered by allocation</t>
        </is>
      </c>
      <c r="B10" s="6">
        <f>FLOOR('DealScope editable drivers'!B33/'DealScope editable drivers'!B12,1)</f>
        <v>7</v>
      </c>
    </row>
  </sheetData>
  <mergeCells count="1">
    <mergeCell ref="A1:B1"/>
  </mergeCells>
</worksheet>
</file>