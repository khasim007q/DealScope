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ealScope pricing unit economic" sheetId="1" r:id="rId1"/>
    <sheet name="DealScope sensitivity controls" sheetId="2" r:id="rId2"/>
    <sheet name="DealScope sensitivity compariso" sheetId="3" r:id="rId3"/>
    <sheet name="Model inputs" sheetId="4" r:id="rId4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&quot;$&quot;#,##0.00;(&quot;$&quot;#,##0.00)"/>
    <numFmt numFmtId="165" formatCode="#,##0.###;(#,##0.###)"/>
    <numFmt numFmtId="166" formatCode="0.00%"/>
    <numFmt numFmtId="167" formatCode="yyyy-mm-dd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 indent="1"/>
    </xf>
    <xf numFmtId="0" fontId="3" fillId="4" borderId="1" xfId="0" applyFill="1" applyFont="1" applyBorder="1"/>
    <xf numFmtId="0" fontId="3" fillId="5" borderId="1" xfId="0" applyFill="1" applyFont="1" applyBorder="1" applyAlignment="1">
      <alignment vertical="center" horizontal="right"/>
    </xf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7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H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</cols>
  <sheetData>
    <row r="1" ht="32" customHeight="1">
      <c r="A1" t="inlineStr" s="1">
        <is>
          <t xml:space="preserve">DealScope pricing unit economics</t>
        </is>
      </c>
    </row>
    <row r="2" ht="20" customHeight="1">
      <c r="A2" t="inlineStr" s="2">
        <is>
          <t xml:space="preserve">DealScope — Pricing and sensitivity · Growth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Customer monthly earned revenue</t>
        </is>
      </c>
      <c r="C4" t="inlineStr" s="4">
        <is>
          <t xml:space="preserve">Customer monthly delivered audits</t>
        </is>
      </c>
      <c r="D4" t="inlineStr" s="4">
        <is>
          <t xml:space="preserve">Revenue per delivered audit</t>
        </is>
      </c>
      <c r="E4" t="inlineStr" s="4">
        <is>
          <t xml:space="preserve">Unit gross profit</t>
        </is>
      </c>
      <c r="F4" t="inlineStr" s="4">
        <is>
          <t xml:space="preserve">Unit gross margin</t>
        </is>
      </c>
      <c r="G4" t="inlineStr" s="4">
        <is>
          <t xml:space="preserve">Unit contribution profit</t>
        </is>
      </c>
      <c r="H4" t="inlineStr" s="4">
        <is>
          <t xml:space="preserve">Unit contribution margin</t>
        </is>
      </c>
    </row>
    <row r="5">
      <c r="A5" t="inlineStr" s="5">
        <is>
          <t xml:space="preserve">Annual deal-team</t>
        </is>
      </c>
      <c r="B5" s="6">
        <f>IF(EXACT("Annual deal-team","Annual deal-team"),('Model inputs'!B45/12+MAX('Model inputs'!B14*'Model inputs'!B7-'Model inputs'!B24/12,0)*'Model inputs'!B32)*(1-'Model inputs'!B37),('Model inputs'!B45/12+'Model inputs'!B9*'Model inputs'!B14)*(1-'Model inputs'!B37))</f>
        <v>4000</v>
      </c>
      <c r="C5" s="7">
        <f>'Model inputs'!B14*IF(IF(EXACT("Annual deal-team","Annual deal-team"),IF('Model inputs'!B7="","",'Model inputs'!B7),1)="",0,IF(EXACT("Annual deal-team","Annual deal-team"),IF('Model inputs'!B7="","",'Model inputs'!B7),1))</f>
        <v>4</v>
      </c>
      <c r="D5" s="6">
        <f>IFERROR('DealScope pricing unit economic'!B5/'DealScope pricing unit economic'!C5,"")</f>
        <v>1000</v>
      </c>
      <c r="E5" s="6">
        <f>'DealScope pricing unit economic'!D5-'Model inputs'!B18</f>
        <v>905.35</v>
      </c>
      <c r="F5" s="8">
        <f>IFERROR('DealScope pricing unit economic'!E5/'DealScope pricing unit economic'!D5,"")</f>
        <v>0.90535</v>
      </c>
      <c r="G5" s="6">
        <f>'DealScope pricing unit economic'!E5-'DealScope pricing unit economic'!D5*'Model inputs'!B38-IFERROR('Model inputs'!B42*'Model inputs'!B41/'DealScope pricing unit economic'!C5,0)</f>
        <v>867.85</v>
      </c>
      <c r="H5" s="8">
        <f>IFERROR('DealScope pricing unit economic'!G5/'DealScope pricing unit economic'!D5,"")</f>
        <v>0.86785</v>
      </c>
    </row>
    <row r="6">
      <c r="A6" t="inlineStr" s="9">
        <is>
          <t xml:space="preserve">Hybrid</t>
        </is>
      </c>
      <c r="B6" s="10">
        <f>IF(EXACT("Hybrid","Annual deal-team"),('Model inputs'!B46/12+MAX('Model inputs'!B14*'Model inputs'!B7-'Model inputs'!B25/12,0)*'Model inputs'!B33)*(1-'Model inputs'!B37),('Model inputs'!B46/12+'Model inputs'!B10*'Model inputs'!B14)*(1-'Model inputs'!B37))</f>
        <v>4500</v>
      </c>
      <c r="C6" s="11">
        <f>'Model inputs'!B14*IF(IF(EXACT("Hybrid","Annual deal-team"),IF('Model inputs'!B7="","",'Model inputs'!B7),1)="",0,IF(EXACT("Hybrid","Annual deal-team"),IF('Model inputs'!B7="","",'Model inputs'!B7),1))</f>
        <v>4</v>
      </c>
      <c r="D6" s="10">
        <f>IFERROR('DealScope pricing unit economic'!B6/'DealScope pricing unit economic'!C6,"")</f>
        <v>1125</v>
      </c>
      <c r="E6" s="10">
        <f>'DealScope pricing unit economic'!D6-'Model inputs'!B18</f>
        <v>1030.35</v>
      </c>
      <c r="F6" s="12">
        <f>IFERROR('DealScope pricing unit economic'!E6/'DealScope pricing unit economic'!D6,"")</f>
        <v>0.9158666666666666</v>
      </c>
      <c r="G6" s="10">
        <f>'DealScope pricing unit economic'!E6-'DealScope pricing unit economic'!D6*'Model inputs'!B38-IFERROR('Model inputs'!B42*'Model inputs'!B41/'DealScope pricing unit economic'!C6,0)</f>
        <v>989.0999999999999</v>
      </c>
      <c r="H6" s="12">
        <f>IFERROR('DealScope pricing unit economic'!G6/'DealScope pricing unit economic'!D6,"")</f>
        <v>0.8791999999999999</v>
      </c>
    </row>
    <row r="7">
      <c r="A7" t="inlineStr" s="9">
        <is>
          <t xml:space="preserve">Per audit — base</t>
        </is>
      </c>
      <c r="B7" s="10">
        <f>IF(EXACT("Per audit — base","Annual deal-team"),('Model inputs'!B47/12+MAX('Model inputs'!B14*'Model inputs'!B7-'Model inputs'!B26/12,0)*'Model inputs'!B34)*(1-'Model inputs'!B37),('Model inputs'!B47/12+'Model inputs'!B11*'Model inputs'!B14)*(1-'Model inputs'!B37))</f>
        <v>6000</v>
      </c>
      <c r="C7" s="11">
        <f>'Model inputs'!B14*IF(IF(EXACT("Per audit — base","Annual deal-team"),IF('Model inputs'!B7="","",'Model inputs'!B7),1)="",0,IF(EXACT("Per audit — base","Annual deal-team"),IF('Model inputs'!B7="","",'Model inputs'!B7),1))</f>
        <v>4</v>
      </c>
      <c r="D7" s="10">
        <f>IFERROR('DealScope pricing unit economic'!B7/'DealScope pricing unit economic'!C7,"")</f>
        <v>1500</v>
      </c>
      <c r="E7" s="10">
        <f>'DealScope pricing unit economic'!D7-'Model inputs'!B18</f>
        <v>1405.35</v>
      </c>
      <c r="F7" s="12">
        <f>IFERROR('DealScope pricing unit economic'!E7/'DealScope pricing unit economic'!D7,"")</f>
        <v>0.9369</v>
      </c>
      <c r="G7" s="10">
        <f>'DealScope pricing unit economic'!E7-'DealScope pricing unit economic'!D7*'Model inputs'!B38-IFERROR('Model inputs'!B42*'Model inputs'!B41/'DealScope pricing unit economic'!C7,0)</f>
        <v>1352.85</v>
      </c>
      <c r="H7" s="12">
        <f>IFERROR('DealScope pricing unit economic'!G7/'DealScope pricing unit economic'!D7,"")</f>
        <v>0.9018999999999999</v>
      </c>
    </row>
    <row r="8">
      <c r="A8" t="inlineStr" s="9">
        <is>
          <t xml:space="preserve">Per audit — high</t>
        </is>
      </c>
      <c r="B8" s="10">
        <f>IF(EXACT("Per audit — high","Annual deal-team"),('Model inputs'!B48/12+MAX('Model inputs'!B14*'Model inputs'!B7-'Model inputs'!B27/12,0)*'Model inputs'!B35)*(1-'Model inputs'!B37),('Model inputs'!B48/12+'Model inputs'!B12*'Model inputs'!B14)*(1-'Model inputs'!B37))</f>
        <v>12000</v>
      </c>
      <c r="C8" s="11">
        <f>'Model inputs'!B14*IF(IF(EXACT("Per audit — high","Annual deal-team"),IF('Model inputs'!B7="","",'Model inputs'!B7),1)="",0,IF(EXACT("Per audit — high","Annual deal-team"),IF('Model inputs'!B7="","",'Model inputs'!B7),1))</f>
        <v>4</v>
      </c>
      <c r="D8" s="10">
        <f>IFERROR('DealScope pricing unit economic'!B8/'DealScope pricing unit economic'!C8,"")</f>
        <v>3000</v>
      </c>
      <c r="E8" s="10">
        <f>'DealScope pricing unit economic'!D8-'Model inputs'!B18</f>
        <v>2905.35</v>
      </c>
      <c r="F8" s="12">
        <f>IFERROR('DealScope pricing unit economic'!E8/'DealScope pricing unit economic'!D8,"")</f>
        <v>0.9684499999999999</v>
      </c>
      <c r="G8" s="10">
        <f>'DealScope pricing unit economic'!E8-'DealScope pricing unit economic'!D8*'Model inputs'!B38-IFERROR('Model inputs'!B42*'Model inputs'!B41/'DealScope pricing unit economic'!C8,0)</f>
        <v>2807.85</v>
      </c>
      <c r="H8" s="12">
        <f>IFERROR('DealScope pricing unit economic'!G8/'DealScope pricing unit economic'!D8,"")</f>
        <v>0.93595</v>
      </c>
    </row>
    <row r="9">
      <c r="A9" t="inlineStr" s="5">
        <is>
          <t xml:space="preserve">Per audit — low</t>
        </is>
      </c>
      <c r="B9" s="6">
        <f>IF(EXACT("Per audit — low","Annual deal-team"),('Model inputs'!B49/12+MAX('Model inputs'!B14*'Model inputs'!B7-'Model inputs'!B28/12,0)*'Model inputs'!B36)*(1-'Model inputs'!B37),('Model inputs'!B49/12+'Model inputs'!B13*'Model inputs'!B14)*(1-'Model inputs'!B37))</f>
        <v>3000</v>
      </c>
      <c r="C9" s="7">
        <f>'Model inputs'!B14*IF(IF(EXACT("Per audit — low","Annual deal-team"),IF('Model inputs'!B7="","",'Model inputs'!B7),1)="",0,IF(EXACT("Per audit — low","Annual deal-team"),IF('Model inputs'!B7="","",'Model inputs'!B7),1))</f>
        <v>4</v>
      </c>
      <c r="D9" s="6">
        <f>IFERROR('DealScope pricing unit economic'!B9/'DealScope pricing unit economic'!C9,"")</f>
        <v>750</v>
      </c>
      <c r="E9" s="6">
        <f>'DealScope pricing unit economic'!D9-'Model inputs'!B18</f>
        <v>655.35</v>
      </c>
      <c r="F9" s="8">
        <f>IFERROR('DealScope pricing unit economic'!E9/'DealScope pricing unit economic'!D9,"")</f>
        <v>0.8738</v>
      </c>
      <c r="G9" s="6">
        <f>'DealScope pricing unit economic'!E9-'DealScope pricing unit economic'!D9*'Model inputs'!B38-IFERROR('Model inputs'!B42*'Model inputs'!B41/'DealScope pricing unit economic'!C9,0)</f>
        <v>625.35</v>
      </c>
      <c r="H9" s="8">
        <f>IFERROR('DealScope pricing unit economic'!G9/'DealScope pricing unit economic'!D9,"")</f>
        <v>0.8338</v>
      </c>
    </row>
  </sheetData>
  <mergeCells count="1">
    <mergeCell ref="A1:H1"/>
  </mergeCells>
</worksheet>
</file>

<file path=xl/worksheets/sheet2.xml><?xml version="1.0" encoding="utf-8"?>
<worksheet xmlns="http://schemas.openxmlformats.org/spreadsheetml/2006/main">
  <dimension ref="A1:H2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</cols>
  <sheetData>
    <row r="1" ht="32" customHeight="1">
      <c r="A1" t="inlineStr" s="1">
        <is>
          <t xml:space="preserve">DealScope sensitivity controls</t>
        </is>
      </c>
    </row>
    <row r="2" ht="20" customHeight="1">
      <c r="A2" t="inlineStr" s="2">
        <is>
          <t xml:space="preserve">DealScope — Pricing and sensitivity · Growth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Sensitivity audit frequency</t>
        </is>
      </c>
      <c r="C4" t="inlineStr" s="4">
        <is>
          <t xml:space="preserve">Sensitivity discount</t>
        </is>
      </c>
      <c r="D4" t="inlineStr" s="4">
        <is>
          <t xml:space="preserve">Sensitivity data multiplier</t>
        </is>
      </c>
      <c r="E4" t="inlineStr" s="4">
        <is>
          <t xml:space="preserve">Sensitivity dollars per credit</t>
        </is>
      </c>
      <c r="F4" t="inlineStr" s="4">
        <is>
          <t xml:space="preserve">Sensitivity delay months</t>
        </is>
      </c>
      <c r="G4" t="inlineStr" s="4">
        <is>
          <t xml:space="preserve">Sensitivity allowance utilization</t>
        </is>
      </c>
      <c r="H4" t="inlineStr" s="4">
        <is>
          <t xml:space="preserve">Allowance only switch</t>
        </is>
      </c>
    </row>
    <row r="5">
      <c r="A5" t="inlineStr" s="5">
        <is>
          <t xml:space="preserve">Baseline</t>
        </is>
      </c>
      <c r="B5" s="7">
        <f>IF('Model inputs'!B14="","",'Model inputs'!B14)</f>
        <v>4</v>
      </c>
      <c r="C5" s="7">
        <f>IF('Model inputs'!B37="","",'Model inputs'!B37)</f>
        <v>0</v>
      </c>
      <c r="D5" s="7">
        <f>1</f>
        <v>1</v>
      </c>
      <c r="E5" s="7">
        <f>IF('Model inputs'!B16="","",'Model inputs'!B16)</f>
        <v>0.1</v>
      </c>
      <c r="F5" s="7">
        <f>IF('Model inputs'!B40="","",'Model inputs'!B40)</f>
        <v>0</v>
      </c>
      <c r="G5" s="7">
        <f>1</f>
        <v>1</v>
      </c>
      <c r="H5" s="7">
        <f>0</f>
        <v>0</v>
      </c>
    </row>
    <row r="6">
      <c r="A6" t="inlineStr" s="9">
        <is>
          <t xml:space="preserve">Audits 2/month</t>
        </is>
      </c>
      <c r="B6" s="11">
        <f>2</f>
        <v>2</v>
      </c>
      <c r="C6" s="11">
        <f>IF('Model inputs'!B37="","",'Model inputs'!B37)</f>
        <v>0</v>
      </c>
      <c r="D6" s="11">
        <f>1</f>
        <v>1</v>
      </c>
      <c r="E6" s="11">
        <f>IF('Model inputs'!B16="","",'Model inputs'!B16)</f>
        <v>0.1</v>
      </c>
      <c r="F6" s="11">
        <f>IF('Model inputs'!B40="","",'Model inputs'!B40)</f>
        <v>0</v>
      </c>
      <c r="G6" s="11">
        <f>1</f>
        <v>1</v>
      </c>
      <c r="H6" s="11">
        <f>0</f>
        <v>0</v>
      </c>
    </row>
    <row r="7">
      <c r="A7" t="inlineStr" s="9">
        <is>
          <t xml:space="preserve">Audits 3/month</t>
        </is>
      </c>
      <c r="B7" s="11">
        <f>3</f>
        <v>3</v>
      </c>
      <c r="C7" s="11">
        <f>IF('Model inputs'!B37="","",'Model inputs'!B37)</f>
        <v>0</v>
      </c>
      <c r="D7" s="11">
        <f>1</f>
        <v>1</v>
      </c>
      <c r="E7" s="11">
        <f>IF('Model inputs'!B16="","",'Model inputs'!B16)</f>
        <v>0.1</v>
      </c>
      <c r="F7" s="11">
        <f>IF('Model inputs'!B40="","",'Model inputs'!B40)</f>
        <v>0</v>
      </c>
      <c r="G7" s="11">
        <f>1</f>
        <v>1</v>
      </c>
      <c r="H7" s="11">
        <f>0</f>
        <v>0</v>
      </c>
    </row>
    <row r="8">
      <c r="A8" t="inlineStr" s="9">
        <is>
          <t xml:space="preserve">Audits 4/month</t>
        </is>
      </c>
      <c r="B8" s="11">
        <f>4</f>
        <v>4</v>
      </c>
      <c r="C8" s="11">
        <f>IF('Model inputs'!B37="","",'Model inputs'!B37)</f>
        <v>0</v>
      </c>
      <c r="D8" s="11">
        <f>1</f>
        <v>1</v>
      </c>
      <c r="E8" s="11">
        <f>IF('Model inputs'!B16="","",'Model inputs'!B16)</f>
        <v>0.1</v>
      </c>
      <c r="F8" s="11">
        <f>IF('Model inputs'!B40="","",'Model inputs'!B40)</f>
        <v>0</v>
      </c>
      <c r="G8" s="11">
        <f>1</f>
        <v>1</v>
      </c>
      <c r="H8" s="11">
        <f>0</f>
        <v>0</v>
      </c>
    </row>
    <row r="9">
      <c r="A9" t="inlineStr" s="9">
        <is>
          <t xml:space="preserve">Discount 0%</t>
        </is>
      </c>
      <c r="B9" s="11">
        <f>IF('Model inputs'!B14="","",'Model inputs'!B14)</f>
        <v>4</v>
      </c>
      <c r="C9" s="11">
        <f>0</f>
        <v>0</v>
      </c>
      <c r="D9" s="11">
        <f>1</f>
        <v>1</v>
      </c>
      <c r="E9" s="11">
        <f>IF('Model inputs'!B16="","",'Model inputs'!B16)</f>
        <v>0.1</v>
      </c>
      <c r="F9" s="11">
        <f>IF('Model inputs'!B40="","",'Model inputs'!B40)</f>
        <v>0</v>
      </c>
      <c r="G9" s="11">
        <f>1</f>
        <v>1</v>
      </c>
      <c r="H9" s="11">
        <f>0</f>
        <v>0</v>
      </c>
    </row>
    <row r="10">
      <c r="A10" t="inlineStr" s="9">
        <is>
          <t xml:space="preserve">Discount 20%</t>
        </is>
      </c>
      <c r="B10" s="11">
        <f>IF('Model inputs'!B14="","",'Model inputs'!B14)</f>
        <v>4</v>
      </c>
      <c r="C10" s="11">
        <f>0.2</f>
        <v>0.2</v>
      </c>
      <c r="D10" s="11">
        <f>1</f>
        <v>1</v>
      </c>
      <c r="E10" s="11">
        <f>IF('Model inputs'!B16="","",'Model inputs'!B16)</f>
        <v>0.1</v>
      </c>
      <c r="F10" s="11">
        <f>IF('Model inputs'!B40="","",'Model inputs'!B40)</f>
        <v>0</v>
      </c>
      <c r="G10" s="11">
        <f>1</f>
        <v>1</v>
      </c>
      <c r="H10" s="11">
        <f>0</f>
        <v>0</v>
      </c>
    </row>
    <row r="11">
      <c r="A11" t="inlineStr" s="9">
        <is>
          <t xml:space="preserve">Discount 40%</t>
        </is>
      </c>
      <c r="B11" s="11">
        <f>IF('Model inputs'!B14="","",'Model inputs'!B14)</f>
        <v>4</v>
      </c>
      <c r="C11" s="11">
        <f>0.4</f>
        <v>0.4</v>
      </c>
      <c r="D11" s="11">
        <f>1</f>
        <v>1</v>
      </c>
      <c r="E11" s="11">
        <f>IF('Model inputs'!B16="","",'Model inputs'!B16)</f>
        <v>0.1</v>
      </c>
      <c r="F11" s="11">
        <f>IF('Model inputs'!B40="","",'Model inputs'!B40)</f>
        <v>0</v>
      </c>
      <c r="G11" s="11">
        <f>1</f>
        <v>1</v>
      </c>
      <c r="H11" s="11">
        <f>0</f>
        <v>0</v>
      </c>
    </row>
    <row r="12">
      <c r="A12" t="inlineStr" s="9">
        <is>
          <t xml:space="preserve">Data cost x1</t>
        </is>
      </c>
      <c r="B12" s="11">
        <f>IF('Model inputs'!B14="","",'Model inputs'!B14)</f>
        <v>4</v>
      </c>
      <c r="C12" s="11">
        <f>IF('Model inputs'!B37="","",'Model inputs'!B37)</f>
        <v>0</v>
      </c>
      <c r="D12" s="11">
        <f>1</f>
        <v>1</v>
      </c>
      <c r="E12" s="11">
        <f>IF('Model inputs'!B16="","",'Model inputs'!B16)</f>
        <v>0.1</v>
      </c>
      <c r="F12" s="11">
        <f>IF('Model inputs'!B40="","",'Model inputs'!B40)</f>
        <v>0</v>
      </c>
      <c r="G12" s="11">
        <f>1</f>
        <v>1</v>
      </c>
      <c r="H12" s="11">
        <f>0</f>
        <v>0</v>
      </c>
    </row>
    <row r="13">
      <c r="A13" t="inlineStr" s="9">
        <is>
          <t xml:space="preserve">Data cost x2</t>
        </is>
      </c>
      <c r="B13" s="11">
        <f>IF('Model inputs'!B14="","",'Model inputs'!B14)</f>
        <v>4</v>
      </c>
      <c r="C13" s="11">
        <f>IF('Model inputs'!B37="","",'Model inputs'!B37)</f>
        <v>0</v>
      </c>
      <c r="D13" s="11">
        <f>2</f>
        <v>2</v>
      </c>
      <c r="E13" s="11">
        <f>IF('Model inputs'!B16="","",'Model inputs'!B16)</f>
        <v>0.1</v>
      </c>
      <c r="F13" s="11">
        <f>IF('Model inputs'!B40="","",'Model inputs'!B40)</f>
        <v>0</v>
      </c>
      <c r="G13" s="11">
        <f>1</f>
        <v>1</v>
      </c>
      <c r="H13" s="11">
        <f>0</f>
        <v>0</v>
      </c>
    </row>
    <row r="14">
      <c r="A14" t="inlineStr" s="9">
        <is>
          <t xml:space="preserve">Data cost x3</t>
        </is>
      </c>
      <c r="B14" s="11">
        <f>IF('Model inputs'!B14="","",'Model inputs'!B14)</f>
        <v>4</v>
      </c>
      <c r="C14" s="11">
        <f>IF('Model inputs'!B37="","",'Model inputs'!B37)</f>
        <v>0</v>
      </c>
      <c r="D14" s="11">
        <f>3</f>
        <v>3</v>
      </c>
      <c r="E14" s="11">
        <f>IF('Model inputs'!B16="","",'Model inputs'!B16)</f>
        <v>0.1</v>
      </c>
      <c r="F14" s="11">
        <f>IF('Model inputs'!B40="","",'Model inputs'!B40)</f>
        <v>0</v>
      </c>
      <c r="G14" s="11">
        <f>1</f>
        <v>1</v>
      </c>
      <c r="H14" s="11">
        <f>0</f>
        <v>0</v>
      </c>
    </row>
    <row r="15">
      <c r="A15" t="inlineStr" s="9">
        <is>
          <t xml:space="preserve">Credit rate $0.05</t>
        </is>
      </c>
      <c r="B15" s="11">
        <f>IF('Model inputs'!B14="","",'Model inputs'!B14)</f>
        <v>4</v>
      </c>
      <c r="C15" s="11">
        <f>IF('Model inputs'!B37="","",'Model inputs'!B37)</f>
        <v>0</v>
      </c>
      <c r="D15" s="11">
        <f>1</f>
        <v>1</v>
      </c>
      <c r="E15" s="11">
        <f>0.05</f>
        <v>0.05</v>
      </c>
      <c r="F15" s="11">
        <f>IF('Model inputs'!B40="","",'Model inputs'!B40)</f>
        <v>0</v>
      </c>
      <c r="G15" s="11">
        <f>1</f>
        <v>1</v>
      </c>
      <c r="H15" s="11">
        <f>0</f>
        <v>0</v>
      </c>
    </row>
    <row r="16">
      <c r="A16" t="inlineStr" s="9">
        <is>
          <t xml:space="preserve">Credit rate $0.10</t>
        </is>
      </c>
      <c r="B16" s="11">
        <f>IF('Model inputs'!B14="","",'Model inputs'!B14)</f>
        <v>4</v>
      </c>
      <c r="C16" s="11">
        <f>IF('Model inputs'!B37="","",'Model inputs'!B37)</f>
        <v>0</v>
      </c>
      <c r="D16" s="11">
        <f>1</f>
        <v>1</v>
      </c>
      <c r="E16" s="11">
        <f>0.1</f>
        <v>0.1</v>
      </c>
      <c r="F16" s="11">
        <f>IF('Model inputs'!B40="","",'Model inputs'!B40)</f>
        <v>0</v>
      </c>
      <c r="G16" s="11">
        <f>1</f>
        <v>1</v>
      </c>
      <c r="H16" s="11">
        <f>0</f>
        <v>0</v>
      </c>
    </row>
    <row r="17">
      <c r="A17" t="inlineStr" s="9">
        <is>
          <t xml:space="preserve">Credit rate $0.25</t>
        </is>
      </c>
      <c r="B17" s="11">
        <f>IF('Model inputs'!B14="","",'Model inputs'!B14)</f>
        <v>4</v>
      </c>
      <c r="C17" s="11">
        <f>IF('Model inputs'!B37="","",'Model inputs'!B37)</f>
        <v>0</v>
      </c>
      <c r="D17" s="11">
        <f>1</f>
        <v>1</v>
      </c>
      <c r="E17" s="11">
        <f>0.25</f>
        <v>0.25</v>
      </c>
      <c r="F17" s="11">
        <f>IF('Model inputs'!B40="","",'Model inputs'!B40)</f>
        <v>0</v>
      </c>
      <c r="G17" s="11">
        <f>1</f>
        <v>1</v>
      </c>
      <c r="H17" s="11">
        <f>0</f>
        <v>0</v>
      </c>
    </row>
    <row r="18">
      <c r="A18" t="inlineStr" s="9">
        <is>
          <t xml:space="preserve">Sales delay 0 months</t>
        </is>
      </c>
      <c r="B18" s="11">
        <f>IF('Model inputs'!B14="","",'Model inputs'!B14)</f>
        <v>4</v>
      </c>
      <c r="C18" s="11">
        <f>IF('Model inputs'!B37="","",'Model inputs'!B37)</f>
        <v>0</v>
      </c>
      <c r="D18" s="11">
        <f>1</f>
        <v>1</v>
      </c>
      <c r="E18" s="11">
        <f>IF('Model inputs'!B16="","",'Model inputs'!B16)</f>
        <v>0.1</v>
      </c>
      <c r="F18" s="11">
        <f>0</f>
        <v>0</v>
      </c>
      <c r="G18" s="11">
        <f>1</f>
        <v>1</v>
      </c>
      <c r="H18" s="11">
        <f>0</f>
        <v>0</v>
      </c>
    </row>
    <row r="19">
      <c r="A19" t="inlineStr" s="9">
        <is>
          <t xml:space="preserve">Sales delay 2 months</t>
        </is>
      </c>
      <c r="B19" s="11">
        <f>IF('Model inputs'!B14="","",'Model inputs'!B14)</f>
        <v>4</v>
      </c>
      <c r="C19" s="11">
        <f>IF('Model inputs'!B37="","",'Model inputs'!B37)</f>
        <v>0</v>
      </c>
      <c r="D19" s="11">
        <f>1</f>
        <v>1</v>
      </c>
      <c r="E19" s="11">
        <f>IF('Model inputs'!B16="","",'Model inputs'!B16)</f>
        <v>0.1</v>
      </c>
      <c r="F19" s="11">
        <f>2</f>
        <v>2</v>
      </c>
      <c r="G19" s="11">
        <f>1</f>
        <v>1</v>
      </c>
      <c r="H19" s="11">
        <f>0</f>
        <v>0</v>
      </c>
    </row>
    <row r="20">
      <c r="A20" t="inlineStr" s="9">
        <is>
          <t xml:space="preserve">Sales delay 4 months</t>
        </is>
      </c>
      <c r="B20" s="11">
        <f>IF('Model inputs'!B14="","",'Model inputs'!B14)</f>
        <v>4</v>
      </c>
      <c r="C20" s="11">
        <f>IF('Model inputs'!B37="","",'Model inputs'!B37)</f>
        <v>0</v>
      </c>
      <c r="D20" s="11">
        <f>1</f>
        <v>1</v>
      </c>
      <c r="E20" s="11">
        <f>IF('Model inputs'!B16="","",'Model inputs'!B16)</f>
        <v>0.1</v>
      </c>
      <c r="F20" s="11">
        <f>4</f>
        <v>4</v>
      </c>
      <c r="G20" s="11">
        <f>1</f>
        <v>1</v>
      </c>
      <c r="H20" s="11">
        <f>0</f>
        <v>0</v>
      </c>
    </row>
    <row r="21">
      <c r="A21" t="inlineStr" s="9">
        <is>
          <t xml:space="preserve">Annual allowance utilization 50%</t>
        </is>
      </c>
      <c r="B21" s="11">
        <f>IF('Model inputs'!B14="","",'Model inputs'!B14)</f>
        <v>4</v>
      </c>
      <c r="C21" s="11">
        <f>IF('Model inputs'!B37="","",'Model inputs'!B37)</f>
        <v>0</v>
      </c>
      <c r="D21" s="11">
        <f>1</f>
        <v>1</v>
      </c>
      <c r="E21" s="11">
        <f>IF('Model inputs'!B16="","",'Model inputs'!B16)</f>
        <v>0.1</v>
      </c>
      <c r="F21" s="11">
        <f>IF('Model inputs'!B40="","",'Model inputs'!B40)</f>
        <v>0</v>
      </c>
      <c r="G21" s="11">
        <f>0.5</f>
        <v>0.5</v>
      </c>
      <c r="H21" s="11">
        <f>1</f>
        <v>1</v>
      </c>
    </row>
    <row r="22">
      <c r="A22" t="inlineStr" s="9">
        <is>
          <t xml:space="preserve">Annual allowance utilization 75%</t>
        </is>
      </c>
      <c r="B22" s="11">
        <f>IF('Model inputs'!B14="","",'Model inputs'!B14)</f>
        <v>4</v>
      </c>
      <c r="C22" s="11">
        <f>IF('Model inputs'!B37="","",'Model inputs'!B37)</f>
        <v>0</v>
      </c>
      <c r="D22" s="11">
        <f>1</f>
        <v>1</v>
      </c>
      <c r="E22" s="11">
        <f>IF('Model inputs'!B16="","",'Model inputs'!B16)</f>
        <v>0.1</v>
      </c>
      <c r="F22" s="11">
        <f>IF('Model inputs'!B40="","",'Model inputs'!B40)</f>
        <v>0</v>
      </c>
      <c r="G22" s="11">
        <f>0.75</f>
        <v>0.75</v>
      </c>
      <c r="H22" s="11">
        <f>1</f>
        <v>1</v>
      </c>
    </row>
    <row r="23">
      <c r="A23" t="inlineStr" s="5">
        <is>
          <t xml:space="preserve">Annual allowance utilization 100%</t>
        </is>
      </c>
      <c r="B23" s="7">
        <f>IF('Model inputs'!B14="","",'Model inputs'!B14)</f>
        <v>4</v>
      </c>
      <c r="C23" s="7">
        <f>IF('Model inputs'!B37="","",'Model inputs'!B37)</f>
        <v>0</v>
      </c>
      <c r="D23" s="7">
        <f>1</f>
        <v>1</v>
      </c>
      <c r="E23" s="7">
        <f>IF('Model inputs'!B16="","",'Model inputs'!B16)</f>
        <v>0.1</v>
      </c>
      <c r="F23" s="7">
        <f>IF('Model inputs'!B40="","",'Model inputs'!B40)</f>
        <v>0</v>
      </c>
      <c r="G23" s="7">
        <f>1</f>
        <v>1</v>
      </c>
      <c r="H23" s="7">
        <f>1</f>
        <v>1</v>
      </c>
    </row>
  </sheetData>
  <mergeCells count="1">
    <mergeCell ref="A1:H1"/>
  </mergeCells>
</worksheet>
</file>

<file path=xl/worksheets/sheet3.xml><?xml version="1.0" encoding="utf-8"?>
<worksheet xmlns="http://schemas.openxmlformats.org/spreadsheetml/2006/main">
  <dimension ref="A1:J10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</cols>
  <sheetData>
    <row r="1" ht="32" customHeight="1">
      <c r="A1" t="inlineStr" s="1">
        <is>
          <t xml:space="preserve">DealScope sensitivity comparisons</t>
        </is>
      </c>
    </row>
    <row r="2" ht="20" customHeight="1">
      <c r="A2" t="inlineStr" s="2">
        <is>
          <t xml:space="preserve">DealScope — Pricing and sensitivity · Growth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Sensitivity delivered frequency</t>
        </is>
      </c>
      <c r="C4" t="inlineStr" s="4">
        <is>
          <t xml:space="preserve">Sensitivity customer monthly revenue</t>
        </is>
      </c>
      <c r="D4" t="inlineStr" s="4">
        <is>
          <t xml:space="preserve">Sensitivity delivery cost per audit</t>
        </is>
      </c>
      <c r="E4" t="inlineStr" s="4">
        <is>
          <t xml:space="preserve">Sensitivity revenue per audit</t>
        </is>
      </c>
      <c r="F4" t="inlineStr" s="4">
        <is>
          <t xml:space="preserve">Sensitivity gross margin</t>
        </is>
      </c>
      <c r="G4" t="inlineStr" s="4">
        <is>
          <t xml:space="preserve">Sensitivity contribution margin</t>
        </is>
      </c>
      <c r="H4" t="inlineStr" s="4">
        <is>
          <t xml:space="preserve">Sensitivity customer months</t>
        </is>
      </c>
      <c r="I4" t="inlineStr" s="4">
        <is>
          <t xml:space="preserve">Sensitivity 12-month earned revenue</t>
        </is>
      </c>
      <c r="J4" t="inlineStr" s="4">
        <is>
          <t xml:space="preserve">Sensitivity 12-month operating profit</t>
        </is>
      </c>
    </row>
    <row r="5">
      <c r="A5" t="inlineStr" s="5">
        <is>
          <t xml:space="preserve">Annual deal-team</t>
        </is>
      </c>
      <c r="B5" t="str" s="7">
        <f>""</f>
        <v/>
      </c>
      <c r="C5" t="str" s="6">
        <f>""</f>
        <v/>
      </c>
      <c r="D5" t="str" s="6">
        <f>""</f>
        <v/>
      </c>
      <c r="E5" t="str" s="6">
        <f>""</f>
        <v/>
      </c>
      <c r="F5" t="str" s="8">
        <f>""</f>
        <v/>
      </c>
      <c r="G5" t="str" s="8">
        <f>""</f>
        <v/>
      </c>
      <c r="H5" t="str" s="7">
        <f>""</f>
        <v/>
      </c>
      <c r="I5" t="str" s="6">
        <f>""</f>
        <v/>
      </c>
      <c r="J5" t="str" s="6">
        <f>""</f>
        <v/>
      </c>
    </row>
    <row r="6" outlineLevel="1">
      <c r="A6" t="inlineStr" s="13">
        <is>
          <t xml:space="preserve">Annual allowance utilization 100%</t>
        </is>
      </c>
      <c r="B6" s="11">
        <f>IF(IF(IF(ISERROR('DealScope sensitivity controls'!H23=1),'DealScope sensitivity controls'!H23=1,IF('DealScope sensitivity controls'!H23="","",'DealScope sensitivity controls'!H23=1))="",FALSE,IF(ISERROR('DealScope sensitivity controls'!H23=1),'DealScope sensitivity controls'!H23=1,IF('DealScope sensitivity controls'!H23="","",'DealScope sensitivity controls'!H23=1))),'Model inputs'!B6/12*'DealScope sensitivity controls'!G23,IF('DealScope sensitivity controls'!B23="","",'DealScope sensitivity controls'!B23))</f>
        <v>2</v>
      </c>
      <c r="C6" s="10">
        <f>IF(EXACT("Annual deal-team","Annual deal-team"),('Model inputs'!B45/12+MAX('DealScope sensitivity compariso'!B6-'Model inputs'!B24/12,0)*'Model inputs'!B32)*(1-'DealScope sensitivity controls'!C23),('Model inputs'!B45/12+'Model inputs'!B9*'DealScope sensitivity compariso'!B6)*(1-'DealScope sensitivity controls'!C23))</f>
        <v>2000</v>
      </c>
      <c r="D6" s="10">
        <f>'Model inputs'!B15*'DealScope sensitivity controls'!E23*'DealScope sensitivity controls'!D23*'Model inputs'!B17+'Model inputs'!B30+'Model inputs'!B39+'Model inputs'!B19</f>
        <v>94.65</v>
      </c>
      <c r="E6" s="10">
        <f>IFERROR('DealScope sensitivity compariso'!C6/'DealScope sensitivity compariso'!B6,"")</f>
        <v>1000</v>
      </c>
      <c r="F6" s="12">
        <f>IFERROR(('DealScope sensitivity compariso'!E6-'DealScope sensitivity compariso'!D6)/'DealScope sensitivity compariso'!E6,"")</f>
        <v>0.90535</v>
      </c>
      <c r="G6" s="12">
        <f>IFERROR(('DealScope sensitivity compariso'!C6*(1-'Model inputs'!B38)-'DealScope sensitivity compariso'!B6*'DealScope sensitivity compariso'!D6-'Model inputs'!B42*'Model inputs'!B41)/'DealScope sensitivity compariso'!C6,"")</f>
        <v>0.8603500000000001</v>
      </c>
      <c r="H6" s="11">
        <f>'Model inputs'!B75+IF(IF(IF(IF(ISERROR('Model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controls'!F23)/'Model inputs'!B21,0),1),IF(IF(IF(ISERROR(11&gt;'DealScope sensitivity controls'!F23),11&gt;'DealScope sensitivity controls'!F23,IF('DealScope sensitivity controls'!F23="","",11&gt;'DealScope sensitivity controls'!F23))="",FALSE,IF(ISERROR(11&gt;'DealScope sensitivity controls'!F23),11&gt;'DealScope sensitivity controls'!F23,IF('DealScope sensitivity controls'!F23="","",11&gt;'DealScope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controls'!F23)/'Model inputs'!B21,0),1),IF(IF(IF(ISERROR(11&gt;'DealScope sensitivity controls'!F23),11&gt;'DealScope sensitivity controls'!F23,IF('DealScope sensitivity controls'!F23="","",11&gt;'DealScope sensitivity controls'!F23))="",FALSE,IF(ISERROR(11&gt;'DealScope sensitivity controls'!F23),11&gt;'DealScope sensitivity controls'!F23,IF('DealScope sensitivity controls'!F23="","",11&gt;'DealScope sensitivity controls'!F23))),IF('Model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controls'!F23)/'Model inputs'!B21,0),1),IF(IF(IF(ISERROR(12&gt;'DealScope sensitivity controls'!F23),12&gt;'DealScope sensitivity controls'!F23,IF('DealScope sensitivity controls'!F23="","",12&gt;'DealScope sensitivity controls'!F23))="",FALSE,IF(ISERROR(12&gt;'DealScope sensitivity controls'!F23),12&gt;'DealScope sensitivity controls'!F23,IF('DealScope sensitivity controls'!F23="","",12&gt;'DealScope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controls'!F23)/'Model inputs'!B21,0),1),IF(IF(IF(ISERROR(12&gt;'DealScope sensitivity controls'!F23),12&gt;'DealScope sensitivity controls'!F23,IF('DealScope sensitivity controls'!F23="","",12&gt;'DealScope sensitivity controls'!F23))="",FALSE,IF(ISERROR(12&gt;'DealScope sensitivity controls'!F23),12&gt;'DealScope sensitivity controls'!F23,IF('DealScope sensitivity controls'!F23="","",12&gt;'DealScope sensitivity controls'!F23))),IF('Model inputs'!B43="","",'Model inputs'!B43),0)))</f>
        <v>97.5</v>
      </c>
      <c r="I6" s="10">
        <f>'DealScope sensitivity compariso'!H6*'DealScope sensitivity compariso'!C6</f>
        <v>195000</v>
      </c>
      <c r="J6" s="10">
        <f>'DealScope sensitivity compariso'!I6*(1-'Model inputs'!B38)-'DealScope sensitivity compariso'!H6*('DealScope sensitivity compariso'!B6*'DealScope sensitivity compariso'!D6+'Model inputs'!B42*'Model inputs'!B41)-SUM('Model inputs'!B76,'Model inputs'!B77)</f>
        <v>155268.25</v>
      </c>
    </row>
    <row r="7" outlineLevel="1">
      <c r="A7" t="inlineStr" s="13">
        <is>
          <t xml:space="preserve">Annual allowance utilization 50%</t>
        </is>
      </c>
      <c r="B7" s="11">
        <f>IF(IF(IF(ISERROR('DealScope sensitivity controls'!H21=1),'DealScope sensitivity controls'!H21=1,IF('DealScope sensitivity controls'!H21="","",'DealScope sensitivity controls'!H21=1))="",FALSE,IF(ISERROR('DealScope sensitivity controls'!H21=1),'DealScope sensitivity controls'!H21=1,IF('DealScope sensitivity controls'!H21="","",'DealScope sensitivity controls'!H21=1))),'Model inputs'!B6/12*'DealScope sensitivity controls'!G21,IF('DealScope sensitivity controls'!B21="","",'DealScope sensitivity controls'!B21))</f>
        <v>1</v>
      </c>
      <c r="C7" s="10">
        <f>IF(EXACT("Annual deal-team","Annual deal-team"),('Model inputs'!B45/12+MAX('DealScope sensitivity compariso'!B7-'Model inputs'!B24/12,0)*'Model inputs'!B32)*(1-'DealScope sensitivity controls'!C21),('Model inputs'!B45/12+'Model inputs'!B9*'DealScope sensitivity compariso'!B7)*(1-'DealScope sensitivity controls'!C21))</f>
        <v>2000</v>
      </c>
      <c r="D7" s="10">
        <f>'Model inputs'!B15*'DealScope sensitivity controls'!E21*'DealScope sensitivity controls'!D21*'Model inputs'!B17+'Model inputs'!B30+'Model inputs'!B39+'Model inputs'!B19</f>
        <v>94.65</v>
      </c>
      <c r="E7" s="10">
        <f>IFERROR('DealScope sensitivity compariso'!C7/'DealScope sensitivity compariso'!B7,"")</f>
        <v>2000</v>
      </c>
      <c r="F7" s="12">
        <f>IFERROR(('DealScope sensitivity compariso'!E7-'DealScope sensitivity compariso'!D7)/'DealScope sensitivity compariso'!E7,"")</f>
        <v>0.9526749999999999</v>
      </c>
      <c r="G7" s="12">
        <f>IFERROR(('DealScope sensitivity compariso'!C7*(1-'Model inputs'!B38)-'DealScope sensitivity compariso'!B7*'DealScope sensitivity compariso'!D7-'Model inputs'!B42*'Model inputs'!B41)/'DealScope sensitivity compariso'!C7,"")</f>
        <v>0.907675</v>
      </c>
      <c r="H7" s="11">
        <f>'Model inputs'!B82+IF(IF(IF(IF(ISERROR('Model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controls'!F21)/'Model inputs'!B21,0),1),IF(IF(IF(ISERROR(11&gt;'DealScope sensitivity controls'!F21),11&gt;'DealScope sensitivity controls'!F21,IF('DealScope sensitivity controls'!F21="","",11&gt;'DealScope sensitivity controls'!F21))="",FALSE,IF(ISERROR(11&gt;'DealScope sensitivity controls'!F21),11&gt;'DealScope sensitivity controls'!F21,IF('DealScope sensitivity controls'!F21="","",11&gt;'DealScope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controls'!F21)/'Model inputs'!B21,0),1),IF(IF(IF(ISERROR(11&gt;'DealScope sensitivity controls'!F21),11&gt;'DealScope sensitivity controls'!F21,IF('DealScope sensitivity controls'!F21="","",11&gt;'DealScope sensitivity controls'!F21))="",FALSE,IF(ISERROR(11&gt;'DealScope sensitivity controls'!F21),11&gt;'DealScope sensitivity controls'!F21,IF('DealScope sensitivity controls'!F21="","",11&gt;'DealScope sensitivity controls'!F21))),IF('Model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controls'!F21)/'Model inputs'!B21,0),1),IF(IF(IF(ISERROR(12&gt;'DealScope sensitivity controls'!F21),12&gt;'DealScope sensitivity controls'!F21,IF('DealScope sensitivity controls'!F21="","",12&gt;'DealScope sensitivity controls'!F21))="",FALSE,IF(ISERROR(12&gt;'DealScope sensitivity controls'!F21),12&gt;'DealScope sensitivity controls'!F21,IF('DealScope sensitivity controls'!F21="","",12&gt;'DealScope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controls'!F21)/'Model inputs'!B21,0),1),IF(IF(IF(ISERROR(12&gt;'DealScope sensitivity controls'!F21),12&gt;'DealScope sensitivity controls'!F21,IF('DealScope sensitivity controls'!F21="","",12&gt;'DealScope sensitivity controls'!F21))="",FALSE,IF(ISERROR(12&gt;'DealScope sensitivity controls'!F21),12&gt;'DealScope sensitivity controls'!F21,IF('DealScope sensitivity controls'!F21="","",12&gt;'DealScope sensitivity controls'!F21))),IF('Model inputs'!B43="","",'Model inputs'!B43),0)))</f>
        <v>97.5</v>
      </c>
      <c r="I7" s="10">
        <f>'DealScope sensitivity compariso'!H7*'DealScope sensitivity compariso'!C7</f>
        <v>195000</v>
      </c>
      <c r="J7" s="10">
        <f>'DealScope sensitivity compariso'!I7*(1-'Model inputs'!B38)-'DealScope sensitivity compariso'!H7*('DealScope sensitivity compariso'!B7*'DealScope sensitivity compariso'!D7+'Model inputs'!B42*'Model inputs'!B41)-SUM('Model inputs'!B76,'Model inputs'!B77)</f>
        <v>164496.625</v>
      </c>
    </row>
    <row r="8" outlineLevel="1">
      <c r="A8" t="inlineStr" s="13">
        <is>
          <t xml:space="preserve">Annual allowance utilization 75%</t>
        </is>
      </c>
      <c r="B8" s="11">
        <f>IF(IF(IF(ISERROR('DealScope sensitivity controls'!H22=1),'DealScope sensitivity controls'!H22=1,IF('DealScope sensitivity controls'!H22="","",'DealScope sensitivity controls'!H22=1))="",FALSE,IF(ISERROR('DealScope sensitivity controls'!H22=1),'DealScope sensitivity controls'!H22=1,IF('DealScope sensitivity controls'!H22="","",'DealScope sensitivity controls'!H22=1))),'Model inputs'!B6/12*'DealScope sensitivity controls'!G22,IF('DealScope sensitivity controls'!B22="","",'DealScope sensitivity controls'!B22))</f>
        <v>1.5</v>
      </c>
      <c r="C8" s="10">
        <f>IF(EXACT("Annual deal-team","Annual deal-team"),('Model inputs'!B45/12+MAX('DealScope sensitivity compariso'!B8-'Model inputs'!B24/12,0)*'Model inputs'!B32)*(1-'DealScope sensitivity controls'!C22),('Model inputs'!B45/12+'Model inputs'!B9*'DealScope sensitivity compariso'!B8)*(1-'DealScope sensitivity controls'!C22))</f>
        <v>2000</v>
      </c>
      <c r="D8" s="10">
        <f>'Model inputs'!B15*'DealScope sensitivity controls'!E22*'DealScope sensitivity controls'!D22*'Model inputs'!B17+'Model inputs'!B30+'Model inputs'!B39+'Model inputs'!B19</f>
        <v>94.65</v>
      </c>
      <c r="E8" s="10">
        <f>IFERROR('DealScope sensitivity compariso'!C8/'DealScope sensitivity compariso'!B8,"")</f>
        <v>1333.3333333333333</v>
      </c>
      <c r="F8" s="12">
        <f>IFERROR(('DealScope sensitivity compariso'!E8-'DealScope sensitivity compariso'!D8)/'DealScope sensitivity compariso'!E8,"")</f>
        <v>0.9290124999999999</v>
      </c>
      <c r="G8" s="12">
        <f>IFERROR(('DealScope sensitivity compariso'!C8*(1-'Model inputs'!B38)-'DealScope sensitivity compariso'!B8*'DealScope sensitivity compariso'!D8-'Model inputs'!B42*'Model inputs'!B41)/'DealScope sensitivity compariso'!C8,"")</f>
        <v>0.8840125000000001</v>
      </c>
      <c r="H8" s="11">
        <f>'Model inputs'!B87+IF(IF(IF(IF(ISERROR('Model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controls'!F22)/'Model inputs'!B21,0),1),IF(IF(IF(ISERROR(11&gt;'DealScope sensitivity controls'!F22),11&gt;'DealScope sensitivity controls'!F22,IF('DealScope sensitivity controls'!F22="","",11&gt;'DealScope sensitivity controls'!F22))="",FALSE,IF(ISERROR(11&gt;'DealScope sensitivity controls'!F22),11&gt;'DealScope sensitivity controls'!F22,IF('DealScope sensitivity controls'!F22="","",11&gt;'DealScope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controls'!F22)/'Model inputs'!B21,0),1),IF(IF(IF(ISERROR(11&gt;'DealScope sensitivity controls'!F22),11&gt;'DealScope sensitivity controls'!F22,IF('DealScope sensitivity controls'!F22="","",11&gt;'DealScope sensitivity controls'!F22))="",FALSE,IF(ISERROR(11&gt;'DealScope sensitivity controls'!F22),11&gt;'DealScope sensitivity controls'!F22,IF('DealScope sensitivity controls'!F22="","",11&gt;'DealScope sensitivity controls'!F22))),IF('Model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controls'!F22)/'Model inputs'!B21,0),1),IF(IF(IF(ISERROR(12&gt;'DealScope sensitivity controls'!F22),12&gt;'DealScope sensitivity controls'!F22,IF('DealScope sensitivity controls'!F22="","",12&gt;'DealScope sensitivity controls'!F22))="",FALSE,IF(ISERROR(12&gt;'DealScope sensitivity controls'!F22),12&gt;'DealScope sensitivity controls'!F22,IF('DealScope sensitivity controls'!F22="","",12&gt;'DealScope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controls'!F22)/'Model inputs'!B21,0),1),IF(IF(IF(ISERROR(12&gt;'DealScope sensitivity controls'!F22),12&gt;'DealScope sensitivity controls'!F22,IF('DealScope sensitivity controls'!F22="","",12&gt;'DealScope sensitivity controls'!F22))="",FALSE,IF(ISERROR(12&gt;'DealScope sensitivity controls'!F22),12&gt;'DealScope sensitivity controls'!F22,IF('DealScope sensitivity controls'!F22="","",12&gt;'DealScope sensitivity controls'!F22))),IF('Model inputs'!B43="","",'Model inputs'!B43),0)))</f>
        <v>97.5</v>
      </c>
      <c r="I8" s="10">
        <f>'DealScope sensitivity compariso'!H8*'DealScope sensitivity compariso'!C8</f>
        <v>195000</v>
      </c>
      <c r="J8" s="10">
        <f>'DealScope sensitivity compariso'!I8*(1-'Model inputs'!B38)-'DealScope sensitivity compariso'!H8*('DealScope sensitivity compariso'!B8*'DealScope sensitivity compariso'!D8+'Model inputs'!B42*'Model inputs'!B41)-SUM('Model inputs'!B76,'Model inputs'!B77)</f>
        <v>159882.4375</v>
      </c>
    </row>
    <row r="9" outlineLevel="1">
      <c r="A9" t="inlineStr" s="13">
        <is>
          <t xml:space="preserve">Audits 2/month</t>
        </is>
      </c>
      <c r="B9" s="11">
        <f>IF(IF(IF(ISERROR('DealScope sensitivity controls'!H6=1),'DealScope sensitivity controls'!H6=1,IF('DealScope sensitivity controls'!H6="","",'DealScope sensitivity controls'!H6=1))="",FALSE,IF(ISERROR('DealScope sensitivity controls'!H6=1),'DealScope sensitivity controls'!H6=1,IF('DealScope sensitivity controls'!H6="","",'DealScope sensitivity controls'!H6=1))),'Model inputs'!B6/12*'DealScope sensitivity controls'!G6,IF('DealScope sensitivity controls'!B6="","",'DealScope sensitivity controls'!B6))</f>
        <v>2</v>
      </c>
      <c r="C9" s="10">
        <f>IF(EXACT("Annual deal-team","Annual deal-team"),('Model inputs'!B45/12+MAX('DealScope sensitivity compariso'!B9-'Model inputs'!B24/12,0)*'Model inputs'!B32)*(1-'DealScope sensitivity controls'!C6),('Model inputs'!B45/12+'Model inputs'!B9*'DealScope sensitivity compariso'!B9)*(1-'DealScope sensitivity controls'!C6))</f>
        <v>2000</v>
      </c>
      <c r="D9" s="10">
        <f>'Model inputs'!B15*'DealScope sensitivity controls'!E6*'DealScope sensitivity controls'!D6*'Model inputs'!B17+'Model inputs'!B30+'Model inputs'!B39+'Model inputs'!B19</f>
        <v>94.65</v>
      </c>
      <c r="E9" s="10">
        <f>IFERROR('DealScope sensitivity compariso'!C9/'DealScope sensitivity compariso'!B9,"")</f>
        <v>1000</v>
      </c>
      <c r="F9" s="12">
        <f>IFERROR(('DealScope sensitivity compariso'!E9-'DealScope sensitivity compariso'!D9)/'DealScope sensitivity compariso'!E9,"")</f>
        <v>0.90535</v>
      </c>
      <c r="G9" s="12">
        <f>IFERROR(('DealScope sensitivity compariso'!C9*(1-'Model inputs'!B38)-'DealScope sensitivity compariso'!B9*'DealScope sensitivity compariso'!D9-'Model inputs'!B42*'Model inputs'!B41)/'DealScope sensitivity compariso'!C9,"")</f>
        <v>0.8603500000000001</v>
      </c>
      <c r="H9" s="11">
        <f>'Model inputs'!B92+IF(IF(IF(IF(ISERROR('Model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controls'!F6)/'Model inputs'!B21,0),1),IF(IF(IF(ISERROR(11&gt;'DealScope sensitivity controls'!F6),11&gt;'DealScope sensitivity controls'!F6,IF('DealScope sensitivity controls'!F6="","",11&gt;'DealScope sensitivity controls'!F6))="",FALSE,IF(ISERROR(11&gt;'DealScope sensitivity controls'!F6),11&gt;'DealScope sensitivity controls'!F6,IF('DealScope sensitivity controls'!F6="","",11&gt;'DealScope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controls'!F6)/'Model inputs'!B21,0),1),IF(IF(IF(ISERROR(11&gt;'DealScope sensitivity controls'!F6),11&gt;'DealScope sensitivity controls'!F6,IF('DealScope sensitivity controls'!F6="","",11&gt;'DealScope sensitivity controls'!F6))="",FALSE,IF(ISERROR(11&gt;'DealScope sensitivity controls'!F6),11&gt;'DealScope sensitivity controls'!F6,IF('DealScope sensitivity controls'!F6="","",11&gt;'DealScope sensitivity controls'!F6))),IF('Model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controls'!F6)/'Model inputs'!B21,0),1),IF(IF(IF(ISERROR(12&gt;'DealScope sensitivity controls'!F6),12&gt;'DealScope sensitivity controls'!F6,IF('DealScope sensitivity controls'!F6="","",12&gt;'DealScope sensitivity controls'!F6))="",FALSE,IF(ISERROR(12&gt;'DealScope sensitivity controls'!F6),12&gt;'DealScope sensitivity controls'!F6,IF('DealScope sensitivity controls'!F6="","",12&gt;'DealScope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controls'!F6)/'Model inputs'!B21,0),1),IF(IF(IF(ISERROR(12&gt;'DealScope sensitivity controls'!F6),12&gt;'DealScope sensitivity controls'!F6,IF('DealScope sensitivity controls'!F6="","",12&gt;'DealScope sensitivity controls'!F6))="",FALSE,IF(ISERROR(12&gt;'DealScope sensitivity controls'!F6),12&gt;'DealScope sensitivity controls'!F6,IF('DealScope sensitivity controls'!F6="","",12&gt;'DealScope sensitivity controls'!F6))),IF('Model inputs'!B43="","",'Model inputs'!B43),0)))</f>
        <v>97.5</v>
      </c>
      <c r="I9" s="10">
        <f>'DealScope sensitivity compariso'!H9*'DealScope sensitivity compariso'!C9</f>
        <v>195000</v>
      </c>
      <c r="J9" s="10">
        <f>'DealScope sensitivity compariso'!I9*(1-'Model inputs'!B38)-'DealScope sensitivity compariso'!H9*('DealScope sensitivity compariso'!B9*'DealScope sensitivity compariso'!D9+'Model inputs'!B42*'Model inputs'!B41)-SUM('Model inputs'!B76,'Model inputs'!B77)</f>
        <v>155268.25</v>
      </c>
    </row>
    <row r="10" outlineLevel="1">
      <c r="A10" t="inlineStr" s="13">
        <is>
          <t xml:space="preserve">Audits 3/month</t>
        </is>
      </c>
      <c r="B10" s="11">
        <f>IF(IF(IF(ISERROR('DealScope sensitivity controls'!H7=1),'DealScope sensitivity controls'!H7=1,IF('DealScope sensitivity controls'!H7="","",'DealScope sensitivity controls'!H7=1))="",FALSE,IF(ISERROR('DealScope sensitivity controls'!H7=1),'DealScope sensitivity controls'!H7=1,IF('DealScope sensitivity controls'!H7="","",'DealScope sensitivity controls'!H7=1))),'Model inputs'!B6/12*'DealScope sensitivity controls'!G7,IF('DealScope sensitivity controls'!B7="","",'DealScope sensitivity controls'!B7))</f>
        <v>3</v>
      </c>
      <c r="C10" s="10">
        <f>IF(EXACT("Annual deal-team","Annual deal-team"),('Model inputs'!B45/12+MAX('DealScope sensitivity compariso'!B10-'Model inputs'!B24/12,0)*'Model inputs'!B32)*(1-'DealScope sensitivity controls'!C7),('Model inputs'!B45/12+'Model inputs'!B9*'DealScope sensitivity compariso'!B10)*(1-'DealScope sensitivity controls'!C7))</f>
        <v>3000</v>
      </c>
      <c r="D10" s="10">
        <f>'Model inputs'!B15*'DealScope sensitivity controls'!E7*'DealScope sensitivity controls'!D7*'Model inputs'!B17+'Model inputs'!B30+'Model inputs'!B39+'Model inputs'!B19</f>
        <v>94.65</v>
      </c>
      <c r="E10" s="10">
        <f>IFERROR('DealScope sensitivity compariso'!C10/'DealScope sensitivity compariso'!B10,"")</f>
        <v>1000</v>
      </c>
      <c r="F10" s="12">
        <f>IFERROR(('DealScope sensitivity compariso'!E10-'DealScope sensitivity compariso'!D10)/'DealScope sensitivity compariso'!E10,"")</f>
        <v>0.90535</v>
      </c>
      <c r="G10" s="12">
        <f>IFERROR(('DealScope sensitivity compariso'!C10*(1-'Model inputs'!B38)-'DealScope sensitivity compariso'!B10*'DealScope sensitivity compariso'!D10-'Model inputs'!B42*'Model inputs'!B41)/'DealScope sensitivity compariso'!C10,"")</f>
        <v>0.8653500000000001</v>
      </c>
      <c r="H10" s="11">
        <f>'Model inputs'!B97+IF(IF(IF(IF(ISERROR('Model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controls'!F7)/'Model inputs'!B21,0),1),IF(IF(IF(ISERROR(11&gt;'DealScope sensitivity controls'!F7),11&gt;'DealScope sensitivity controls'!F7,IF('DealScope sensitivity controls'!F7="","",11&gt;'DealScope sensitivity controls'!F7))="",FALSE,IF(ISERROR(11&gt;'DealScope sensitivity controls'!F7),11&gt;'DealScope sensitivity controls'!F7,IF('DealScope sensitivity controls'!F7="","",11&gt;'DealScope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controls'!F7)/'Model inputs'!B21,0),1),IF(IF(IF(ISERROR(11&gt;'DealScope sensitivity controls'!F7),11&gt;'DealScope sensitivity controls'!F7,IF('DealScope sensitivity controls'!F7="","",11&gt;'DealScope sensitivity controls'!F7))="",FALSE,IF(ISERROR(11&gt;'DealScope sensitivity controls'!F7),11&gt;'DealScope sensitivity controls'!F7,IF('DealScope sensitivity controls'!F7="","",11&gt;'DealScope sensitivity controls'!F7))),IF('Model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controls'!F7)/'Model inputs'!B21,0),1),IF(IF(IF(ISERROR(12&gt;'DealScope sensitivity controls'!F7),12&gt;'DealScope sensitivity controls'!F7,IF('DealScope sensitivity controls'!F7="","",12&gt;'DealScope sensitivity controls'!F7))="",FALSE,IF(ISERROR(12&gt;'DealScope sensitivity controls'!F7),12&gt;'DealScope sensitivity controls'!F7,IF('DealScope sensitivity controls'!F7="","",12&gt;'DealScope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controls'!F7)/'Model inputs'!B21,0),1),IF(IF(IF(ISERROR(12&gt;'DealScope sensitivity controls'!F7),12&gt;'DealScope sensitivity controls'!F7,IF('DealScope sensitivity controls'!F7="","",12&gt;'DealScope sensitivity controls'!F7))="",FALSE,IF(ISERROR(12&gt;'DealScope sensitivity controls'!F7),12&gt;'DealScope sensitivity controls'!F7,IF('DealScope sensitivity controls'!F7="","",12&gt;'DealScope sensitivity controls'!F7))),IF('Model inputs'!B43="","",'Model inputs'!B43),0)))</f>
        <v>97.5</v>
      </c>
      <c r="I10" s="10">
        <f>'DealScope sensitivity compariso'!H10*'DealScope sensitivity compariso'!C10</f>
        <v>292500</v>
      </c>
      <c r="J10" s="10">
        <f>'DealScope sensitivity compariso'!I10*(1-'Model inputs'!B38)-'DealScope sensitivity compariso'!H10*('DealScope sensitivity compariso'!B10*'DealScope sensitivity compariso'!D10+'Model inputs'!B42*'Model inputs'!B41)-SUM('Model inputs'!B76,'Model inputs'!B77)</f>
        <v>240614.875</v>
      </c>
    </row>
    <row r="11" outlineLevel="1">
      <c r="A11" t="inlineStr" s="13">
        <is>
          <t xml:space="preserve">Audits 4/month</t>
        </is>
      </c>
      <c r="B11" s="11">
        <f>IF(IF(IF(ISERROR('DealScope sensitivity controls'!H8=1),'DealScope sensitivity controls'!H8=1,IF('DealScope sensitivity controls'!H8="","",'DealScope sensitivity controls'!H8=1))="",FALSE,IF(ISERROR('DealScope sensitivity controls'!H8=1),'DealScope sensitivity controls'!H8=1,IF('DealScope sensitivity controls'!H8="","",'DealScope sensitivity controls'!H8=1))),'Model inputs'!B6/12*'DealScope sensitivity controls'!G8,IF('DealScope sensitivity controls'!B8="","",'DealScope sensitivity controls'!B8))</f>
        <v>4</v>
      </c>
      <c r="C11" s="10">
        <f>IF(EXACT("Annual deal-team","Annual deal-team"),('Model inputs'!B45/12+MAX('DealScope sensitivity compariso'!B11-'Model inputs'!B24/12,0)*'Model inputs'!B32)*(1-'DealScope sensitivity controls'!C8),('Model inputs'!B45/12+'Model inputs'!B9*'DealScope sensitivity compariso'!B11)*(1-'DealScope sensitivity controls'!C8))</f>
        <v>4000</v>
      </c>
      <c r="D11" s="10">
        <f>'Model inputs'!B15*'DealScope sensitivity controls'!E8*'DealScope sensitivity controls'!D8*'Model inputs'!B17+'Model inputs'!B30+'Model inputs'!B39+'Model inputs'!B19</f>
        <v>94.65</v>
      </c>
      <c r="E11" s="10">
        <f>IFERROR('DealScope sensitivity compariso'!C11/'DealScope sensitivity compariso'!B11,"")</f>
        <v>1000</v>
      </c>
      <c r="F11" s="12">
        <f>IFERROR(('DealScope sensitivity compariso'!E11-'DealScope sensitivity compariso'!D11)/'DealScope sensitivity compariso'!E11,"")</f>
        <v>0.90535</v>
      </c>
      <c r="G11" s="12">
        <f>IFERROR(('DealScope sensitivity compariso'!C11*(1-'Model inputs'!B38)-'DealScope sensitivity compariso'!B11*'DealScope sensitivity compariso'!D11-'Model inputs'!B42*'Model inputs'!B41)/'DealScope sensitivity compariso'!C11,"")</f>
        <v>0.86785</v>
      </c>
      <c r="H11" s="11">
        <f>'Model inputs'!B102+IF(IF(IF(IF(ISERROR('Model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controls'!F8)/'Model inputs'!B21,0),1),IF(IF(IF(ISERROR(11&gt;'DealScope sensitivity controls'!F8),11&gt;'DealScope sensitivity controls'!F8,IF('DealScope sensitivity controls'!F8="","",11&gt;'DealScope sensitivity controls'!F8))="",FALSE,IF(ISERROR(11&gt;'DealScope sensitivity controls'!F8),11&gt;'DealScope sensitivity controls'!F8,IF('DealScope sensitivity controls'!F8="","",11&gt;'DealScope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controls'!F8)/'Model inputs'!B21,0),1),IF(IF(IF(ISERROR(11&gt;'DealScope sensitivity controls'!F8),11&gt;'DealScope sensitivity controls'!F8,IF('DealScope sensitivity controls'!F8="","",11&gt;'DealScope sensitivity controls'!F8))="",FALSE,IF(ISERROR(11&gt;'DealScope sensitivity controls'!F8),11&gt;'DealScope sensitivity controls'!F8,IF('DealScope sensitivity controls'!F8="","",11&gt;'DealScope sensitivity controls'!F8))),IF('Model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controls'!F8)/'Model inputs'!B21,0),1),IF(IF(IF(ISERROR(12&gt;'DealScope sensitivity controls'!F8),12&gt;'DealScope sensitivity controls'!F8,IF('DealScope sensitivity controls'!F8="","",12&gt;'DealScope sensitivity controls'!F8))="",FALSE,IF(ISERROR(12&gt;'DealScope sensitivity controls'!F8),12&gt;'DealScope sensitivity controls'!F8,IF('DealScope sensitivity controls'!F8="","",12&gt;'DealScope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controls'!F8)/'Model inputs'!B21,0),1),IF(IF(IF(ISERROR(12&gt;'DealScope sensitivity controls'!F8),12&gt;'DealScope sensitivity controls'!F8,IF('DealScope sensitivity controls'!F8="","",12&gt;'DealScope sensitivity controls'!F8))="",FALSE,IF(ISERROR(12&gt;'DealScope sensitivity controls'!F8),12&gt;'DealScope sensitivity controls'!F8,IF('DealScope sensitivity controls'!F8="","",12&gt;'DealScope sensitivity controls'!F8))),IF('Model inputs'!B43="","",'Model inputs'!B43),0)))</f>
        <v>97.5</v>
      </c>
      <c r="I11" s="10">
        <f>'DealScope sensitivity compariso'!H11*'DealScope sensitivity compariso'!C11</f>
        <v>390000</v>
      </c>
      <c r="J11" s="10">
        <f>'DealScope sensitivity compariso'!I11*(1-'Model inputs'!B38)-'DealScope sensitivity compariso'!H11*('DealScope sensitivity compariso'!B11*'DealScope sensitivity compariso'!D11+'Model inputs'!B42*'Model inputs'!B41)-SUM('Model inputs'!B76,'Model inputs'!B77)</f>
        <v>325961.5</v>
      </c>
    </row>
    <row r="12" outlineLevel="1">
      <c r="A12" t="inlineStr" s="13">
        <is>
          <t xml:space="preserve">Baseline</t>
        </is>
      </c>
      <c r="B12" s="11">
        <f>IF(IF(IF(ISERROR('DealScope sensitivity controls'!H5=1),'DealScope sensitivity controls'!H5=1,IF('DealScope sensitivity controls'!H5="","",'DealScope sensitivity controls'!H5=1))="",FALSE,IF(ISERROR('DealScope sensitivity controls'!H5=1),'DealScope sensitivity controls'!H5=1,IF('DealScope sensitivity controls'!H5="","",'DealScope sensitivity controls'!H5=1))),'Model inputs'!B6/12*'DealScope sensitivity controls'!G5,IF('DealScope sensitivity controls'!B5="","",'DealScope sensitivity controls'!B5))</f>
        <v>4</v>
      </c>
      <c r="C12" s="10">
        <f>IF(EXACT("Annual deal-team","Annual deal-team"),('Model inputs'!B45/12+MAX('DealScope sensitivity compariso'!B12-'Model inputs'!B24/12,0)*'Model inputs'!B32)*(1-'DealScope sensitivity controls'!C5),('Model inputs'!B45/12+'Model inputs'!B9*'DealScope sensitivity compariso'!B12)*(1-'DealScope sensitivity controls'!C5))</f>
        <v>4000</v>
      </c>
      <c r="D12" s="10">
        <f>'Model inputs'!B15*'DealScope sensitivity controls'!E5*'DealScope sensitivity controls'!D5*'Model inputs'!B17+'Model inputs'!B30+'Model inputs'!B39+'Model inputs'!B19</f>
        <v>94.65</v>
      </c>
      <c r="E12" s="10">
        <f>IFERROR('DealScope sensitivity compariso'!C12/'DealScope sensitivity compariso'!B12,"")</f>
        <v>1000</v>
      </c>
      <c r="F12" s="12">
        <f>IFERROR(('DealScope sensitivity compariso'!E12-'DealScope sensitivity compariso'!D12)/'DealScope sensitivity compariso'!E12,"")</f>
        <v>0.90535</v>
      </c>
      <c r="G12" s="12">
        <f>IFERROR(('DealScope sensitivity compariso'!C12*(1-'Model inputs'!B38)-'DealScope sensitivity compariso'!B12*'DealScope sensitivity compariso'!D12-'Model inputs'!B42*'Model inputs'!B41)/'DealScope sensitivity compariso'!C12,"")</f>
        <v>0.86785</v>
      </c>
      <c r="H12" s="11">
        <f>'Model inputs'!B107+IF(IF(IF(IF(ISERROR('Model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controls'!F5)/'Model inputs'!B21,0),1),IF(IF(IF(ISERROR(11&gt;'DealScope sensitivity controls'!F5),11&gt;'DealScope sensitivity controls'!F5,IF('DealScope sensitivity controls'!F5="","",11&gt;'DealScope sensitivity controls'!F5))="",FALSE,IF(ISERROR(11&gt;'DealScope sensitivity controls'!F5),11&gt;'DealScope sensitivity controls'!F5,IF('DealScope sensitivity controls'!F5="","",11&gt;'DealScope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controls'!F5)/'Model inputs'!B21,0),1),IF(IF(IF(ISERROR(11&gt;'DealScope sensitivity controls'!F5),11&gt;'DealScope sensitivity controls'!F5,IF('DealScope sensitivity controls'!F5="","",11&gt;'DealScope sensitivity controls'!F5))="",FALSE,IF(ISERROR(11&gt;'DealScope sensitivity controls'!F5),11&gt;'DealScope sensitivity controls'!F5,IF('DealScope sensitivity controls'!F5="","",11&gt;'DealScope sensitivity controls'!F5))),IF('Model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controls'!F5)/'Model inputs'!B21,0),1),IF(IF(IF(ISERROR(12&gt;'DealScope sensitivity controls'!F5),12&gt;'DealScope sensitivity controls'!F5,IF('DealScope sensitivity controls'!F5="","",12&gt;'DealScope sensitivity controls'!F5))="",FALSE,IF(ISERROR(12&gt;'DealScope sensitivity controls'!F5),12&gt;'DealScope sensitivity controls'!F5,IF('DealScope sensitivity controls'!F5="","",12&gt;'DealScope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controls'!F5)/'Model inputs'!B21,0),1),IF(IF(IF(ISERROR(12&gt;'DealScope sensitivity controls'!F5),12&gt;'DealScope sensitivity controls'!F5,IF('DealScope sensitivity controls'!F5="","",12&gt;'DealScope sensitivity controls'!F5))="",FALSE,IF(ISERROR(12&gt;'DealScope sensitivity controls'!F5),12&gt;'DealScope sensitivity controls'!F5,IF('DealScope sensitivity controls'!F5="","",12&gt;'DealScope sensitivity controls'!F5))),IF('Model inputs'!B43="","",'Model inputs'!B43),0)))</f>
        <v>97.5</v>
      </c>
      <c r="I12" s="10">
        <f>'DealScope sensitivity compariso'!H12*'DealScope sensitivity compariso'!C12</f>
        <v>390000</v>
      </c>
      <c r="J12" s="10">
        <f>'DealScope sensitivity compariso'!I12*(1-'Model inputs'!B38)-'DealScope sensitivity compariso'!H12*('DealScope sensitivity compariso'!B12*'DealScope sensitivity compariso'!D12+'Model inputs'!B42*'Model inputs'!B41)-SUM('Model inputs'!B76,'Model inputs'!B77)</f>
        <v>325961.5</v>
      </c>
    </row>
    <row r="13" outlineLevel="1">
      <c r="A13" t="inlineStr" s="13">
        <is>
          <t xml:space="preserve">Credit rate $0.05</t>
        </is>
      </c>
      <c r="B13" s="11">
        <f>IF(IF(IF(ISERROR('DealScope sensitivity controls'!H15=1),'DealScope sensitivity controls'!H15=1,IF('DealScope sensitivity controls'!H15="","",'DealScope sensitivity controls'!H15=1))="",FALSE,IF(ISERROR('DealScope sensitivity controls'!H15=1),'DealScope sensitivity controls'!H15=1,IF('DealScope sensitivity controls'!H15="","",'DealScope sensitivity controls'!H15=1))),'Model inputs'!B6/12*'DealScope sensitivity controls'!G15,IF('DealScope sensitivity controls'!B15="","",'DealScope sensitivity controls'!B15))</f>
        <v>4</v>
      </c>
      <c r="C13" s="10">
        <f>IF(EXACT("Annual deal-team","Annual deal-team"),('Model inputs'!B45/12+MAX('DealScope sensitivity compariso'!B13-'Model inputs'!B24/12,0)*'Model inputs'!B32)*(1-'DealScope sensitivity controls'!C15),('Model inputs'!B45/12+'Model inputs'!B9*'DealScope sensitivity compariso'!B13)*(1-'DealScope sensitivity controls'!C15))</f>
        <v>4000</v>
      </c>
      <c r="D13" s="10">
        <f>'Model inputs'!B15*'DealScope sensitivity controls'!E15*'DealScope sensitivity controls'!D15*'Model inputs'!B17+'Model inputs'!B30+'Model inputs'!B39+'Model inputs'!B19</f>
        <v>93.35</v>
      </c>
      <c r="E13" s="10">
        <f>IFERROR('DealScope sensitivity compariso'!C13/'DealScope sensitivity compariso'!B13,"")</f>
        <v>1000</v>
      </c>
      <c r="F13" s="12">
        <f>IFERROR(('DealScope sensitivity compariso'!E13-'DealScope sensitivity compariso'!D13)/'DealScope sensitivity compariso'!E13,"")</f>
        <v>0.90665</v>
      </c>
      <c r="G13" s="12">
        <f>IFERROR(('DealScope sensitivity compariso'!C13*(1-'Model inputs'!B38)-'DealScope sensitivity compariso'!B13*'DealScope sensitivity compariso'!D13-'Model inputs'!B42*'Model inputs'!B41)/'DealScope sensitivity compariso'!C13,"")</f>
        <v>0.86915</v>
      </c>
      <c r="H13" s="11">
        <f>'Model inputs'!B112+IF(IF(IF(IF(ISERROR('Model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controls'!F15)/'Model inputs'!B21,0),1),IF(IF(IF(ISERROR(11&gt;'DealScope sensitivity controls'!F15),11&gt;'DealScope sensitivity controls'!F15,IF('DealScope sensitivity controls'!F15="","",11&gt;'DealScope sensitivity controls'!F15))="",FALSE,IF(ISERROR(11&gt;'DealScope sensitivity controls'!F15),11&gt;'DealScope sensitivity controls'!F15,IF('DealScope sensitivity controls'!F15="","",11&gt;'DealScope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controls'!F15)/'Model inputs'!B21,0),1),IF(IF(IF(ISERROR(11&gt;'DealScope sensitivity controls'!F15),11&gt;'DealScope sensitivity controls'!F15,IF('DealScope sensitivity controls'!F15="","",11&gt;'DealScope sensitivity controls'!F15))="",FALSE,IF(ISERROR(11&gt;'DealScope sensitivity controls'!F15),11&gt;'DealScope sensitivity controls'!F15,IF('DealScope sensitivity controls'!F15="","",11&gt;'DealScope sensitivity controls'!F15))),IF('Model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controls'!F15)/'Model inputs'!B21,0),1),IF(IF(IF(ISERROR(12&gt;'DealScope sensitivity controls'!F15),12&gt;'DealScope sensitivity controls'!F15,IF('DealScope sensitivity controls'!F15="","",12&gt;'DealScope sensitivity controls'!F15))="",FALSE,IF(ISERROR(12&gt;'DealScope sensitivity controls'!F15),12&gt;'DealScope sensitivity controls'!F15,IF('DealScope sensitivity controls'!F15="","",12&gt;'DealScope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controls'!F15)/'Model inputs'!B21,0),1),IF(IF(IF(ISERROR(12&gt;'DealScope sensitivity controls'!F15),12&gt;'DealScope sensitivity controls'!F15,IF('DealScope sensitivity controls'!F15="","",12&gt;'DealScope sensitivity controls'!F15))="",FALSE,IF(ISERROR(12&gt;'DealScope sensitivity controls'!F15),12&gt;'DealScope sensitivity controls'!F15,IF('DealScope sensitivity controls'!F15="","",12&gt;'DealScope sensitivity controls'!F15))),IF('Model inputs'!B43="","",'Model inputs'!B43),0)))</f>
        <v>97.5</v>
      </c>
      <c r="I13" s="10">
        <f>'DealScope sensitivity compariso'!H13*'DealScope sensitivity compariso'!C13</f>
        <v>390000</v>
      </c>
      <c r="J13" s="10">
        <f>'DealScope sensitivity compariso'!I13*(1-'Model inputs'!B38)-'DealScope sensitivity compariso'!H13*('DealScope sensitivity compariso'!B13*'DealScope sensitivity compariso'!D13+'Model inputs'!B42*'Model inputs'!B41)-SUM('Model inputs'!B76,'Model inputs'!B77)</f>
        <v>326468.5</v>
      </c>
    </row>
    <row r="14" outlineLevel="1">
      <c r="A14" t="inlineStr" s="13">
        <is>
          <t xml:space="preserve">Credit rate $0.10</t>
        </is>
      </c>
      <c r="B14" s="11">
        <f>IF(IF(IF(ISERROR('DealScope sensitivity controls'!H16=1),'DealScope sensitivity controls'!H16=1,IF('DealScope sensitivity controls'!H16="","",'DealScope sensitivity controls'!H16=1))="",FALSE,IF(ISERROR('DealScope sensitivity controls'!H16=1),'DealScope sensitivity controls'!H16=1,IF('DealScope sensitivity controls'!H16="","",'DealScope sensitivity controls'!H16=1))),'Model inputs'!B6/12*'DealScope sensitivity controls'!G16,IF('DealScope sensitivity controls'!B16="","",'DealScope sensitivity controls'!B16))</f>
        <v>4</v>
      </c>
      <c r="C14" s="10">
        <f>IF(EXACT("Annual deal-team","Annual deal-team"),('Model inputs'!B45/12+MAX('DealScope sensitivity compariso'!B14-'Model inputs'!B24/12,0)*'Model inputs'!B32)*(1-'DealScope sensitivity controls'!C16),('Model inputs'!B45/12+'Model inputs'!B9*'DealScope sensitivity compariso'!B14)*(1-'DealScope sensitivity controls'!C16))</f>
        <v>4000</v>
      </c>
      <c r="D14" s="10">
        <f>'Model inputs'!B15*'DealScope sensitivity controls'!E16*'DealScope sensitivity controls'!D16*'Model inputs'!B17+'Model inputs'!B30+'Model inputs'!B39+'Model inputs'!B19</f>
        <v>94.65</v>
      </c>
      <c r="E14" s="10">
        <f>IFERROR('DealScope sensitivity compariso'!C14/'DealScope sensitivity compariso'!B14,"")</f>
        <v>1000</v>
      </c>
      <c r="F14" s="12">
        <f>IFERROR(('DealScope sensitivity compariso'!E14-'DealScope sensitivity compariso'!D14)/'DealScope sensitivity compariso'!E14,"")</f>
        <v>0.90535</v>
      </c>
      <c r="G14" s="12">
        <f>IFERROR(('DealScope sensitivity compariso'!C14*(1-'Model inputs'!B38)-'DealScope sensitivity compariso'!B14*'DealScope sensitivity compariso'!D14-'Model inputs'!B42*'Model inputs'!B41)/'DealScope sensitivity compariso'!C14,"")</f>
        <v>0.86785</v>
      </c>
      <c r="H14" s="11">
        <f>'Model inputs'!B117+IF(IF(IF(IF(ISERROR('Model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controls'!F16)/'Model inputs'!B21,0),1),IF(IF(IF(ISERROR(11&gt;'DealScope sensitivity controls'!F16),11&gt;'DealScope sensitivity controls'!F16,IF('DealScope sensitivity controls'!F16="","",11&gt;'DealScope sensitivity controls'!F16))="",FALSE,IF(ISERROR(11&gt;'DealScope sensitivity controls'!F16),11&gt;'DealScope sensitivity controls'!F16,IF('DealScope sensitivity controls'!F16="","",11&gt;'DealScope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controls'!F16)/'Model inputs'!B21,0),1),IF(IF(IF(ISERROR(11&gt;'DealScope sensitivity controls'!F16),11&gt;'DealScope sensitivity controls'!F16,IF('DealScope sensitivity controls'!F16="","",11&gt;'DealScope sensitivity controls'!F16))="",FALSE,IF(ISERROR(11&gt;'DealScope sensitivity controls'!F16),11&gt;'DealScope sensitivity controls'!F16,IF('DealScope sensitivity controls'!F16="","",11&gt;'DealScope sensitivity controls'!F16))),IF('Model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controls'!F16)/'Model inputs'!B21,0),1),IF(IF(IF(ISERROR(12&gt;'DealScope sensitivity controls'!F16),12&gt;'DealScope sensitivity controls'!F16,IF('DealScope sensitivity controls'!F16="","",12&gt;'DealScope sensitivity controls'!F16))="",FALSE,IF(ISERROR(12&gt;'DealScope sensitivity controls'!F16),12&gt;'DealScope sensitivity controls'!F16,IF('DealScope sensitivity controls'!F16="","",12&gt;'DealScope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controls'!F16)/'Model inputs'!B21,0),1),IF(IF(IF(ISERROR(12&gt;'DealScope sensitivity controls'!F16),12&gt;'DealScope sensitivity controls'!F16,IF('DealScope sensitivity controls'!F16="","",12&gt;'DealScope sensitivity controls'!F16))="",FALSE,IF(ISERROR(12&gt;'DealScope sensitivity controls'!F16),12&gt;'DealScope sensitivity controls'!F16,IF('DealScope sensitivity controls'!F16="","",12&gt;'DealScope sensitivity controls'!F16))),IF('Model inputs'!B43="","",'Model inputs'!B43),0)))</f>
        <v>97.5</v>
      </c>
      <c r="I14" s="10">
        <f>'DealScope sensitivity compariso'!H14*'DealScope sensitivity compariso'!C14</f>
        <v>390000</v>
      </c>
      <c r="J14" s="10">
        <f>'DealScope sensitivity compariso'!I14*(1-'Model inputs'!B38)-'DealScope sensitivity compariso'!H14*('DealScope sensitivity compariso'!B14*'DealScope sensitivity compariso'!D14+'Model inputs'!B42*'Model inputs'!B41)-SUM('Model inputs'!B76,'Model inputs'!B77)</f>
        <v>325961.5</v>
      </c>
    </row>
    <row r="15" outlineLevel="1">
      <c r="A15" t="inlineStr" s="13">
        <is>
          <t xml:space="preserve">Credit rate $0.25</t>
        </is>
      </c>
      <c r="B15" s="11">
        <f>IF(IF(IF(ISERROR('DealScope sensitivity controls'!H17=1),'DealScope sensitivity controls'!H17=1,IF('DealScope sensitivity controls'!H17="","",'DealScope sensitivity controls'!H17=1))="",FALSE,IF(ISERROR('DealScope sensitivity controls'!H17=1),'DealScope sensitivity controls'!H17=1,IF('DealScope sensitivity controls'!H17="","",'DealScope sensitivity controls'!H17=1))),'Model inputs'!B6/12*'DealScope sensitivity controls'!G17,IF('DealScope sensitivity controls'!B17="","",'DealScope sensitivity controls'!B17))</f>
        <v>4</v>
      </c>
      <c r="C15" s="10">
        <f>IF(EXACT("Annual deal-team","Annual deal-team"),('Model inputs'!B45/12+MAX('DealScope sensitivity compariso'!B15-'Model inputs'!B24/12,0)*'Model inputs'!B32)*(1-'DealScope sensitivity controls'!C17),('Model inputs'!B45/12+'Model inputs'!B9*'DealScope sensitivity compariso'!B15)*(1-'DealScope sensitivity controls'!C17))</f>
        <v>4000</v>
      </c>
      <c r="D15" s="10">
        <f>'Model inputs'!B15*'DealScope sensitivity controls'!E17*'DealScope sensitivity controls'!D17*'Model inputs'!B17+'Model inputs'!B30+'Model inputs'!B39+'Model inputs'!B19</f>
        <v>98.55</v>
      </c>
      <c r="E15" s="10">
        <f>IFERROR('DealScope sensitivity compariso'!C15/'DealScope sensitivity compariso'!B15,"")</f>
        <v>1000</v>
      </c>
      <c r="F15" s="12">
        <f>IFERROR(('DealScope sensitivity compariso'!E15-'DealScope sensitivity compariso'!D15)/'DealScope sensitivity compariso'!E15,"")</f>
        <v>0.9014500000000001</v>
      </c>
      <c r="G15" s="12">
        <f>IFERROR(('DealScope sensitivity compariso'!C15*(1-'Model inputs'!B38)-'DealScope sensitivity compariso'!B15*'DealScope sensitivity compariso'!D15-'Model inputs'!B42*'Model inputs'!B41)/'DealScope sensitivity compariso'!C15,"")</f>
        <v>0.86395</v>
      </c>
      <c r="H15" s="11">
        <f>'Model inputs'!B122+IF(IF(IF(IF(ISERROR('Model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controls'!F17)/'Model inputs'!B21,0),1),IF(IF(IF(ISERROR(11&gt;'DealScope sensitivity controls'!F17),11&gt;'DealScope sensitivity controls'!F17,IF('DealScope sensitivity controls'!F17="","",11&gt;'DealScope sensitivity controls'!F17))="",FALSE,IF(ISERROR(11&gt;'DealScope sensitivity controls'!F17),11&gt;'DealScope sensitivity controls'!F17,IF('DealScope sensitivity controls'!F17="","",11&gt;'DealScope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controls'!F17)/'Model inputs'!B21,0),1),IF(IF(IF(ISERROR(11&gt;'DealScope sensitivity controls'!F17),11&gt;'DealScope sensitivity controls'!F17,IF('DealScope sensitivity controls'!F17="","",11&gt;'DealScope sensitivity controls'!F17))="",FALSE,IF(ISERROR(11&gt;'DealScope sensitivity controls'!F17),11&gt;'DealScope sensitivity controls'!F17,IF('DealScope sensitivity controls'!F17="","",11&gt;'DealScope sensitivity controls'!F17))),IF('Model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controls'!F17)/'Model inputs'!B21,0),1),IF(IF(IF(ISERROR(12&gt;'DealScope sensitivity controls'!F17),12&gt;'DealScope sensitivity controls'!F17,IF('DealScope sensitivity controls'!F17="","",12&gt;'DealScope sensitivity controls'!F17))="",FALSE,IF(ISERROR(12&gt;'DealScope sensitivity controls'!F17),12&gt;'DealScope sensitivity controls'!F17,IF('DealScope sensitivity controls'!F17="","",12&gt;'DealScope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controls'!F17)/'Model inputs'!B21,0),1),IF(IF(IF(ISERROR(12&gt;'DealScope sensitivity controls'!F17),12&gt;'DealScope sensitivity controls'!F17,IF('DealScope sensitivity controls'!F17="","",12&gt;'DealScope sensitivity controls'!F17))="",FALSE,IF(ISERROR(12&gt;'DealScope sensitivity controls'!F17),12&gt;'DealScope sensitivity controls'!F17,IF('DealScope sensitivity controls'!F17="","",12&gt;'DealScope sensitivity controls'!F17))),IF('Model inputs'!B43="","",'Model inputs'!B43),0)))</f>
        <v>97.5</v>
      </c>
      <c r="I15" s="10">
        <f>'DealScope sensitivity compariso'!H15*'DealScope sensitivity compariso'!C15</f>
        <v>390000</v>
      </c>
      <c r="J15" s="10">
        <f>'DealScope sensitivity compariso'!I15*(1-'Model inputs'!B38)-'DealScope sensitivity compariso'!H15*('DealScope sensitivity compariso'!B15*'DealScope sensitivity compariso'!D15+'Model inputs'!B42*'Model inputs'!B41)-SUM('Model inputs'!B76,'Model inputs'!B77)</f>
        <v>324440.5</v>
      </c>
    </row>
    <row r="16" outlineLevel="1">
      <c r="A16" t="inlineStr" s="13">
        <is>
          <t xml:space="preserve">Data cost x1</t>
        </is>
      </c>
      <c r="B16" s="11">
        <f>IF(IF(IF(ISERROR('DealScope sensitivity controls'!H12=1),'DealScope sensitivity controls'!H12=1,IF('DealScope sensitivity controls'!H12="","",'DealScope sensitivity controls'!H12=1))="",FALSE,IF(ISERROR('DealScope sensitivity controls'!H12=1),'DealScope sensitivity controls'!H12=1,IF('DealScope sensitivity controls'!H12="","",'DealScope sensitivity controls'!H12=1))),'Model inputs'!B6/12*'DealScope sensitivity controls'!G12,IF('DealScope sensitivity controls'!B12="","",'DealScope sensitivity controls'!B12))</f>
        <v>4</v>
      </c>
      <c r="C16" s="10">
        <f>IF(EXACT("Annual deal-team","Annual deal-team"),('Model inputs'!B45/12+MAX('DealScope sensitivity compariso'!B16-'Model inputs'!B24/12,0)*'Model inputs'!B32)*(1-'DealScope sensitivity controls'!C12),('Model inputs'!B45/12+'Model inputs'!B9*'DealScope sensitivity compariso'!B16)*(1-'DealScope sensitivity controls'!C12))</f>
        <v>4000</v>
      </c>
      <c r="D16" s="10">
        <f>'Model inputs'!B15*'DealScope sensitivity controls'!E12*'DealScope sensitivity controls'!D12*'Model inputs'!B17+'Model inputs'!B30+'Model inputs'!B39+'Model inputs'!B19</f>
        <v>94.65</v>
      </c>
      <c r="E16" s="10">
        <f>IFERROR('DealScope sensitivity compariso'!C16/'DealScope sensitivity compariso'!B16,"")</f>
        <v>1000</v>
      </c>
      <c r="F16" s="12">
        <f>IFERROR(('DealScope sensitivity compariso'!E16-'DealScope sensitivity compariso'!D16)/'DealScope sensitivity compariso'!E16,"")</f>
        <v>0.90535</v>
      </c>
      <c r="G16" s="12">
        <f>IFERROR(('DealScope sensitivity compariso'!C16*(1-'Model inputs'!B38)-'DealScope sensitivity compariso'!B16*'DealScope sensitivity compariso'!D16-'Model inputs'!B42*'Model inputs'!B41)/'DealScope sensitivity compariso'!C16,"")</f>
        <v>0.86785</v>
      </c>
      <c r="H16" s="11">
        <f>'Model inputs'!B127+IF(IF(IF(IF(ISERROR('Model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controls'!F12)/'Model inputs'!B21,0),1),IF(IF(IF(ISERROR(11&gt;'DealScope sensitivity controls'!F12),11&gt;'DealScope sensitivity controls'!F12,IF('DealScope sensitivity controls'!F12="","",11&gt;'DealScope sensitivity controls'!F12))="",FALSE,IF(ISERROR(11&gt;'DealScope sensitivity controls'!F12),11&gt;'DealScope sensitivity controls'!F12,IF('DealScope sensitivity controls'!F12="","",11&gt;'DealScope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controls'!F12)/'Model inputs'!B21,0),1),IF(IF(IF(ISERROR(11&gt;'DealScope sensitivity controls'!F12),11&gt;'DealScope sensitivity controls'!F12,IF('DealScope sensitivity controls'!F12="","",11&gt;'DealScope sensitivity controls'!F12))="",FALSE,IF(ISERROR(11&gt;'DealScope sensitivity controls'!F12),11&gt;'DealScope sensitivity controls'!F12,IF('DealScope sensitivity controls'!F12="","",11&gt;'DealScope sensitivity controls'!F12))),IF('Model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controls'!F12)/'Model inputs'!B21,0),1),IF(IF(IF(ISERROR(12&gt;'DealScope sensitivity controls'!F12),12&gt;'DealScope sensitivity controls'!F12,IF('DealScope sensitivity controls'!F12="","",12&gt;'DealScope sensitivity controls'!F12))="",FALSE,IF(ISERROR(12&gt;'DealScope sensitivity controls'!F12),12&gt;'DealScope sensitivity controls'!F12,IF('DealScope sensitivity controls'!F12="","",12&gt;'DealScope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controls'!F12)/'Model inputs'!B21,0),1),IF(IF(IF(ISERROR(12&gt;'DealScope sensitivity controls'!F12),12&gt;'DealScope sensitivity controls'!F12,IF('DealScope sensitivity controls'!F12="","",12&gt;'DealScope sensitivity controls'!F12))="",FALSE,IF(ISERROR(12&gt;'DealScope sensitivity controls'!F12),12&gt;'DealScope sensitivity controls'!F12,IF('DealScope sensitivity controls'!F12="","",12&gt;'DealScope sensitivity controls'!F12))),IF('Model inputs'!B43="","",'Model inputs'!B43),0)))</f>
        <v>97.5</v>
      </c>
      <c r="I16" s="10">
        <f>'DealScope sensitivity compariso'!H16*'DealScope sensitivity compariso'!C16</f>
        <v>390000</v>
      </c>
      <c r="J16" s="10">
        <f>'DealScope sensitivity compariso'!I16*(1-'Model inputs'!B38)-'DealScope sensitivity compariso'!H16*('DealScope sensitivity compariso'!B16*'DealScope sensitivity compariso'!D16+'Model inputs'!B42*'Model inputs'!B41)-SUM('Model inputs'!B76,'Model inputs'!B77)</f>
        <v>325961.5</v>
      </c>
    </row>
    <row r="17" outlineLevel="1">
      <c r="A17" t="inlineStr" s="13">
        <is>
          <t xml:space="preserve">Data cost x2</t>
        </is>
      </c>
      <c r="B17" s="11">
        <f>IF(IF(IF(ISERROR('DealScope sensitivity controls'!H13=1),'DealScope sensitivity controls'!H13=1,IF('DealScope sensitivity controls'!H13="","",'DealScope sensitivity controls'!H13=1))="",FALSE,IF(ISERROR('DealScope sensitivity controls'!H13=1),'DealScope sensitivity controls'!H13=1,IF('DealScope sensitivity controls'!H13="","",'DealScope sensitivity controls'!H13=1))),'Model inputs'!B6/12*'DealScope sensitivity controls'!G13,IF('DealScope sensitivity controls'!B13="","",'DealScope sensitivity controls'!B13))</f>
        <v>4</v>
      </c>
      <c r="C17" s="10">
        <f>IF(EXACT("Annual deal-team","Annual deal-team"),('Model inputs'!B45/12+MAX('DealScope sensitivity compariso'!B17-'Model inputs'!B24/12,0)*'Model inputs'!B32)*(1-'DealScope sensitivity controls'!C13),('Model inputs'!B45/12+'Model inputs'!B9*'DealScope sensitivity compariso'!B17)*(1-'DealScope sensitivity controls'!C13))</f>
        <v>4000</v>
      </c>
      <c r="D17" s="10">
        <f>'Model inputs'!B15*'DealScope sensitivity controls'!E13*'DealScope sensitivity controls'!D13*'Model inputs'!B17+'Model inputs'!B30+'Model inputs'!B39+'Model inputs'!B19</f>
        <v>97.25</v>
      </c>
      <c r="E17" s="10">
        <f>IFERROR('DealScope sensitivity compariso'!C17/'DealScope sensitivity compariso'!B17,"")</f>
        <v>1000</v>
      </c>
      <c r="F17" s="12">
        <f>IFERROR(('DealScope sensitivity compariso'!E17-'DealScope sensitivity compariso'!D17)/'DealScope sensitivity compariso'!E17,"")</f>
        <v>0.90275</v>
      </c>
      <c r="G17" s="12">
        <f>IFERROR(('DealScope sensitivity compariso'!C17*(1-'Model inputs'!B38)-'DealScope sensitivity compariso'!B17*'DealScope sensitivity compariso'!D17-'Model inputs'!B42*'Model inputs'!B41)/'DealScope sensitivity compariso'!C17,"")</f>
        <v>0.86525</v>
      </c>
      <c r="H17" s="11">
        <f>'Model inputs'!B132+IF(IF(IF(IF(ISERROR('Model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controls'!F13)/'Model inputs'!B21,0),1),IF(IF(IF(ISERROR(11&gt;'DealScope sensitivity controls'!F13),11&gt;'DealScope sensitivity controls'!F13,IF('DealScope sensitivity controls'!F13="","",11&gt;'DealScope sensitivity controls'!F13))="",FALSE,IF(ISERROR(11&gt;'DealScope sensitivity controls'!F13),11&gt;'DealScope sensitivity controls'!F13,IF('DealScope sensitivity controls'!F13="","",11&gt;'DealScope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controls'!F13)/'Model inputs'!B21,0),1),IF(IF(IF(ISERROR(11&gt;'DealScope sensitivity controls'!F13),11&gt;'DealScope sensitivity controls'!F13,IF('DealScope sensitivity controls'!F13="","",11&gt;'DealScope sensitivity controls'!F13))="",FALSE,IF(ISERROR(11&gt;'DealScope sensitivity controls'!F13),11&gt;'DealScope sensitivity controls'!F13,IF('DealScope sensitivity controls'!F13="","",11&gt;'DealScope sensitivity controls'!F13))),IF('Model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controls'!F13)/'Model inputs'!B21,0),1),IF(IF(IF(ISERROR(12&gt;'DealScope sensitivity controls'!F13),12&gt;'DealScope sensitivity controls'!F13,IF('DealScope sensitivity controls'!F13="","",12&gt;'DealScope sensitivity controls'!F13))="",FALSE,IF(ISERROR(12&gt;'DealScope sensitivity controls'!F13),12&gt;'DealScope sensitivity controls'!F13,IF('DealScope sensitivity controls'!F13="","",12&gt;'DealScope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controls'!F13)/'Model inputs'!B21,0),1),IF(IF(IF(ISERROR(12&gt;'DealScope sensitivity controls'!F13),12&gt;'DealScope sensitivity controls'!F13,IF('DealScope sensitivity controls'!F13="","",12&gt;'DealScope sensitivity controls'!F13))="",FALSE,IF(ISERROR(12&gt;'DealScope sensitivity controls'!F13),12&gt;'DealScope sensitivity controls'!F13,IF('DealScope sensitivity controls'!F13="","",12&gt;'DealScope sensitivity controls'!F13))),IF('Model inputs'!B43="","",'Model inputs'!B43),0)))</f>
        <v>97.5</v>
      </c>
      <c r="I17" s="10">
        <f>'DealScope sensitivity compariso'!H17*'DealScope sensitivity compariso'!C17</f>
        <v>390000</v>
      </c>
      <c r="J17" s="10">
        <f>'DealScope sensitivity compariso'!I17*(1-'Model inputs'!B38)-'DealScope sensitivity compariso'!H17*('DealScope sensitivity compariso'!B17*'DealScope sensitivity compariso'!D17+'Model inputs'!B42*'Model inputs'!B41)-SUM('Model inputs'!B76,'Model inputs'!B77)</f>
        <v>324947.5</v>
      </c>
    </row>
    <row r="18" outlineLevel="1">
      <c r="A18" t="inlineStr" s="13">
        <is>
          <t xml:space="preserve">Data cost x3</t>
        </is>
      </c>
      <c r="B18" s="11">
        <f>IF(IF(IF(ISERROR('DealScope sensitivity controls'!H14=1),'DealScope sensitivity controls'!H14=1,IF('DealScope sensitivity controls'!H14="","",'DealScope sensitivity controls'!H14=1))="",FALSE,IF(ISERROR('DealScope sensitivity controls'!H14=1),'DealScope sensitivity controls'!H14=1,IF('DealScope sensitivity controls'!H14="","",'DealScope sensitivity controls'!H14=1))),'Model inputs'!B6/12*'DealScope sensitivity controls'!G14,IF('DealScope sensitivity controls'!B14="","",'DealScope sensitivity controls'!B14))</f>
        <v>4</v>
      </c>
      <c r="C18" s="10">
        <f>IF(EXACT("Annual deal-team","Annual deal-team"),('Model inputs'!B45/12+MAX('DealScope sensitivity compariso'!B18-'Model inputs'!B24/12,0)*'Model inputs'!B32)*(1-'DealScope sensitivity controls'!C14),('Model inputs'!B45/12+'Model inputs'!B9*'DealScope sensitivity compariso'!B18)*(1-'DealScope sensitivity controls'!C14))</f>
        <v>4000</v>
      </c>
      <c r="D18" s="10">
        <f>'Model inputs'!B15*'DealScope sensitivity controls'!E14*'DealScope sensitivity controls'!D14*'Model inputs'!B17+'Model inputs'!B30+'Model inputs'!B39+'Model inputs'!B19</f>
        <v>99.85</v>
      </c>
      <c r="E18" s="10">
        <f>IFERROR('DealScope sensitivity compariso'!C18/'DealScope sensitivity compariso'!B18,"")</f>
        <v>1000</v>
      </c>
      <c r="F18" s="12">
        <f>IFERROR(('DealScope sensitivity compariso'!E18-'DealScope sensitivity compariso'!D18)/'DealScope sensitivity compariso'!E18,"")</f>
        <v>0.90015</v>
      </c>
      <c r="G18" s="12">
        <f>IFERROR(('DealScope sensitivity compariso'!C18*(1-'Model inputs'!B38)-'DealScope sensitivity compariso'!B18*'DealScope sensitivity compariso'!D18-'Model inputs'!B42*'Model inputs'!B41)/'DealScope sensitivity compariso'!C18,"")</f>
        <v>0.86265</v>
      </c>
      <c r="H18" s="11">
        <f>'Model inputs'!B137+IF(IF(IF(IF(ISERROR('Model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controls'!F14)/'Model inputs'!B21,0),1),IF(IF(IF(ISERROR(11&gt;'DealScope sensitivity controls'!F14),11&gt;'DealScope sensitivity controls'!F14,IF('DealScope sensitivity controls'!F14="","",11&gt;'DealScope sensitivity controls'!F14))="",FALSE,IF(ISERROR(11&gt;'DealScope sensitivity controls'!F14),11&gt;'DealScope sensitivity controls'!F14,IF('DealScope sensitivity controls'!F14="","",11&gt;'DealScope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controls'!F14)/'Model inputs'!B21,0),1),IF(IF(IF(ISERROR(11&gt;'DealScope sensitivity controls'!F14),11&gt;'DealScope sensitivity controls'!F14,IF('DealScope sensitivity controls'!F14="","",11&gt;'DealScope sensitivity controls'!F14))="",FALSE,IF(ISERROR(11&gt;'DealScope sensitivity controls'!F14),11&gt;'DealScope sensitivity controls'!F14,IF('DealScope sensitivity controls'!F14="","",11&gt;'DealScope sensitivity controls'!F14))),IF('Model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controls'!F14)/'Model inputs'!B21,0),1),IF(IF(IF(ISERROR(12&gt;'DealScope sensitivity controls'!F14),12&gt;'DealScope sensitivity controls'!F14,IF('DealScope sensitivity controls'!F14="","",12&gt;'DealScope sensitivity controls'!F14))="",FALSE,IF(ISERROR(12&gt;'DealScope sensitivity controls'!F14),12&gt;'DealScope sensitivity controls'!F14,IF('DealScope sensitivity controls'!F14="","",12&gt;'DealScope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controls'!F14)/'Model inputs'!B21,0),1),IF(IF(IF(ISERROR(12&gt;'DealScope sensitivity controls'!F14),12&gt;'DealScope sensitivity controls'!F14,IF('DealScope sensitivity controls'!F14="","",12&gt;'DealScope sensitivity controls'!F14))="",FALSE,IF(ISERROR(12&gt;'DealScope sensitivity controls'!F14),12&gt;'DealScope sensitivity controls'!F14,IF('DealScope sensitivity controls'!F14="","",12&gt;'DealScope sensitivity controls'!F14))),IF('Model inputs'!B43="","",'Model inputs'!B43),0)))</f>
        <v>97.5</v>
      </c>
      <c r="I18" s="10">
        <f>'DealScope sensitivity compariso'!H18*'DealScope sensitivity compariso'!C18</f>
        <v>390000</v>
      </c>
      <c r="J18" s="10">
        <f>'DealScope sensitivity compariso'!I18*(1-'Model inputs'!B38)-'DealScope sensitivity compariso'!H18*('DealScope sensitivity compariso'!B18*'DealScope sensitivity compariso'!D18+'Model inputs'!B42*'Model inputs'!B41)-SUM('Model inputs'!B76,'Model inputs'!B77)</f>
        <v>323933.5</v>
      </c>
    </row>
    <row r="19" outlineLevel="1">
      <c r="A19" t="inlineStr" s="13">
        <is>
          <t xml:space="preserve">Discount 0%</t>
        </is>
      </c>
      <c r="B19" s="11">
        <f>IF(IF(IF(ISERROR('DealScope sensitivity controls'!H9=1),'DealScope sensitivity controls'!H9=1,IF('DealScope sensitivity controls'!H9="","",'DealScope sensitivity controls'!H9=1))="",FALSE,IF(ISERROR('DealScope sensitivity controls'!H9=1),'DealScope sensitivity controls'!H9=1,IF('DealScope sensitivity controls'!H9="","",'DealScope sensitivity controls'!H9=1))),'Model inputs'!B6/12*'DealScope sensitivity controls'!G9,IF('DealScope sensitivity controls'!B9="","",'DealScope sensitivity controls'!B9))</f>
        <v>4</v>
      </c>
      <c r="C19" s="10">
        <f>IF(EXACT("Annual deal-team","Annual deal-team"),('Model inputs'!B45/12+MAX('DealScope sensitivity compariso'!B19-'Model inputs'!B24/12,0)*'Model inputs'!B32)*(1-'DealScope sensitivity controls'!C9),('Model inputs'!B45/12+'Model inputs'!B9*'DealScope sensitivity compariso'!B19)*(1-'DealScope sensitivity controls'!C9))</f>
        <v>4000</v>
      </c>
      <c r="D19" s="10">
        <f>'Model inputs'!B15*'DealScope sensitivity controls'!E9*'DealScope sensitivity controls'!D9*'Model inputs'!B17+'Model inputs'!B30+'Model inputs'!B39+'Model inputs'!B19</f>
        <v>94.65</v>
      </c>
      <c r="E19" s="10">
        <f>IFERROR('DealScope sensitivity compariso'!C19/'DealScope sensitivity compariso'!B19,"")</f>
        <v>1000</v>
      </c>
      <c r="F19" s="12">
        <f>IFERROR(('DealScope sensitivity compariso'!E19-'DealScope sensitivity compariso'!D19)/'DealScope sensitivity compariso'!E19,"")</f>
        <v>0.90535</v>
      </c>
      <c r="G19" s="12">
        <f>IFERROR(('DealScope sensitivity compariso'!C19*(1-'Model inputs'!B38)-'DealScope sensitivity compariso'!B19*'DealScope sensitivity compariso'!D19-'Model inputs'!B42*'Model inputs'!B41)/'DealScope sensitivity compariso'!C19,"")</f>
        <v>0.86785</v>
      </c>
      <c r="H19" s="11">
        <f>'Model inputs'!B142+IF(IF(IF(IF(ISERROR('Model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controls'!F9)/'Model inputs'!B21,0),1),IF(IF(IF(ISERROR(11&gt;'DealScope sensitivity controls'!F9),11&gt;'DealScope sensitivity controls'!F9,IF('DealScope sensitivity controls'!F9="","",11&gt;'DealScope sensitivity controls'!F9))="",FALSE,IF(ISERROR(11&gt;'DealScope sensitivity controls'!F9),11&gt;'DealScope sensitivity controls'!F9,IF('DealScope sensitivity controls'!F9="","",11&gt;'DealScope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controls'!F9)/'Model inputs'!B21,0),1),IF(IF(IF(ISERROR(11&gt;'DealScope sensitivity controls'!F9),11&gt;'DealScope sensitivity controls'!F9,IF('DealScope sensitivity controls'!F9="","",11&gt;'DealScope sensitivity controls'!F9))="",FALSE,IF(ISERROR(11&gt;'DealScope sensitivity controls'!F9),11&gt;'DealScope sensitivity controls'!F9,IF('DealScope sensitivity controls'!F9="","",11&gt;'DealScope sensitivity controls'!F9))),IF('Model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controls'!F9)/'Model inputs'!B21,0),1),IF(IF(IF(ISERROR(12&gt;'DealScope sensitivity controls'!F9),12&gt;'DealScope sensitivity controls'!F9,IF('DealScope sensitivity controls'!F9="","",12&gt;'DealScope sensitivity controls'!F9))="",FALSE,IF(ISERROR(12&gt;'DealScope sensitivity controls'!F9),12&gt;'DealScope sensitivity controls'!F9,IF('DealScope sensitivity controls'!F9="","",12&gt;'DealScope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controls'!F9)/'Model inputs'!B21,0),1),IF(IF(IF(ISERROR(12&gt;'DealScope sensitivity controls'!F9),12&gt;'DealScope sensitivity controls'!F9,IF('DealScope sensitivity controls'!F9="","",12&gt;'DealScope sensitivity controls'!F9))="",FALSE,IF(ISERROR(12&gt;'DealScope sensitivity controls'!F9),12&gt;'DealScope sensitivity controls'!F9,IF('DealScope sensitivity controls'!F9="","",12&gt;'DealScope sensitivity controls'!F9))),IF('Model inputs'!B43="","",'Model inputs'!B43),0)))</f>
        <v>97.5</v>
      </c>
      <c r="I19" s="10">
        <f>'DealScope sensitivity compariso'!H19*'DealScope sensitivity compariso'!C19</f>
        <v>390000</v>
      </c>
      <c r="J19" s="10">
        <f>'DealScope sensitivity compariso'!I19*(1-'Model inputs'!B38)-'DealScope sensitivity compariso'!H19*('DealScope sensitivity compariso'!B19*'DealScope sensitivity compariso'!D19+'Model inputs'!B42*'Model inputs'!B41)-SUM('Model inputs'!B76,'Model inputs'!B77)</f>
        <v>325961.5</v>
      </c>
    </row>
    <row r="20" outlineLevel="1">
      <c r="A20" t="inlineStr" s="13">
        <is>
          <t xml:space="preserve">Discount 20%</t>
        </is>
      </c>
      <c r="B20" s="11">
        <f>IF(IF(IF(ISERROR('DealScope sensitivity controls'!H10=1),'DealScope sensitivity controls'!H10=1,IF('DealScope sensitivity controls'!H10="","",'DealScope sensitivity controls'!H10=1))="",FALSE,IF(ISERROR('DealScope sensitivity controls'!H10=1),'DealScope sensitivity controls'!H10=1,IF('DealScope sensitivity controls'!H10="","",'DealScope sensitivity controls'!H10=1))),'Model inputs'!B6/12*'DealScope sensitivity controls'!G10,IF('DealScope sensitivity controls'!B10="","",'DealScope sensitivity controls'!B10))</f>
        <v>4</v>
      </c>
      <c r="C20" s="10">
        <f>IF(EXACT("Annual deal-team","Annual deal-team"),('Model inputs'!B45/12+MAX('DealScope sensitivity compariso'!B20-'Model inputs'!B24/12,0)*'Model inputs'!B32)*(1-'DealScope sensitivity controls'!C10),('Model inputs'!B45/12+'Model inputs'!B9*'DealScope sensitivity compariso'!B20)*(1-'DealScope sensitivity controls'!C10))</f>
        <v>3200</v>
      </c>
      <c r="D20" s="10">
        <f>'Model inputs'!B15*'DealScope sensitivity controls'!E10*'DealScope sensitivity controls'!D10*'Model inputs'!B17+'Model inputs'!B30+'Model inputs'!B39+'Model inputs'!B19</f>
        <v>94.65</v>
      </c>
      <c r="E20" s="10">
        <f>IFERROR('DealScope sensitivity compariso'!C20/'DealScope sensitivity compariso'!B20,"")</f>
        <v>800</v>
      </c>
      <c r="F20" s="12">
        <f>IFERROR(('DealScope sensitivity compariso'!E20-'DealScope sensitivity compariso'!D20)/'DealScope sensitivity compariso'!E20,"")</f>
        <v>0.8816875000000001</v>
      </c>
      <c r="G20" s="12">
        <f>IFERROR(('DealScope sensitivity compariso'!C20*(1-'Model inputs'!B38)-'DealScope sensitivity compariso'!B20*'DealScope sensitivity compariso'!D20-'Model inputs'!B42*'Model inputs'!B41)/'DealScope sensitivity compariso'!C20,"")</f>
        <v>0.8423125</v>
      </c>
      <c r="H20" s="11">
        <f>'Model inputs'!B147+IF(IF(IF(IF(ISERROR('Model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controls'!F10)/'Model inputs'!B21,0),1),IF(IF(IF(ISERROR(11&gt;'DealScope sensitivity controls'!F10),11&gt;'DealScope sensitivity controls'!F10,IF('DealScope sensitivity controls'!F10="","",11&gt;'DealScope sensitivity controls'!F10))="",FALSE,IF(ISERROR(11&gt;'DealScope sensitivity controls'!F10),11&gt;'DealScope sensitivity controls'!F10,IF('DealScope sensitivity controls'!F10="","",11&gt;'DealScope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controls'!F10)/'Model inputs'!B21,0),1),IF(IF(IF(ISERROR(11&gt;'DealScope sensitivity controls'!F10),11&gt;'DealScope sensitivity controls'!F10,IF('DealScope sensitivity controls'!F10="","",11&gt;'DealScope sensitivity controls'!F10))="",FALSE,IF(ISERROR(11&gt;'DealScope sensitivity controls'!F10),11&gt;'DealScope sensitivity controls'!F10,IF('DealScope sensitivity controls'!F10="","",11&gt;'DealScope sensitivity controls'!F10))),IF('Model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controls'!F10)/'Model inputs'!B21,0),1),IF(IF(IF(ISERROR(12&gt;'DealScope sensitivity controls'!F10),12&gt;'DealScope sensitivity controls'!F10,IF('DealScope sensitivity controls'!F10="","",12&gt;'DealScope sensitivity controls'!F10))="",FALSE,IF(ISERROR(12&gt;'DealScope sensitivity controls'!F10),12&gt;'DealScope sensitivity controls'!F10,IF('DealScope sensitivity controls'!F10="","",12&gt;'DealScope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controls'!F10)/'Model inputs'!B21,0),1),IF(IF(IF(ISERROR(12&gt;'DealScope sensitivity controls'!F10),12&gt;'DealScope sensitivity controls'!F10,IF('DealScope sensitivity controls'!F10="","",12&gt;'DealScope sensitivity controls'!F10))="",FALSE,IF(ISERROR(12&gt;'DealScope sensitivity controls'!F10),12&gt;'DealScope sensitivity controls'!F10,IF('DealScope sensitivity controls'!F10="","",12&gt;'DealScope sensitivity controls'!F10))),IF('Model inputs'!B43="","",'Model inputs'!B43),0)))</f>
        <v>97.5</v>
      </c>
      <c r="I20" s="10">
        <f>'DealScope sensitivity compariso'!H20*'DealScope sensitivity compariso'!C20</f>
        <v>312000</v>
      </c>
      <c r="J20" s="10">
        <f>'DealScope sensitivity compariso'!I20*(1-'Model inputs'!B38)-'DealScope sensitivity compariso'!H20*('DealScope sensitivity compariso'!B20*'DealScope sensitivity compariso'!D20+'Model inputs'!B42*'Model inputs'!B41)-SUM('Model inputs'!B76,'Model inputs'!B77)</f>
        <v>250301.5</v>
      </c>
    </row>
    <row r="21" outlineLevel="1">
      <c r="A21" t="inlineStr" s="13">
        <is>
          <t xml:space="preserve">Discount 40%</t>
        </is>
      </c>
      <c r="B21" s="11">
        <f>IF(IF(IF(ISERROR('DealScope sensitivity controls'!H11=1),'DealScope sensitivity controls'!H11=1,IF('DealScope sensitivity controls'!H11="","",'DealScope sensitivity controls'!H11=1))="",FALSE,IF(ISERROR('DealScope sensitivity controls'!H11=1),'DealScope sensitivity controls'!H11=1,IF('DealScope sensitivity controls'!H11="","",'DealScope sensitivity controls'!H11=1))),'Model inputs'!B6/12*'DealScope sensitivity controls'!G11,IF('DealScope sensitivity controls'!B11="","",'DealScope sensitivity controls'!B11))</f>
        <v>4</v>
      </c>
      <c r="C21" s="10">
        <f>IF(EXACT("Annual deal-team","Annual deal-team"),('Model inputs'!B45/12+MAX('DealScope sensitivity compariso'!B21-'Model inputs'!B24/12,0)*'Model inputs'!B32)*(1-'DealScope sensitivity controls'!C11),('Model inputs'!B45/12+'Model inputs'!B9*'DealScope sensitivity compariso'!B21)*(1-'DealScope sensitivity controls'!C11))</f>
        <v>2400</v>
      </c>
      <c r="D21" s="10">
        <f>'Model inputs'!B15*'DealScope sensitivity controls'!E11*'DealScope sensitivity controls'!D11*'Model inputs'!B17+'Model inputs'!B30+'Model inputs'!B39+'Model inputs'!B19</f>
        <v>94.65</v>
      </c>
      <c r="E21" s="10">
        <f>IFERROR('DealScope sensitivity compariso'!C21/'DealScope sensitivity compariso'!B21,"")</f>
        <v>600</v>
      </c>
      <c r="F21" s="12">
        <f>IFERROR(('DealScope sensitivity compariso'!E21-'DealScope sensitivity compariso'!D21)/'DealScope sensitivity compariso'!E21,"")</f>
        <v>0.84225</v>
      </c>
      <c r="G21" s="12">
        <f>IFERROR(('DealScope sensitivity compariso'!C21*(1-'Model inputs'!B38)-'DealScope sensitivity compariso'!B21*'DealScope sensitivity compariso'!D21-'Model inputs'!B42*'Model inputs'!B41)/'DealScope sensitivity compariso'!C21,"")</f>
        <v>0.7997500000000001</v>
      </c>
      <c r="H21" s="11">
        <f>'Model inputs'!B152+IF(IF(IF(IF(ISERROR('Model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controls'!F11)/'Model inputs'!B21,0),1),IF(IF(IF(ISERROR(11&gt;'DealScope sensitivity controls'!F11),11&gt;'DealScope sensitivity controls'!F11,IF('DealScope sensitivity controls'!F11="","",11&gt;'DealScope sensitivity controls'!F11))="",FALSE,IF(ISERROR(11&gt;'DealScope sensitivity controls'!F11),11&gt;'DealScope sensitivity controls'!F11,IF('DealScope sensitivity controls'!F11="","",11&gt;'DealScope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controls'!F11)/'Model inputs'!B21,0),1),IF(IF(IF(ISERROR(11&gt;'DealScope sensitivity controls'!F11),11&gt;'DealScope sensitivity controls'!F11,IF('DealScope sensitivity controls'!F11="","",11&gt;'DealScope sensitivity controls'!F11))="",FALSE,IF(ISERROR(11&gt;'DealScope sensitivity controls'!F11),11&gt;'DealScope sensitivity controls'!F11,IF('DealScope sensitivity controls'!F11="","",11&gt;'DealScope sensitivity controls'!F11))),IF('Model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controls'!F11)/'Model inputs'!B21,0),1),IF(IF(IF(ISERROR(12&gt;'DealScope sensitivity controls'!F11),12&gt;'DealScope sensitivity controls'!F11,IF('DealScope sensitivity controls'!F11="","",12&gt;'DealScope sensitivity controls'!F11))="",FALSE,IF(ISERROR(12&gt;'DealScope sensitivity controls'!F11),12&gt;'DealScope sensitivity controls'!F11,IF('DealScope sensitivity controls'!F11="","",12&gt;'DealScope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controls'!F11)/'Model inputs'!B21,0),1),IF(IF(IF(ISERROR(12&gt;'DealScope sensitivity controls'!F11),12&gt;'DealScope sensitivity controls'!F11,IF('DealScope sensitivity controls'!F11="","",12&gt;'DealScope sensitivity controls'!F11))="",FALSE,IF(ISERROR(12&gt;'DealScope sensitivity controls'!F11),12&gt;'DealScope sensitivity controls'!F11,IF('DealScope sensitivity controls'!F11="","",12&gt;'DealScope sensitivity controls'!F11))),IF('Model inputs'!B43="","",'Model inputs'!B43),0)))</f>
        <v>97.5</v>
      </c>
      <c r="I21" s="10">
        <f>'DealScope sensitivity compariso'!H21*'DealScope sensitivity compariso'!C21</f>
        <v>234000</v>
      </c>
      <c r="J21" s="10">
        <f>'DealScope sensitivity compariso'!I21*(1-'Model inputs'!B38)-'DealScope sensitivity compariso'!H21*('DealScope sensitivity compariso'!B21*'DealScope sensitivity compariso'!D21+'Model inputs'!B42*'Model inputs'!B41)-SUM('Model inputs'!B76,'Model inputs'!B77)</f>
        <v>174641.5</v>
      </c>
    </row>
    <row r="22" outlineLevel="1">
      <c r="A22" t="inlineStr" s="13">
        <is>
          <t xml:space="preserve">Sales delay 0 months</t>
        </is>
      </c>
      <c r="B22" s="11">
        <f>IF(IF(IF(ISERROR('DealScope sensitivity controls'!H18=1),'DealScope sensitivity controls'!H18=1,IF('DealScope sensitivity controls'!H18="","",'DealScope sensitivity controls'!H18=1))="",FALSE,IF(ISERROR('DealScope sensitivity controls'!H18=1),'DealScope sensitivity controls'!H18=1,IF('DealScope sensitivity controls'!H18="","",'DealScope sensitivity controls'!H18=1))),'Model inputs'!B6/12*'DealScope sensitivity controls'!G18,IF('DealScope sensitivity controls'!B18="","",'DealScope sensitivity controls'!B18))</f>
        <v>4</v>
      </c>
      <c r="C22" s="10">
        <f>IF(EXACT("Annual deal-team","Annual deal-team"),('Model inputs'!B45/12+MAX('DealScope sensitivity compariso'!B22-'Model inputs'!B24/12,0)*'Model inputs'!B32)*(1-'DealScope sensitivity controls'!C18),('Model inputs'!B45/12+'Model inputs'!B9*'DealScope sensitivity compariso'!B22)*(1-'DealScope sensitivity controls'!C18))</f>
        <v>4000</v>
      </c>
      <c r="D22" s="10">
        <f>'Model inputs'!B15*'DealScope sensitivity controls'!E18*'DealScope sensitivity controls'!D18*'Model inputs'!B17+'Model inputs'!B30+'Model inputs'!B39+'Model inputs'!B19</f>
        <v>94.65</v>
      </c>
      <c r="E22" s="10">
        <f>IFERROR('DealScope sensitivity compariso'!C22/'DealScope sensitivity compariso'!B22,"")</f>
        <v>1000</v>
      </c>
      <c r="F22" s="12">
        <f>IFERROR(('DealScope sensitivity compariso'!E22-'DealScope sensitivity compariso'!D22)/'DealScope sensitivity compariso'!E22,"")</f>
        <v>0.90535</v>
      </c>
      <c r="G22" s="12">
        <f>IFERROR(('DealScope sensitivity compariso'!C22*(1-'Model inputs'!B38)-'DealScope sensitivity compariso'!B22*'DealScope sensitivity compariso'!D22-'Model inputs'!B42*'Model inputs'!B41)/'DealScope sensitivity compariso'!C22,"")</f>
        <v>0.86785</v>
      </c>
      <c r="H22" s="11">
        <f>'Model inputs'!B157+IF(IF(IF(IF(ISERROR('Model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controls'!F18)/'Model inputs'!B21,0),1),IF(IF(IF(ISERROR(11&gt;'DealScope sensitivity controls'!F18),11&gt;'DealScope sensitivity controls'!F18,IF('DealScope sensitivity controls'!F18="","",11&gt;'DealScope sensitivity controls'!F18))="",FALSE,IF(ISERROR(11&gt;'DealScope sensitivity controls'!F18),11&gt;'DealScope sensitivity controls'!F18,IF('DealScope sensitivity controls'!F18="","",11&gt;'DealScope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controls'!F18)/'Model inputs'!B21,0),1),IF(IF(IF(ISERROR(11&gt;'DealScope sensitivity controls'!F18),11&gt;'DealScope sensitivity controls'!F18,IF('DealScope sensitivity controls'!F18="","",11&gt;'DealScope sensitivity controls'!F18))="",FALSE,IF(ISERROR(11&gt;'DealScope sensitivity controls'!F18),11&gt;'DealScope sensitivity controls'!F18,IF('DealScope sensitivity controls'!F18="","",11&gt;'DealScope sensitivity controls'!F18))),IF('Model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controls'!F18)/'Model inputs'!B21,0),1),IF(IF(IF(ISERROR(12&gt;'DealScope sensitivity controls'!F18),12&gt;'DealScope sensitivity controls'!F18,IF('DealScope sensitivity controls'!F18="","",12&gt;'DealScope sensitivity controls'!F18))="",FALSE,IF(ISERROR(12&gt;'DealScope sensitivity controls'!F18),12&gt;'DealScope sensitivity controls'!F18,IF('DealScope sensitivity controls'!F18="","",12&gt;'DealScope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controls'!F18)/'Model inputs'!B21,0),1),IF(IF(IF(ISERROR(12&gt;'DealScope sensitivity controls'!F18),12&gt;'DealScope sensitivity controls'!F18,IF('DealScope sensitivity controls'!F18="","",12&gt;'DealScope sensitivity controls'!F18))="",FALSE,IF(ISERROR(12&gt;'DealScope sensitivity controls'!F18),12&gt;'DealScope sensitivity controls'!F18,IF('DealScope sensitivity controls'!F18="","",12&gt;'DealScope sensitivity controls'!F18))),IF('Model inputs'!B43="","",'Model inputs'!B43),0)))</f>
        <v>97.5</v>
      </c>
      <c r="I22" s="10">
        <f>'DealScope sensitivity compariso'!H22*'DealScope sensitivity compariso'!C22</f>
        <v>390000</v>
      </c>
      <c r="J22" s="10">
        <f>'DealScope sensitivity compariso'!I22*(1-'Model inputs'!B38)-'DealScope sensitivity compariso'!H22*('DealScope sensitivity compariso'!B22*'DealScope sensitivity compariso'!D22+'Model inputs'!B42*'Model inputs'!B41)-SUM('Model inputs'!B76,'Model inputs'!B77)</f>
        <v>325961.5</v>
      </c>
    </row>
    <row r="23" outlineLevel="1">
      <c r="A23" t="inlineStr" s="13">
        <is>
          <t xml:space="preserve">Sales delay 2 months</t>
        </is>
      </c>
      <c r="B23" s="11">
        <f>IF(IF(IF(ISERROR('DealScope sensitivity controls'!H19=1),'DealScope sensitivity controls'!H19=1,IF('DealScope sensitivity controls'!H19="","",'DealScope sensitivity controls'!H19=1))="",FALSE,IF(ISERROR('DealScope sensitivity controls'!H19=1),'DealScope sensitivity controls'!H19=1,IF('DealScope sensitivity controls'!H19="","",'DealScope sensitivity controls'!H19=1))),'Model inputs'!B6/12*'DealScope sensitivity controls'!G19,IF('DealScope sensitivity controls'!B19="","",'DealScope sensitivity controls'!B19))</f>
        <v>4</v>
      </c>
      <c r="C23" s="10">
        <f>IF(EXACT("Annual deal-team","Annual deal-team"),('Model inputs'!B45/12+MAX('DealScope sensitivity compariso'!B23-'Model inputs'!B24/12,0)*'Model inputs'!B32)*(1-'DealScope sensitivity controls'!C19),('Model inputs'!B45/12+'Model inputs'!B9*'DealScope sensitivity compariso'!B23)*(1-'DealScope sensitivity controls'!C19))</f>
        <v>4000</v>
      </c>
      <c r="D23" s="10">
        <f>'Model inputs'!B15*'DealScope sensitivity controls'!E19*'DealScope sensitivity controls'!D19*'Model inputs'!B17+'Model inputs'!B30+'Model inputs'!B39+'Model inputs'!B19</f>
        <v>94.65</v>
      </c>
      <c r="E23" s="10">
        <f>IFERROR('DealScope sensitivity compariso'!C23/'DealScope sensitivity compariso'!B23,"")</f>
        <v>1000</v>
      </c>
      <c r="F23" s="12">
        <f>IFERROR(('DealScope sensitivity compariso'!E23-'DealScope sensitivity compariso'!D23)/'DealScope sensitivity compariso'!E23,"")</f>
        <v>0.90535</v>
      </c>
      <c r="G23" s="12">
        <f>IFERROR(('DealScope sensitivity compariso'!C23*(1-'Model inputs'!B38)-'DealScope sensitivity compariso'!B23*'DealScope sensitivity compariso'!D23-'Model inputs'!B42*'Model inputs'!B41)/'DealScope sensitivity compariso'!C23,"")</f>
        <v>0.86785</v>
      </c>
      <c r="H23" s="11">
        <f>'Model inputs'!B162+IF(IF(IF(IF(ISERROR('Model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controls'!F19)/'Model inputs'!B21,0),1),IF(IF(IF(ISERROR(11&gt;'DealScope sensitivity controls'!F19),11&gt;'DealScope sensitivity controls'!F19,IF('DealScope sensitivity controls'!F19="","",11&gt;'DealScope sensitivity controls'!F19))="",FALSE,IF(ISERROR(11&gt;'DealScope sensitivity controls'!F19),11&gt;'DealScope sensitivity controls'!F19,IF('DealScope sensitivity controls'!F19="","",11&gt;'DealScope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controls'!F19)/'Model inputs'!B21,0),1),IF(IF(IF(ISERROR(11&gt;'DealScope sensitivity controls'!F19),11&gt;'DealScope sensitivity controls'!F19,IF('DealScope sensitivity controls'!F19="","",11&gt;'DealScope sensitivity controls'!F19))="",FALSE,IF(ISERROR(11&gt;'DealScope sensitivity controls'!F19),11&gt;'DealScope sensitivity controls'!F19,IF('DealScope sensitivity controls'!F19="","",11&gt;'DealScope sensitivity controls'!F19))),IF('Model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controls'!F19)/'Model inputs'!B21,0),1),IF(IF(IF(ISERROR(12&gt;'DealScope sensitivity controls'!F19),12&gt;'DealScope sensitivity controls'!F19,IF('DealScope sensitivity controls'!F19="","",12&gt;'DealScope sensitivity controls'!F19))="",FALSE,IF(ISERROR(12&gt;'DealScope sensitivity controls'!F19),12&gt;'DealScope sensitivity controls'!F19,IF('DealScope sensitivity controls'!F19="","",12&gt;'DealScope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controls'!F19)/'Model inputs'!B21,0),1),IF(IF(IF(ISERROR(12&gt;'DealScope sensitivity controls'!F19),12&gt;'DealScope sensitivity controls'!F19,IF('DealScope sensitivity controls'!F19="","",12&gt;'DealScope sensitivity controls'!F19))="",FALSE,IF(ISERROR(12&gt;'DealScope sensitivity controls'!F19),12&gt;'DealScope sensitivity controls'!F19,IF('DealScope sensitivity controls'!F19="","",12&gt;'DealScope sensitivity controls'!F19))),IF('Model inputs'!B43="","",'Model inputs'!B43),0)))</f>
        <v>68.75</v>
      </c>
      <c r="I23" s="10">
        <f>'DealScope sensitivity compariso'!H23*'DealScope sensitivity compariso'!C23</f>
        <v>275000</v>
      </c>
      <c r="J23" s="10">
        <f>'DealScope sensitivity compariso'!I23*(1-'Model inputs'!B38)-'DealScope sensitivity compariso'!H23*('DealScope sensitivity compariso'!B23*'DealScope sensitivity compariso'!D23+'Model inputs'!B42*'Model inputs'!B41)-SUM('Model inputs'!B76,'Model inputs'!B77)</f>
        <v>226158.75</v>
      </c>
    </row>
    <row r="24" outlineLevel="1">
      <c r="A24" t="inlineStr" s="13">
        <is>
          <t xml:space="preserve">Sales delay 4 months</t>
        </is>
      </c>
      <c r="B24" s="11">
        <f>IF(IF(IF(ISERROR('DealScope sensitivity controls'!H20=1),'DealScope sensitivity controls'!H20=1,IF('DealScope sensitivity controls'!H20="","",'DealScope sensitivity controls'!H20=1))="",FALSE,IF(ISERROR('DealScope sensitivity controls'!H20=1),'DealScope sensitivity controls'!H20=1,IF('DealScope sensitivity controls'!H20="","",'DealScope sensitivity controls'!H20=1))),'Model inputs'!B6/12*'DealScope sensitivity controls'!G20,IF('DealScope sensitivity controls'!B20="","",'DealScope sensitivity controls'!B20))</f>
        <v>4</v>
      </c>
      <c r="C24" s="10">
        <f>IF(EXACT("Annual deal-team","Annual deal-team"),('Model inputs'!B45/12+MAX('DealScope sensitivity compariso'!B24-'Model inputs'!B24/12,0)*'Model inputs'!B32)*(1-'DealScope sensitivity controls'!C20),('Model inputs'!B45/12+'Model inputs'!B9*'DealScope sensitivity compariso'!B24)*(1-'DealScope sensitivity controls'!C20))</f>
        <v>4000</v>
      </c>
      <c r="D24" s="10">
        <f>'Model inputs'!B15*'DealScope sensitivity controls'!E20*'DealScope sensitivity controls'!D20*'Model inputs'!B17+'Model inputs'!B30+'Model inputs'!B39+'Model inputs'!B19</f>
        <v>94.65</v>
      </c>
      <c r="E24" s="10">
        <f>IFERROR('DealScope sensitivity compariso'!C24/'DealScope sensitivity compariso'!B24,"")</f>
        <v>1000</v>
      </c>
      <c r="F24" s="12">
        <f>IFERROR(('DealScope sensitivity compariso'!E24-'DealScope sensitivity compariso'!D24)/'DealScope sensitivity compariso'!E24,"")</f>
        <v>0.90535</v>
      </c>
      <c r="G24" s="12">
        <f>IFERROR(('DealScope sensitivity compariso'!C24*(1-'Model inputs'!B38)-'DealScope sensitivity compariso'!B24*'DealScope sensitivity compariso'!D24-'Model inputs'!B42*'Model inputs'!B41)/'DealScope sensitivity compariso'!C24,"")</f>
        <v>0.86785</v>
      </c>
      <c r="H24" s="11">
        <f>'Model inputs'!B167+IF(IF(IF(IF(ISERROR('Model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controls'!F20)/'Model inputs'!B21,0),1),IF(IF(IF(ISERROR(11&gt;'DealScope sensitivity controls'!F20),11&gt;'DealScope sensitivity controls'!F20,IF('DealScope sensitivity controls'!F20="","",11&gt;'DealScope sensitivity controls'!F20))="",FALSE,IF(ISERROR(11&gt;'DealScope sensitivity controls'!F20),11&gt;'DealScope sensitivity controls'!F20,IF('DealScope sensitivity controls'!F20="","",11&gt;'DealScope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controls'!F20)/'Model inputs'!B21,0),1),IF(IF(IF(ISERROR(11&gt;'DealScope sensitivity controls'!F20),11&gt;'DealScope sensitivity controls'!F20,IF('DealScope sensitivity controls'!F20="","",11&gt;'DealScope sensitivity controls'!F20))="",FALSE,IF(ISERROR(11&gt;'DealScope sensitivity controls'!F20),11&gt;'DealScope sensitivity controls'!F20,IF('DealScope sensitivity controls'!F20="","",11&gt;'DealScope sensitivity controls'!F20))),IF('Model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controls'!F20)/'Model inputs'!B21,0),1),IF(IF(IF(ISERROR(12&gt;'DealScope sensitivity controls'!F20),12&gt;'DealScope sensitivity controls'!F20,IF('DealScope sensitivity controls'!F20="","",12&gt;'DealScope sensitivity controls'!F20))="",FALSE,IF(ISERROR(12&gt;'DealScope sensitivity controls'!F20),12&gt;'DealScope sensitivity controls'!F20,IF('DealScope sensitivity controls'!F20="","",12&gt;'DealScope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controls'!F20)/'Model inputs'!B21,0),1),IF(IF(IF(ISERROR(12&gt;'DealScope sensitivity controls'!F20),12&gt;'DealScope sensitivity controls'!F20,IF('DealScope sensitivity controls'!F20="","",12&gt;'DealScope sensitivity controls'!F20))="",FALSE,IF(ISERROR(12&gt;'DealScope sensitivity controls'!F20),12&gt;'DealScope sensitivity controls'!F20,IF('DealScope sensitivity controls'!F20="","",12&gt;'DealScope sensitivity controls'!F20))),IF('Model inputs'!B43="","",'Model inputs'!B43),0)))</f>
        <v>45</v>
      </c>
      <c r="I24" s="10">
        <f>'DealScope sensitivity compariso'!H24*'DealScope sensitivity compariso'!C24</f>
        <v>180000</v>
      </c>
      <c r="J24" s="10">
        <f>'DealScope sensitivity compariso'!I24*(1-'Model inputs'!B38)-'DealScope sensitivity compariso'!H24*('DealScope sensitivity compariso'!B24*'DealScope sensitivity compariso'!D24+'Model inputs'!B42*'Model inputs'!B41)-SUM('Model inputs'!B76,'Model inputs'!B77)</f>
        <v>143713</v>
      </c>
    </row>
    <row r="25">
      <c r="A25" t="inlineStr" s="5">
        <is>
          <t xml:space="preserve">Hybrid</t>
        </is>
      </c>
      <c r="B25" t="str" s="7">
        <f>""</f>
        <v/>
      </c>
      <c r="C25" t="str" s="6">
        <f>""</f>
        <v/>
      </c>
      <c r="D25" t="str" s="6">
        <f>""</f>
        <v/>
      </c>
      <c r="E25" t="str" s="6">
        <f>""</f>
        <v/>
      </c>
      <c r="F25" t="str" s="8">
        <f>""</f>
        <v/>
      </c>
      <c r="G25" t="str" s="8">
        <f>""</f>
        <v/>
      </c>
      <c r="H25" t="str" s="7">
        <f>""</f>
        <v/>
      </c>
      <c r="I25" t="str" s="6">
        <f>""</f>
        <v/>
      </c>
      <c r="J25" t="str" s="6">
        <f>""</f>
        <v/>
      </c>
    </row>
    <row r="26" outlineLevel="1">
      <c r="A26" t="inlineStr" s="13">
        <is>
          <t xml:space="preserve">Annual allowance utilization 100%</t>
        </is>
      </c>
      <c r="B26" s="11">
        <f>IF(IF(IF(ISERROR('DealScope sensitivity controls'!H23=1),'DealScope sensitivity controls'!H23=1,IF('DealScope sensitivity controls'!H23="","",'DealScope sensitivity controls'!H23=1))="",FALSE,IF(ISERROR('DealScope sensitivity controls'!H23=1),'DealScope sensitivity controls'!H23=1,IF('DealScope sensitivity controls'!H23="","",'DealScope sensitivity controls'!H23=1))),'Model inputs'!B6/12*'DealScope sensitivity controls'!G23,IF('DealScope sensitivity controls'!B23="","",'DealScope sensitivity controls'!B23))</f>
        <v>2</v>
      </c>
      <c r="C26" s="10">
        <f>IF(EXACT("Hybrid","Annual deal-team"),('Model inputs'!B46/12+MAX('DealScope sensitivity compariso'!B26-'Model inputs'!B25/12,0)*'Model inputs'!B33)*(1-'DealScope sensitivity controls'!C23),('Model inputs'!B46/12+'Model inputs'!B10*'DealScope sensitivity compariso'!B26)*(1-'DealScope sensitivity controls'!C23))</f>
        <v>2500</v>
      </c>
      <c r="D26" s="10">
        <f>'Model inputs'!B15*'DealScope sensitivity controls'!E23*'DealScope sensitivity controls'!D23*'Model inputs'!B17+'Model inputs'!B30+'Model inputs'!B39+'Model inputs'!B19</f>
        <v>94.65</v>
      </c>
      <c r="E26" s="10">
        <f>IFERROR('DealScope sensitivity compariso'!C26/'DealScope sensitivity compariso'!B26,"")</f>
        <v>1250</v>
      </c>
      <c r="F26" s="12">
        <f>IFERROR(('DealScope sensitivity compariso'!E26-'DealScope sensitivity compariso'!D26)/'DealScope sensitivity compariso'!E26,"")</f>
        <v>0.9242799999999999</v>
      </c>
      <c r="G26" s="12">
        <f>IFERROR(('DealScope sensitivity compariso'!C26*(1-'Model inputs'!B38)-'DealScope sensitivity compariso'!B26*'DealScope sensitivity compariso'!D26-'Model inputs'!B42*'Model inputs'!B41)/'DealScope sensitivity compariso'!C26,"")</f>
        <v>0.88228</v>
      </c>
      <c r="H26" s="11">
        <f>'Model inputs'!B75+IF(IF(IF(IF(ISERROR('Model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controls'!F23)/'Model inputs'!B21,0),1),IF(IF(IF(ISERROR(11&gt;'DealScope sensitivity controls'!F23),11&gt;'DealScope sensitivity controls'!F23,IF('DealScope sensitivity controls'!F23="","",11&gt;'DealScope sensitivity controls'!F23))="",FALSE,IF(ISERROR(11&gt;'DealScope sensitivity controls'!F23),11&gt;'DealScope sensitivity controls'!F23,IF('DealScope sensitivity controls'!F23="","",11&gt;'DealScope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controls'!F23)/'Model inputs'!B21,0),1),IF(IF(IF(ISERROR(11&gt;'DealScope sensitivity controls'!F23),11&gt;'DealScope sensitivity controls'!F23,IF('DealScope sensitivity controls'!F23="","",11&gt;'DealScope sensitivity controls'!F23))="",FALSE,IF(ISERROR(11&gt;'DealScope sensitivity controls'!F23),11&gt;'DealScope sensitivity controls'!F23,IF('DealScope sensitivity controls'!F23="","",11&gt;'DealScope sensitivity controls'!F23))),IF('Model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controls'!F23)/'Model inputs'!B21,0),1),IF(IF(IF(ISERROR(12&gt;'DealScope sensitivity controls'!F23),12&gt;'DealScope sensitivity controls'!F23,IF('DealScope sensitivity controls'!F23="","",12&gt;'DealScope sensitivity controls'!F23))="",FALSE,IF(ISERROR(12&gt;'DealScope sensitivity controls'!F23),12&gt;'DealScope sensitivity controls'!F23,IF('DealScope sensitivity controls'!F23="","",12&gt;'DealScope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controls'!F23)/'Model inputs'!B21,0),1),IF(IF(IF(ISERROR(12&gt;'DealScope sensitivity controls'!F23),12&gt;'DealScope sensitivity controls'!F23,IF('DealScope sensitivity controls'!F23="","",12&gt;'DealScope sensitivity controls'!F23))="",FALSE,IF(ISERROR(12&gt;'DealScope sensitivity controls'!F23),12&gt;'DealScope sensitivity controls'!F23,IF('DealScope sensitivity controls'!F23="","",12&gt;'DealScope sensitivity controls'!F23))),IF('Model inputs'!B43="","",'Model inputs'!B43),0)))</f>
        <v>97.5</v>
      </c>
      <c r="I26" s="10">
        <f>'DealScope sensitivity compariso'!H26*'DealScope sensitivity compariso'!C26</f>
        <v>243750</v>
      </c>
      <c r="J26" s="10">
        <f>'DealScope sensitivity compariso'!I26*(1-'Model inputs'!B38)-'DealScope sensitivity compariso'!H26*('DealScope sensitivity compariso'!B26*'DealScope sensitivity compariso'!D26+'Model inputs'!B42*'Model inputs'!B41)-SUM('Model inputs'!B76,'Model inputs'!B77)</f>
        <v>202555.75</v>
      </c>
    </row>
    <row r="27" outlineLevel="1">
      <c r="A27" t="inlineStr" s="13">
        <is>
          <t xml:space="preserve">Annual allowance utilization 50%</t>
        </is>
      </c>
      <c r="B27" s="11">
        <f>IF(IF(IF(ISERROR('DealScope sensitivity controls'!H21=1),'DealScope sensitivity controls'!H21=1,IF('DealScope sensitivity controls'!H21="","",'DealScope sensitivity controls'!H21=1))="",FALSE,IF(ISERROR('DealScope sensitivity controls'!H21=1),'DealScope sensitivity controls'!H21=1,IF('DealScope sensitivity controls'!H21="","",'DealScope sensitivity controls'!H21=1))),'Model inputs'!B6/12*'DealScope sensitivity controls'!G21,IF('DealScope sensitivity controls'!B21="","",'DealScope sensitivity controls'!B21))</f>
        <v>1</v>
      </c>
      <c r="C27" s="10">
        <f>IF(EXACT("Hybrid","Annual deal-team"),('Model inputs'!B46/12+MAX('DealScope sensitivity compariso'!B27-'Model inputs'!B25/12,0)*'Model inputs'!B33)*(1-'DealScope sensitivity controls'!C21),('Model inputs'!B46/12+'Model inputs'!B10*'DealScope sensitivity compariso'!B27)*(1-'DealScope sensitivity controls'!C21))</f>
        <v>1500</v>
      </c>
      <c r="D27" s="10">
        <f>'Model inputs'!B15*'DealScope sensitivity controls'!E21*'DealScope sensitivity controls'!D21*'Model inputs'!B17+'Model inputs'!B30+'Model inputs'!B39+'Model inputs'!B19</f>
        <v>94.65</v>
      </c>
      <c r="E27" s="10">
        <f>IFERROR('DealScope sensitivity compariso'!C27/'DealScope sensitivity compariso'!B27,"")</f>
        <v>1500</v>
      </c>
      <c r="F27" s="12">
        <f>IFERROR(('DealScope sensitivity compariso'!E27-'DealScope sensitivity compariso'!D27)/'DealScope sensitivity compariso'!E27,"")</f>
        <v>0.9369</v>
      </c>
      <c r="G27" s="12">
        <f>IFERROR(('DealScope sensitivity compariso'!C27*(1-'Model inputs'!B38)-'DealScope sensitivity compariso'!B27*'DealScope sensitivity compariso'!D27-'Model inputs'!B42*'Model inputs'!B41)/'DealScope sensitivity compariso'!C27,"")</f>
        <v>0.8868999999999999</v>
      </c>
      <c r="H27" s="11">
        <f>'Model inputs'!B82+IF(IF(IF(IF(ISERROR('Model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controls'!F21)/'Model inputs'!B21,0),1),IF(IF(IF(ISERROR(11&gt;'DealScope sensitivity controls'!F21),11&gt;'DealScope sensitivity controls'!F21,IF('DealScope sensitivity controls'!F21="","",11&gt;'DealScope sensitivity controls'!F21))="",FALSE,IF(ISERROR(11&gt;'DealScope sensitivity controls'!F21),11&gt;'DealScope sensitivity controls'!F21,IF('DealScope sensitivity controls'!F21="","",11&gt;'DealScope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controls'!F21)/'Model inputs'!B21,0),1),IF(IF(IF(ISERROR(11&gt;'DealScope sensitivity controls'!F21),11&gt;'DealScope sensitivity controls'!F21,IF('DealScope sensitivity controls'!F21="","",11&gt;'DealScope sensitivity controls'!F21))="",FALSE,IF(ISERROR(11&gt;'DealScope sensitivity controls'!F21),11&gt;'DealScope sensitivity controls'!F21,IF('DealScope sensitivity controls'!F21="","",11&gt;'DealScope sensitivity controls'!F21))),IF('Model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controls'!F21)/'Model inputs'!B21,0),1),IF(IF(IF(ISERROR(12&gt;'DealScope sensitivity controls'!F21),12&gt;'DealScope sensitivity controls'!F21,IF('DealScope sensitivity controls'!F21="","",12&gt;'DealScope sensitivity controls'!F21))="",FALSE,IF(ISERROR(12&gt;'DealScope sensitivity controls'!F21),12&gt;'DealScope sensitivity controls'!F21,IF('DealScope sensitivity controls'!F21="","",12&gt;'DealScope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controls'!F21)/'Model inputs'!B21,0),1),IF(IF(IF(ISERROR(12&gt;'DealScope sensitivity controls'!F21),12&gt;'DealScope sensitivity controls'!F21,IF('DealScope sensitivity controls'!F21="","",12&gt;'DealScope sensitivity controls'!F21))="",FALSE,IF(ISERROR(12&gt;'DealScope sensitivity controls'!F21),12&gt;'DealScope sensitivity controls'!F21,IF('DealScope sensitivity controls'!F21="","",12&gt;'DealScope sensitivity controls'!F21))),IF('Model inputs'!B43="","",'Model inputs'!B43),0)))</f>
        <v>97.5</v>
      </c>
      <c r="I27" s="10">
        <f>'DealScope sensitivity compariso'!H27*'DealScope sensitivity compariso'!C27</f>
        <v>146250</v>
      </c>
      <c r="J27" s="10">
        <f>'DealScope sensitivity compariso'!I27*(1-'Model inputs'!B38)-'DealScope sensitivity compariso'!H27*('DealScope sensitivity compariso'!B27*'DealScope sensitivity compariso'!D27+'Model inputs'!B42*'Model inputs'!B41)-SUM('Model inputs'!B76,'Model inputs'!B77)</f>
        <v>117209.125</v>
      </c>
    </row>
    <row r="28" outlineLevel="1">
      <c r="A28" t="inlineStr" s="13">
        <is>
          <t xml:space="preserve">Annual allowance utilization 75%</t>
        </is>
      </c>
      <c r="B28" s="11">
        <f>IF(IF(IF(ISERROR('DealScope sensitivity controls'!H22=1),'DealScope sensitivity controls'!H22=1,IF('DealScope sensitivity controls'!H22="","",'DealScope sensitivity controls'!H22=1))="",FALSE,IF(ISERROR('DealScope sensitivity controls'!H22=1),'DealScope sensitivity controls'!H22=1,IF('DealScope sensitivity controls'!H22="","",'DealScope sensitivity controls'!H22=1))),'Model inputs'!B6/12*'DealScope sensitivity controls'!G22,IF('DealScope sensitivity controls'!B22="","",'DealScope sensitivity controls'!B22))</f>
        <v>1.5</v>
      </c>
      <c r="C28" s="10">
        <f>IF(EXACT("Hybrid","Annual deal-team"),('Model inputs'!B46/12+MAX('DealScope sensitivity compariso'!B28-'Model inputs'!B25/12,0)*'Model inputs'!B33)*(1-'DealScope sensitivity controls'!C22),('Model inputs'!B46/12+'Model inputs'!B10*'DealScope sensitivity compariso'!B28)*(1-'DealScope sensitivity controls'!C22))</f>
        <v>2000</v>
      </c>
      <c r="D28" s="10">
        <f>'Model inputs'!B15*'DealScope sensitivity controls'!E22*'DealScope sensitivity controls'!D22*'Model inputs'!B17+'Model inputs'!B30+'Model inputs'!B39+'Model inputs'!B19</f>
        <v>94.65</v>
      </c>
      <c r="E28" s="10">
        <f>IFERROR('DealScope sensitivity compariso'!C28/'DealScope sensitivity compariso'!B28,"")</f>
        <v>1333.3333333333333</v>
      </c>
      <c r="F28" s="12">
        <f>IFERROR(('DealScope sensitivity compariso'!E28-'DealScope sensitivity compariso'!D28)/'DealScope sensitivity compariso'!E28,"")</f>
        <v>0.9290124999999999</v>
      </c>
      <c r="G28" s="12">
        <f>IFERROR(('DealScope sensitivity compariso'!C28*(1-'Model inputs'!B38)-'DealScope sensitivity compariso'!B28*'DealScope sensitivity compariso'!D28-'Model inputs'!B42*'Model inputs'!B41)/'DealScope sensitivity compariso'!C28,"")</f>
        <v>0.8840125000000001</v>
      </c>
      <c r="H28" s="11">
        <f>'Model inputs'!B87+IF(IF(IF(IF(ISERROR('Model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controls'!F22)/'Model inputs'!B21,0),1),IF(IF(IF(ISERROR(11&gt;'DealScope sensitivity controls'!F22),11&gt;'DealScope sensitivity controls'!F22,IF('DealScope sensitivity controls'!F22="","",11&gt;'DealScope sensitivity controls'!F22))="",FALSE,IF(ISERROR(11&gt;'DealScope sensitivity controls'!F22),11&gt;'DealScope sensitivity controls'!F22,IF('DealScope sensitivity controls'!F22="","",11&gt;'DealScope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controls'!F22)/'Model inputs'!B21,0),1),IF(IF(IF(ISERROR(11&gt;'DealScope sensitivity controls'!F22),11&gt;'DealScope sensitivity controls'!F22,IF('DealScope sensitivity controls'!F22="","",11&gt;'DealScope sensitivity controls'!F22))="",FALSE,IF(ISERROR(11&gt;'DealScope sensitivity controls'!F22),11&gt;'DealScope sensitivity controls'!F22,IF('DealScope sensitivity controls'!F22="","",11&gt;'DealScope sensitivity controls'!F22))),IF('Model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controls'!F22)/'Model inputs'!B21,0),1),IF(IF(IF(ISERROR(12&gt;'DealScope sensitivity controls'!F22),12&gt;'DealScope sensitivity controls'!F22,IF('DealScope sensitivity controls'!F22="","",12&gt;'DealScope sensitivity controls'!F22))="",FALSE,IF(ISERROR(12&gt;'DealScope sensitivity controls'!F22),12&gt;'DealScope sensitivity controls'!F22,IF('DealScope sensitivity controls'!F22="","",12&gt;'DealScope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controls'!F22)/'Model inputs'!B21,0),1),IF(IF(IF(ISERROR(12&gt;'DealScope sensitivity controls'!F22),12&gt;'DealScope sensitivity controls'!F22,IF('DealScope sensitivity controls'!F22="","",12&gt;'DealScope sensitivity controls'!F22))="",FALSE,IF(ISERROR(12&gt;'DealScope sensitivity controls'!F22),12&gt;'DealScope sensitivity controls'!F22,IF('DealScope sensitivity controls'!F22="","",12&gt;'DealScope sensitivity controls'!F22))),IF('Model inputs'!B43="","",'Model inputs'!B43),0)))</f>
        <v>97.5</v>
      </c>
      <c r="I28" s="10">
        <f>'DealScope sensitivity compariso'!H28*'DealScope sensitivity compariso'!C28</f>
        <v>195000</v>
      </c>
      <c r="J28" s="10">
        <f>'DealScope sensitivity compariso'!I28*(1-'Model inputs'!B38)-'DealScope sensitivity compariso'!H28*('DealScope sensitivity compariso'!B28*'DealScope sensitivity compariso'!D28+'Model inputs'!B42*'Model inputs'!B41)-SUM('Model inputs'!B76,'Model inputs'!B77)</f>
        <v>159882.4375</v>
      </c>
    </row>
    <row r="29" outlineLevel="1">
      <c r="A29" t="inlineStr" s="13">
        <is>
          <t xml:space="preserve">Audits 2/month</t>
        </is>
      </c>
      <c r="B29" s="11">
        <f>IF(IF(IF(ISERROR('DealScope sensitivity controls'!H6=1),'DealScope sensitivity controls'!H6=1,IF('DealScope sensitivity controls'!H6="","",'DealScope sensitivity controls'!H6=1))="",FALSE,IF(ISERROR('DealScope sensitivity controls'!H6=1),'DealScope sensitivity controls'!H6=1,IF('DealScope sensitivity controls'!H6="","",'DealScope sensitivity controls'!H6=1))),'Model inputs'!B6/12*'DealScope sensitivity controls'!G6,IF('DealScope sensitivity controls'!B6="","",'DealScope sensitivity controls'!B6))</f>
        <v>2</v>
      </c>
      <c r="C29" s="10">
        <f>IF(EXACT("Hybrid","Annual deal-team"),('Model inputs'!B46/12+MAX('DealScope sensitivity compariso'!B29-'Model inputs'!B25/12,0)*'Model inputs'!B33)*(1-'DealScope sensitivity controls'!C6),('Model inputs'!B46/12+'Model inputs'!B10*'DealScope sensitivity compariso'!B29)*(1-'DealScope sensitivity controls'!C6))</f>
        <v>2500</v>
      </c>
      <c r="D29" s="10">
        <f>'Model inputs'!B15*'DealScope sensitivity controls'!E6*'DealScope sensitivity controls'!D6*'Model inputs'!B17+'Model inputs'!B30+'Model inputs'!B39+'Model inputs'!B19</f>
        <v>94.65</v>
      </c>
      <c r="E29" s="10">
        <f>IFERROR('DealScope sensitivity compariso'!C29/'DealScope sensitivity compariso'!B29,"")</f>
        <v>1250</v>
      </c>
      <c r="F29" s="12">
        <f>IFERROR(('DealScope sensitivity compariso'!E29-'DealScope sensitivity compariso'!D29)/'DealScope sensitivity compariso'!E29,"")</f>
        <v>0.9242799999999999</v>
      </c>
      <c r="G29" s="12">
        <f>IFERROR(('DealScope sensitivity compariso'!C29*(1-'Model inputs'!B38)-'DealScope sensitivity compariso'!B29*'DealScope sensitivity compariso'!D29-'Model inputs'!B42*'Model inputs'!B41)/'DealScope sensitivity compariso'!C29,"")</f>
        <v>0.88228</v>
      </c>
      <c r="H29" s="11">
        <f>'Model inputs'!B92+IF(IF(IF(IF(ISERROR('Model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controls'!F6)/'Model inputs'!B21,0),1),IF(IF(IF(ISERROR(11&gt;'DealScope sensitivity controls'!F6),11&gt;'DealScope sensitivity controls'!F6,IF('DealScope sensitivity controls'!F6="","",11&gt;'DealScope sensitivity controls'!F6))="",FALSE,IF(ISERROR(11&gt;'DealScope sensitivity controls'!F6),11&gt;'DealScope sensitivity controls'!F6,IF('DealScope sensitivity controls'!F6="","",11&gt;'DealScope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controls'!F6)/'Model inputs'!B21,0),1),IF(IF(IF(ISERROR(11&gt;'DealScope sensitivity controls'!F6),11&gt;'DealScope sensitivity controls'!F6,IF('DealScope sensitivity controls'!F6="","",11&gt;'DealScope sensitivity controls'!F6))="",FALSE,IF(ISERROR(11&gt;'DealScope sensitivity controls'!F6),11&gt;'DealScope sensitivity controls'!F6,IF('DealScope sensitivity controls'!F6="","",11&gt;'DealScope sensitivity controls'!F6))),IF('Model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controls'!F6)/'Model inputs'!B21,0),1),IF(IF(IF(ISERROR(12&gt;'DealScope sensitivity controls'!F6),12&gt;'DealScope sensitivity controls'!F6,IF('DealScope sensitivity controls'!F6="","",12&gt;'DealScope sensitivity controls'!F6))="",FALSE,IF(ISERROR(12&gt;'DealScope sensitivity controls'!F6),12&gt;'DealScope sensitivity controls'!F6,IF('DealScope sensitivity controls'!F6="","",12&gt;'DealScope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controls'!F6)/'Model inputs'!B21,0),1),IF(IF(IF(ISERROR(12&gt;'DealScope sensitivity controls'!F6),12&gt;'DealScope sensitivity controls'!F6,IF('DealScope sensitivity controls'!F6="","",12&gt;'DealScope sensitivity controls'!F6))="",FALSE,IF(ISERROR(12&gt;'DealScope sensitivity controls'!F6),12&gt;'DealScope sensitivity controls'!F6,IF('DealScope sensitivity controls'!F6="","",12&gt;'DealScope sensitivity controls'!F6))),IF('Model inputs'!B43="","",'Model inputs'!B43),0)))</f>
        <v>97.5</v>
      </c>
      <c r="I29" s="10">
        <f>'DealScope sensitivity compariso'!H29*'DealScope sensitivity compariso'!C29</f>
        <v>243750</v>
      </c>
      <c r="J29" s="10">
        <f>'DealScope sensitivity compariso'!I29*(1-'Model inputs'!B38)-'DealScope sensitivity compariso'!H29*('DealScope sensitivity compariso'!B29*'DealScope sensitivity compariso'!D29+'Model inputs'!B42*'Model inputs'!B41)-SUM('Model inputs'!B76,'Model inputs'!B77)</f>
        <v>202555.75</v>
      </c>
    </row>
    <row r="30" outlineLevel="1">
      <c r="A30" t="inlineStr" s="13">
        <is>
          <t xml:space="preserve">Audits 3/month</t>
        </is>
      </c>
      <c r="B30" s="11">
        <f>IF(IF(IF(ISERROR('DealScope sensitivity controls'!H7=1),'DealScope sensitivity controls'!H7=1,IF('DealScope sensitivity controls'!H7="","",'DealScope sensitivity controls'!H7=1))="",FALSE,IF(ISERROR('DealScope sensitivity controls'!H7=1),'DealScope sensitivity controls'!H7=1,IF('DealScope sensitivity controls'!H7="","",'DealScope sensitivity controls'!H7=1))),'Model inputs'!B6/12*'DealScope sensitivity controls'!G7,IF('DealScope sensitivity controls'!B7="","",'DealScope sensitivity controls'!B7))</f>
        <v>3</v>
      </c>
      <c r="C30" s="10">
        <f>IF(EXACT("Hybrid","Annual deal-team"),('Model inputs'!B46/12+MAX('DealScope sensitivity compariso'!B30-'Model inputs'!B25/12,0)*'Model inputs'!B33)*(1-'DealScope sensitivity controls'!C7),('Model inputs'!B46/12+'Model inputs'!B10*'DealScope sensitivity compariso'!B30)*(1-'DealScope sensitivity controls'!C7))</f>
        <v>3500</v>
      </c>
      <c r="D30" s="10">
        <f>'Model inputs'!B15*'DealScope sensitivity controls'!E7*'DealScope sensitivity controls'!D7*'Model inputs'!B17+'Model inputs'!B30+'Model inputs'!B39+'Model inputs'!B19</f>
        <v>94.65</v>
      </c>
      <c r="E30" s="10">
        <f>IFERROR('DealScope sensitivity compariso'!C30/'DealScope sensitivity compariso'!B30,"")</f>
        <v>1166.6666666666667</v>
      </c>
      <c r="F30" s="12">
        <f>IFERROR(('DealScope sensitivity compariso'!E30-'DealScope sensitivity compariso'!D30)/'DealScope sensitivity compariso'!E30,"")</f>
        <v>0.9188714285714285</v>
      </c>
      <c r="G30" s="12">
        <f>IFERROR(('DealScope sensitivity compariso'!C30*(1-'Model inputs'!B38)-'DealScope sensitivity compariso'!B30*'DealScope sensitivity compariso'!D30-'Model inputs'!B42*'Model inputs'!B41)/'DealScope sensitivity compariso'!C30,"")</f>
        <v>0.8803000000000001</v>
      </c>
      <c r="H30" s="11">
        <f>'Model inputs'!B97+IF(IF(IF(IF(ISERROR('Model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controls'!F7)/'Model inputs'!B21,0),1),IF(IF(IF(ISERROR(11&gt;'DealScope sensitivity controls'!F7),11&gt;'DealScope sensitivity controls'!F7,IF('DealScope sensitivity controls'!F7="","",11&gt;'DealScope sensitivity controls'!F7))="",FALSE,IF(ISERROR(11&gt;'DealScope sensitivity controls'!F7),11&gt;'DealScope sensitivity controls'!F7,IF('DealScope sensitivity controls'!F7="","",11&gt;'DealScope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controls'!F7)/'Model inputs'!B21,0),1),IF(IF(IF(ISERROR(11&gt;'DealScope sensitivity controls'!F7),11&gt;'DealScope sensitivity controls'!F7,IF('DealScope sensitivity controls'!F7="","",11&gt;'DealScope sensitivity controls'!F7))="",FALSE,IF(ISERROR(11&gt;'DealScope sensitivity controls'!F7),11&gt;'DealScope sensitivity controls'!F7,IF('DealScope sensitivity controls'!F7="","",11&gt;'DealScope sensitivity controls'!F7))),IF('Model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controls'!F7)/'Model inputs'!B21,0),1),IF(IF(IF(ISERROR(12&gt;'DealScope sensitivity controls'!F7),12&gt;'DealScope sensitivity controls'!F7,IF('DealScope sensitivity controls'!F7="","",12&gt;'DealScope sensitivity controls'!F7))="",FALSE,IF(ISERROR(12&gt;'DealScope sensitivity controls'!F7),12&gt;'DealScope sensitivity controls'!F7,IF('DealScope sensitivity controls'!F7="","",12&gt;'DealScope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controls'!F7)/'Model inputs'!B21,0),1),IF(IF(IF(ISERROR(12&gt;'DealScope sensitivity controls'!F7),12&gt;'DealScope sensitivity controls'!F7,IF('DealScope sensitivity controls'!F7="","",12&gt;'DealScope sensitivity controls'!F7))="",FALSE,IF(ISERROR(12&gt;'DealScope sensitivity controls'!F7),12&gt;'DealScope sensitivity controls'!F7,IF('DealScope sensitivity controls'!F7="","",12&gt;'DealScope sensitivity controls'!F7))),IF('Model inputs'!B43="","",'Model inputs'!B43),0)))</f>
        <v>97.5</v>
      </c>
      <c r="I30" s="10">
        <f>'DealScope sensitivity compariso'!H30*'DealScope sensitivity compariso'!C30</f>
        <v>341250</v>
      </c>
      <c r="J30" s="10">
        <f>'DealScope sensitivity compariso'!I30*(1-'Model inputs'!B38)-'DealScope sensitivity compariso'!H30*('DealScope sensitivity compariso'!B30*'DealScope sensitivity compariso'!D30+'Model inputs'!B42*'Model inputs'!B41)-SUM('Model inputs'!B76,'Model inputs'!B77)</f>
        <v>287902.375</v>
      </c>
    </row>
    <row r="31" outlineLevel="1">
      <c r="A31" t="inlineStr" s="13">
        <is>
          <t xml:space="preserve">Audits 4/month</t>
        </is>
      </c>
      <c r="B31" s="11">
        <f>IF(IF(IF(ISERROR('DealScope sensitivity controls'!H8=1),'DealScope sensitivity controls'!H8=1,IF('DealScope sensitivity controls'!H8="","",'DealScope sensitivity controls'!H8=1))="",FALSE,IF(ISERROR('DealScope sensitivity controls'!H8=1),'DealScope sensitivity controls'!H8=1,IF('DealScope sensitivity controls'!H8="","",'DealScope sensitivity controls'!H8=1))),'Model inputs'!B6/12*'DealScope sensitivity controls'!G8,IF('DealScope sensitivity controls'!B8="","",'DealScope sensitivity controls'!B8))</f>
        <v>4</v>
      </c>
      <c r="C31" s="10">
        <f>IF(EXACT("Hybrid","Annual deal-team"),('Model inputs'!B46/12+MAX('DealScope sensitivity compariso'!B31-'Model inputs'!B25/12,0)*'Model inputs'!B33)*(1-'DealScope sensitivity controls'!C8),('Model inputs'!B46/12+'Model inputs'!B10*'DealScope sensitivity compariso'!B31)*(1-'DealScope sensitivity controls'!C8))</f>
        <v>4500</v>
      </c>
      <c r="D31" s="10">
        <f>'Model inputs'!B15*'DealScope sensitivity controls'!E8*'DealScope sensitivity controls'!D8*'Model inputs'!B17+'Model inputs'!B30+'Model inputs'!B39+'Model inputs'!B19</f>
        <v>94.65</v>
      </c>
      <c r="E31" s="10">
        <f>IFERROR('DealScope sensitivity compariso'!C31/'DealScope sensitivity compariso'!B31,"")</f>
        <v>1125</v>
      </c>
      <c r="F31" s="12">
        <f>IFERROR(('DealScope sensitivity compariso'!E31-'DealScope sensitivity compariso'!D31)/'DealScope sensitivity compariso'!E31,"")</f>
        <v>0.9158666666666666</v>
      </c>
      <c r="G31" s="12">
        <f>IFERROR(('DealScope sensitivity compariso'!C31*(1-'Model inputs'!B38)-'DealScope sensitivity compariso'!B31*'DealScope sensitivity compariso'!D31-'Model inputs'!B42*'Model inputs'!B41)/'DealScope sensitivity compariso'!C31,"")</f>
        <v>0.8792</v>
      </c>
      <c r="H31" s="11">
        <f>'Model inputs'!B102+IF(IF(IF(IF(ISERROR('Model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controls'!F8)/'Model inputs'!B21,0),1),IF(IF(IF(ISERROR(11&gt;'DealScope sensitivity controls'!F8),11&gt;'DealScope sensitivity controls'!F8,IF('DealScope sensitivity controls'!F8="","",11&gt;'DealScope sensitivity controls'!F8))="",FALSE,IF(ISERROR(11&gt;'DealScope sensitivity controls'!F8),11&gt;'DealScope sensitivity controls'!F8,IF('DealScope sensitivity controls'!F8="","",11&gt;'DealScope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controls'!F8)/'Model inputs'!B21,0),1),IF(IF(IF(ISERROR(11&gt;'DealScope sensitivity controls'!F8),11&gt;'DealScope sensitivity controls'!F8,IF('DealScope sensitivity controls'!F8="","",11&gt;'DealScope sensitivity controls'!F8))="",FALSE,IF(ISERROR(11&gt;'DealScope sensitivity controls'!F8),11&gt;'DealScope sensitivity controls'!F8,IF('DealScope sensitivity controls'!F8="","",11&gt;'DealScope sensitivity controls'!F8))),IF('Model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controls'!F8)/'Model inputs'!B21,0),1),IF(IF(IF(ISERROR(12&gt;'DealScope sensitivity controls'!F8),12&gt;'DealScope sensitivity controls'!F8,IF('DealScope sensitivity controls'!F8="","",12&gt;'DealScope sensitivity controls'!F8))="",FALSE,IF(ISERROR(12&gt;'DealScope sensitivity controls'!F8),12&gt;'DealScope sensitivity controls'!F8,IF('DealScope sensitivity controls'!F8="","",12&gt;'DealScope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controls'!F8)/'Model inputs'!B21,0),1),IF(IF(IF(ISERROR(12&gt;'DealScope sensitivity controls'!F8),12&gt;'DealScope sensitivity controls'!F8,IF('DealScope sensitivity controls'!F8="","",12&gt;'DealScope sensitivity controls'!F8))="",FALSE,IF(ISERROR(12&gt;'DealScope sensitivity controls'!F8),12&gt;'DealScope sensitivity controls'!F8,IF('DealScope sensitivity controls'!F8="","",12&gt;'DealScope sensitivity controls'!F8))),IF('Model inputs'!B43="","",'Model inputs'!B43),0)))</f>
        <v>97.5</v>
      </c>
      <c r="I31" s="10">
        <f>'DealScope sensitivity compariso'!H31*'DealScope sensitivity compariso'!C31</f>
        <v>438750</v>
      </c>
      <c r="J31" s="10">
        <f>'DealScope sensitivity compariso'!I31*(1-'Model inputs'!B38)-'DealScope sensitivity compariso'!H31*('DealScope sensitivity compariso'!B31*'DealScope sensitivity compariso'!D31+'Model inputs'!B42*'Model inputs'!B41)-SUM('Model inputs'!B76,'Model inputs'!B77)</f>
        <v>373249</v>
      </c>
    </row>
    <row r="32" outlineLevel="1">
      <c r="A32" t="inlineStr" s="13">
        <is>
          <t xml:space="preserve">Baseline</t>
        </is>
      </c>
      <c r="B32" s="11">
        <f>IF(IF(IF(ISERROR('DealScope sensitivity controls'!H5=1),'DealScope sensitivity controls'!H5=1,IF('DealScope sensitivity controls'!H5="","",'DealScope sensitivity controls'!H5=1))="",FALSE,IF(ISERROR('DealScope sensitivity controls'!H5=1),'DealScope sensitivity controls'!H5=1,IF('DealScope sensitivity controls'!H5="","",'DealScope sensitivity controls'!H5=1))),'Model inputs'!B6/12*'DealScope sensitivity controls'!G5,IF('DealScope sensitivity controls'!B5="","",'DealScope sensitivity controls'!B5))</f>
        <v>4</v>
      </c>
      <c r="C32" s="10">
        <f>IF(EXACT("Hybrid","Annual deal-team"),('Model inputs'!B46/12+MAX('DealScope sensitivity compariso'!B32-'Model inputs'!B25/12,0)*'Model inputs'!B33)*(1-'DealScope sensitivity controls'!C5),('Model inputs'!B46/12+'Model inputs'!B10*'DealScope sensitivity compariso'!B32)*(1-'DealScope sensitivity controls'!C5))</f>
        <v>4500</v>
      </c>
      <c r="D32" s="10">
        <f>'Model inputs'!B15*'DealScope sensitivity controls'!E5*'DealScope sensitivity controls'!D5*'Model inputs'!B17+'Model inputs'!B30+'Model inputs'!B39+'Model inputs'!B19</f>
        <v>94.65</v>
      </c>
      <c r="E32" s="10">
        <f>IFERROR('DealScope sensitivity compariso'!C32/'DealScope sensitivity compariso'!B32,"")</f>
        <v>1125</v>
      </c>
      <c r="F32" s="12">
        <f>IFERROR(('DealScope sensitivity compariso'!E32-'DealScope sensitivity compariso'!D32)/'DealScope sensitivity compariso'!E32,"")</f>
        <v>0.9158666666666666</v>
      </c>
      <c r="G32" s="12">
        <f>IFERROR(('DealScope sensitivity compariso'!C32*(1-'Model inputs'!B38)-'DealScope sensitivity compariso'!B32*'DealScope sensitivity compariso'!D32-'Model inputs'!B42*'Model inputs'!B41)/'DealScope sensitivity compariso'!C32,"")</f>
        <v>0.8792</v>
      </c>
      <c r="H32" s="11">
        <f>'Model inputs'!B107+IF(IF(IF(IF(ISERROR('Model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controls'!F5)/'Model inputs'!B21,0),1),IF(IF(IF(ISERROR(11&gt;'DealScope sensitivity controls'!F5),11&gt;'DealScope sensitivity controls'!F5,IF('DealScope sensitivity controls'!F5="","",11&gt;'DealScope sensitivity controls'!F5))="",FALSE,IF(ISERROR(11&gt;'DealScope sensitivity controls'!F5),11&gt;'DealScope sensitivity controls'!F5,IF('DealScope sensitivity controls'!F5="","",11&gt;'DealScope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controls'!F5)/'Model inputs'!B21,0),1),IF(IF(IF(ISERROR(11&gt;'DealScope sensitivity controls'!F5),11&gt;'DealScope sensitivity controls'!F5,IF('DealScope sensitivity controls'!F5="","",11&gt;'DealScope sensitivity controls'!F5))="",FALSE,IF(ISERROR(11&gt;'DealScope sensitivity controls'!F5),11&gt;'DealScope sensitivity controls'!F5,IF('DealScope sensitivity controls'!F5="","",11&gt;'DealScope sensitivity controls'!F5))),IF('Model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controls'!F5)/'Model inputs'!B21,0),1),IF(IF(IF(ISERROR(12&gt;'DealScope sensitivity controls'!F5),12&gt;'DealScope sensitivity controls'!F5,IF('DealScope sensitivity controls'!F5="","",12&gt;'DealScope sensitivity controls'!F5))="",FALSE,IF(ISERROR(12&gt;'DealScope sensitivity controls'!F5),12&gt;'DealScope sensitivity controls'!F5,IF('DealScope sensitivity controls'!F5="","",12&gt;'DealScope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controls'!F5)/'Model inputs'!B21,0),1),IF(IF(IF(ISERROR(12&gt;'DealScope sensitivity controls'!F5),12&gt;'DealScope sensitivity controls'!F5,IF('DealScope sensitivity controls'!F5="","",12&gt;'DealScope sensitivity controls'!F5))="",FALSE,IF(ISERROR(12&gt;'DealScope sensitivity controls'!F5),12&gt;'DealScope sensitivity controls'!F5,IF('DealScope sensitivity controls'!F5="","",12&gt;'DealScope sensitivity controls'!F5))),IF('Model inputs'!B43="","",'Model inputs'!B43),0)))</f>
        <v>97.5</v>
      </c>
      <c r="I32" s="10">
        <f>'DealScope sensitivity compariso'!H32*'DealScope sensitivity compariso'!C32</f>
        <v>438750</v>
      </c>
      <c r="J32" s="10">
        <f>'DealScope sensitivity compariso'!I32*(1-'Model inputs'!B38)-'DealScope sensitivity compariso'!H32*('DealScope sensitivity compariso'!B32*'DealScope sensitivity compariso'!D32+'Model inputs'!B42*'Model inputs'!B41)-SUM('Model inputs'!B76,'Model inputs'!B77)</f>
        <v>373249</v>
      </c>
    </row>
    <row r="33" outlineLevel="1">
      <c r="A33" t="inlineStr" s="13">
        <is>
          <t xml:space="preserve">Credit rate $0.05</t>
        </is>
      </c>
      <c r="B33" s="11">
        <f>IF(IF(IF(ISERROR('DealScope sensitivity controls'!H15=1),'DealScope sensitivity controls'!H15=1,IF('DealScope sensitivity controls'!H15="","",'DealScope sensitivity controls'!H15=1))="",FALSE,IF(ISERROR('DealScope sensitivity controls'!H15=1),'DealScope sensitivity controls'!H15=1,IF('DealScope sensitivity controls'!H15="","",'DealScope sensitivity controls'!H15=1))),'Model inputs'!B6/12*'DealScope sensitivity controls'!G15,IF('DealScope sensitivity controls'!B15="","",'DealScope sensitivity controls'!B15))</f>
        <v>4</v>
      </c>
      <c r="C33" s="10">
        <f>IF(EXACT("Hybrid","Annual deal-team"),('Model inputs'!B46/12+MAX('DealScope sensitivity compariso'!B33-'Model inputs'!B25/12,0)*'Model inputs'!B33)*(1-'DealScope sensitivity controls'!C15),('Model inputs'!B46/12+'Model inputs'!B10*'DealScope sensitivity compariso'!B33)*(1-'DealScope sensitivity controls'!C15))</f>
        <v>4500</v>
      </c>
      <c r="D33" s="10">
        <f>'Model inputs'!B15*'DealScope sensitivity controls'!E15*'DealScope sensitivity controls'!D15*'Model inputs'!B17+'Model inputs'!B30+'Model inputs'!B39+'Model inputs'!B19</f>
        <v>93.35</v>
      </c>
      <c r="E33" s="10">
        <f>IFERROR('DealScope sensitivity compariso'!C33/'DealScope sensitivity compariso'!B33,"")</f>
        <v>1125</v>
      </c>
      <c r="F33" s="12">
        <f>IFERROR(('DealScope sensitivity compariso'!E33-'DealScope sensitivity compariso'!D33)/'DealScope sensitivity compariso'!E33,"")</f>
        <v>0.9170222222222223</v>
      </c>
      <c r="G33" s="12">
        <f>IFERROR(('DealScope sensitivity compariso'!C33*(1-'Model inputs'!B38)-'DealScope sensitivity compariso'!B33*'DealScope sensitivity compariso'!D33-'Model inputs'!B42*'Model inputs'!B41)/'DealScope sensitivity compariso'!C33,"")</f>
        <v>0.8803555555555556</v>
      </c>
      <c r="H33" s="11">
        <f>'Model inputs'!B112+IF(IF(IF(IF(ISERROR('Model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controls'!F15)/'Model inputs'!B21,0),1),IF(IF(IF(ISERROR(11&gt;'DealScope sensitivity controls'!F15),11&gt;'DealScope sensitivity controls'!F15,IF('DealScope sensitivity controls'!F15="","",11&gt;'DealScope sensitivity controls'!F15))="",FALSE,IF(ISERROR(11&gt;'DealScope sensitivity controls'!F15),11&gt;'DealScope sensitivity controls'!F15,IF('DealScope sensitivity controls'!F15="","",11&gt;'DealScope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controls'!F15)/'Model inputs'!B21,0),1),IF(IF(IF(ISERROR(11&gt;'DealScope sensitivity controls'!F15),11&gt;'DealScope sensitivity controls'!F15,IF('DealScope sensitivity controls'!F15="","",11&gt;'DealScope sensitivity controls'!F15))="",FALSE,IF(ISERROR(11&gt;'DealScope sensitivity controls'!F15),11&gt;'DealScope sensitivity controls'!F15,IF('DealScope sensitivity controls'!F15="","",11&gt;'DealScope sensitivity controls'!F15))),IF('Model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controls'!F15)/'Model inputs'!B21,0),1),IF(IF(IF(ISERROR(12&gt;'DealScope sensitivity controls'!F15),12&gt;'DealScope sensitivity controls'!F15,IF('DealScope sensitivity controls'!F15="","",12&gt;'DealScope sensitivity controls'!F15))="",FALSE,IF(ISERROR(12&gt;'DealScope sensitivity controls'!F15),12&gt;'DealScope sensitivity controls'!F15,IF('DealScope sensitivity controls'!F15="","",12&gt;'DealScope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controls'!F15)/'Model inputs'!B21,0),1),IF(IF(IF(ISERROR(12&gt;'DealScope sensitivity controls'!F15),12&gt;'DealScope sensitivity controls'!F15,IF('DealScope sensitivity controls'!F15="","",12&gt;'DealScope sensitivity controls'!F15))="",FALSE,IF(ISERROR(12&gt;'DealScope sensitivity controls'!F15),12&gt;'DealScope sensitivity controls'!F15,IF('DealScope sensitivity controls'!F15="","",12&gt;'DealScope sensitivity controls'!F15))),IF('Model inputs'!B43="","",'Model inputs'!B43),0)))</f>
        <v>97.5</v>
      </c>
      <c r="I33" s="10">
        <f>'DealScope sensitivity compariso'!H33*'DealScope sensitivity compariso'!C33</f>
        <v>438750</v>
      </c>
      <c r="J33" s="10">
        <f>'DealScope sensitivity compariso'!I33*(1-'Model inputs'!B38)-'DealScope sensitivity compariso'!H33*('DealScope sensitivity compariso'!B33*'DealScope sensitivity compariso'!D33+'Model inputs'!B42*'Model inputs'!B41)-SUM('Model inputs'!B76,'Model inputs'!B77)</f>
        <v>373756</v>
      </c>
    </row>
    <row r="34" outlineLevel="1">
      <c r="A34" t="inlineStr" s="13">
        <is>
          <t xml:space="preserve">Credit rate $0.10</t>
        </is>
      </c>
      <c r="B34" s="11">
        <f>IF(IF(IF(ISERROR('DealScope sensitivity controls'!H16=1),'DealScope sensitivity controls'!H16=1,IF('DealScope sensitivity controls'!H16="","",'DealScope sensitivity controls'!H16=1))="",FALSE,IF(ISERROR('DealScope sensitivity controls'!H16=1),'DealScope sensitivity controls'!H16=1,IF('DealScope sensitivity controls'!H16="","",'DealScope sensitivity controls'!H16=1))),'Model inputs'!B6/12*'DealScope sensitivity controls'!G16,IF('DealScope sensitivity controls'!B16="","",'DealScope sensitivity controls'!B16))</f>
        <v>4</v>
      </c>
      <c r="C34" s="10">
        <f>IF(EXACT("Hybrid","Annual deal-team"),('Model inputs'!B46/12+MAX('DealScope sensitivity compariso'!B34-'Model inputs'!B25/12,0)*'Model inputs'!B33)*(1-'DealScope sensitivity controls'!C16),('Model inputs'!B46/12+'Model inputs'!B10*'DealScope sensitivity compariso'!B34)*(1-'DealScope sensitivity controls'!C16))</f>
        <v>4500</v>
      </c>
      <c r="D34" s="10">
        <f>'Model inputs'!B15*'DealScope sensitivity controls'!E16*'DealScope sensitivity controls'!D16*'Model inputs'!B17+'Model inputs'!B30+'Model inputs'!B39+'Model inputs'!B19</f>
        <v>94.65</v>
      </c>
      <c r="E34" s="10">
        <f>IFERROR('DealScope sensitivity compariso'!C34/'DealScope sensitivity compariso'!B34,"")</f>
        <v>1125</v>
      </c>
      <c r="F34" s="12">
        <f>IFERROR(('DealScope sensitivity compariso'!E34-'DealScope sensitivity compariso'!D34)/'DealScope sensitivity compariso'!E34,"")</f>
        <v>0.9158666666666666</v>
      </c>
      <c r="G34" s="12">
        <f>IFERROR(('DealScope sensitivity compariso'!C34*(1-'Model inputs'!B38)-'DealScope sensitivity compariso'!B34*'DealScope sensitivity compariso'!D34-'Model inputs'!B42*'Model inputs'!B41)/'DealScope sensitivity compariso'!C34,"")</f>
        <v>0.8792</v>
      </c>
      <c r="H34" s="11">
        <f>'Model inputs'!B117+IF(IF(IF(IF(ISERROR('Model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controls'!F16)/'Model inputs'!B21,0),1),IF(IF(IF(ISERROR(11&gt;'DealScope sensitivity controls'!F16),11&gt;'DealScope sensitivity controls'!F16,IF('DealScope sensitivity controls'!F16="","",11&gt;'DealScope sensitivity controls'!F16))="",FALSE,IF(ISERROR(11&gt;'DealScope sensitivity controls'!F16),11&gt;'DealScope sensitivity controls'!F16,IF('DealScope sensitivity controls'!F16="","",11&gt;'DealScope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controls'!F16)/'Model inputs'!B21,0),1),IF(IF(IF(ISERROR(11&gt;'DealScope sensitivity controls'!F16),11&gt;'DealScope sensitivity controls'!F16,IF('DealScope sensitivity controls'!F16="","",11&gt;'DealScope sensitivity controls'!F16))="",FALSE,IF(ISERROR(11&gt;'DealScope sensitivity controls'!F16),11&gt;'DealScope sensitivity controls'!F16,IF('DealScope sensitivity controls'!F16="","",11&gt;'DealScope sensitivity controls'!F16))),IF('Model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controls'!F16)/'Model inputs'!B21,0),1),IF(IF(IF(ISERROR(12&gt;'DealScope sensitivity controls'!F16),12&gt;'DealScope sensitivity controls'!F16,IF('DealScope sensitivity controls'!F16="","",12&gt;'DealScope sensitivity controls'!F16))="",FALSE,IF(ISERROR(12&gt;'DealScope sensitivity controls'!F16),12&gt;'DealScope sensitivity controls'!F16,IF('DealScope sensitivity controls'!F16="","",12&gt;'DealScope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controls'!F16)/'Model inputs'!B21,0),1),IF(IF(IF(ISERROR(12&gt;'DealScope sensitivity controls'!F16),12&gt;'DealScope sensitivity controls'!F16,IF('DealScope sensitivity controls'!F16="","",12&gt;'DealScope sensitivity controls'!F16))="",FALSE,IF(ISERROR(12&gt;'DealScope sensitivity controls'!F16),12&gt;'DealScope sensitivity controls'!F16,IF('DealScope sensitivity controls'!F16="","",12&gt;'DealScope sensitivity controls'!F16))),IF('Model inputs'!B43="","",'Model inputs'!B43),0)))</f>
        <v>97.5</v>
      </c>
      <c r="I34" s="10">
        <f>'DealScope sensitivity compariso'!H34*'DealScope sensitivity compariso'!C34</f>
        <v>438750</v>
      </c>
      <c r="J34" s="10">
        <f>'DealScope sensitivity compariso'!I34*(1-'Model inputs'!B38)-'DealScope sensitivity compariso'!H34*('DealScope sensitivity compariso'!B34*'DealScope sensitivity compariso'!D34+'Model inputs'!B42*'Model inputs'!B41)-SUM('Model inputs'!B76,'Model inputs'!B77)</f>
        <v>373249</v>
      </c>
    </row>
    <row r="35" outlineLevel="1">
      <c r="A35" t="inlineStr" s="13">
        <is>
          <t xml:space="preserve">Credit rate $0.25</t>
        </is>
      </c>
      <c r="B35" s="11">
        <f>IF(IF(IF(ISERROR('DealScope sensitivity controls'!H17=1),'DealScope sensitivity controls'!H17=1,IF('DealScope sensitivity controls'!H17="","",'DealScope sensitivity controls'!H17=1))="",FALSE,IF(ISERROR('DealScope sensitivity controls'!H17=1),'DealScope sensitivity controls'!H17=1,IF('DealScope sensitivity controls'!H17="","",'DealScope sensitivity controls'!H17=1))),'Model inputs'!B6/12*'DealScope sensitivity controls'!G17,IF('DealScope sensitivity controls'!B17="","",'DealScope sensitivity controls'!B17))</f>
        <v>4</v>
      </c>
      <c r="C35" s="10">
        <f>IF(EXACT("Hybrid","Annual deal-team"),('Model inputs'!B46/12+MAX('DealScope sensitivity compariso'!B35-'Model inputs'!B25/12,0)*'Model inputs'!B33)*(1-'DealScope sensitivity controls'!C17),('Model inputs'!B46/12+'Model inputs'!B10*'DealScope sensitivity compariso'!B35)*(1-'DealScope sensitivity controls'!C17))</f>
        <v>4500</v>
      </c>
      <c r="D35" s="10">
        <f>'Model inputs'!B15*'DealScope sensitivity controls'!E17*'DealScope sensitivity controls'!D17*'Model inputs'!B17+'Model inputs'!B30+'Model inputs'!B39+'Model inputs'!B19</f>
        <v>98.55</v>
      </c>
      <c r="E35" s="10">
        <f>IFERROR('DealScope sensitivity compariso'!C35/'DealScope sensitivity compariso'!B35,"")</f>
        <v>1125</v>
      </c>
      <c r="F35" s="12">
        <f>IFERROR(('DealScope sensitivity compariso'!E35-'DealScope sensitivity compariso'!D35)/'DealScope sensitivity compariso'!E35,"")</f>
        <v>0.9124</v>
      </c>
      <c r="G35" s="12">
        <f>IFERROR(('DealScope sensitivity compariso'!C35*(1-'Model inputs'!B38)-'DealScope sensitivity compariso'!B35*'DealScope sensitivity compariso'!D35-'Model inputs'!B42*'Model inputs'!B41)/'DealScope sensitivity compariso'!C35,"")</f>
        <v>0.8757333333333334</v>
      </c>
      <c r="H35" s="11">
        <f>'Model inputs'!B122+IF(IF(IF(IF(ISERROR('Model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controls'!F17)/'Model inputs'!B21,0),1),IF(IF(IF(ISERROR(11&gt;'DealScope sensitivity controls'!F17),11&gt;'DealScope sensitivity controls'!F17,IF('DealScope sensitivity controls'!F17="","",11&gt;'DealScope sensitivity controls'!F17))="",FALSE,IF(ISERROR(11&gt;'DealScope sensitivity controls'!F17),11&gt;'DealScope sensitivity controls'!F17,IF('DealScope sensitivity controls'!F17="","",11&gt;'DealScope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controls'!F17)/'Model inputs'!B21,0),1),IF(IF(IF(ISERROR(11&gt;'DealScope sensitivity controls'!F17),11&gt;'DealScope sensitivity controls'!F17,IF('DealScope sensitivity controls'!F17="","",11&gt;'DealScope sensitivity controls'!F17))="",FALSE,IF(ISERROR(11&gt;'DealScope sensitivity controls'!F17),11&gt;'DealScope sensitivity controls'!F17,IF('DealScope sensitivity controls'!F17="","",11&gt;'DealScope sensitivity controls'!F17))),IF('Model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controls'!F17)/'Model inputs'!B21,0),1),IF(IF(IF(ISERROR(12&gt;'DealScope sensitivity controls'!F17),12&gt;'DealScope sensitivity controls'!F17,IF('DealScope sensitivity controls'!F17="","",12&gt;'DealScope sensitivity controls'!F17))="",FALSE,IF(ISERROR(12&gt;'DealScope sensitivity controls'!F17),12&gt;'DealScope sensitivity controls'!F17,IF('DealScope sensitivity controls'!F17="","",12&gt;'DealScope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controls'!F17)/'Model inputs'!B21,0),1),IF(IF(IF(ISERROR(12&gt;'DealScope sensitivity controls'!F17),12&gt;'DealScope sensitivity controls'!F17,IF('DealScope sensitivity controls'!F17="","",12&gt;'DealScope sensitivity controls'!F17))="",FALSE,IF(ISERROR(12&gt;'DealScope sensitivity controls'!F17),12&gt;'DealScope sensitivity controls'!F17,IF('DealScope sensitivity controls'!F17="","",12&gt;'DealScope sensitivity controls'!F17))),IF('Model inputs'!B43="","",'Model inputs'!B43),0)))</f>
        <v>97.5</v>
      </c>
      <c r="I35" s="10">
        <f>'DealScope sensitivity compariso'!H35*'DealScope sensitivity compariso'!C35</f>
        <v>438750</v>
      </c>
      <c r="J35" s="10">
        <f>'DealScope sensitivity compariso'!I35*(1-'Model inputs'!B38)-'DealScope sensitivity compariso'!H35*('DealScope sensitivity compariso'!B35*'DealScope sensitivity compariso'!D35+'Model inputs'!B42*'Model inputs'!B41)-SUM('Model inputs'!B76,'Model inputs'!B77)</f>
        <v>371728</v>
      </c>
    </row>
    <row r="36" outlineLevel="1">
      <c r="A36" t="inlineStr" s="13">
        <is>
          <t xml:space="preserve">Data cost x1</t>
        </is>
      </c>
      <c r="B36" s="11">
        <f>IF(IF(IF(ISERROR('DealScope sensitivity controls'!H12=1),'DealScope sensitivity controls'!H12=1,IF('DealScope sensitivity controls'!H12="","",'DealScope sensitivity controls'!H12=1))="",FALSE,IF(ISERROR('DealScope sensitivity controls'!H12=1),'DealScope sensitivity controls'!H12=1,IF('DealScope sensitivity controls'!H12="","",'DealScope sensitivity controls'!H12=1))),'Model inputs'!B6/12*'DealScope sensitivity controls'!G12,IF('DealScope sensitivity controls'!B12="","",'DealScope sensitivity controls'!B12))</f>
        <v>4</v>
      </c>
      <c r="C36" s="10">
        <f>IF(EXACT("Hybrid","Annual deal-team"),('Model inputs'!B46/12+MAX('DealScope sensitivity compariso'!B36-'Model inputs'!B25/12,0)*'Model inputs'!B33)*(1-'DealScope sensitivity controls'!C12),('Model inputs'!B46/12+'Model inputs'!B10*'DealScope sensitivity compariso'!B36)*(1-'DealScope sensitivity controls'!C12))</f>
        <v>4500</v>
      </c>
      <c r="D36" s="10">
        <f>'Model inputs'!B15*'DealScope sensitivity controls'!E12*'DealScope sensitivity controls'!D12*'Model inputs'!B17+'Model inputs'!B30+'Model inputs'!B39+'Model inputs'!B19</f>
        <v>94.65</v>
      </c>
      <c r="E36" s="10">
        <f>IFERROR('DealScope sensitivity compariso'!C36/'DealScope sensitivity compariso'!B36,"")</f>
        <v>1125</v>
      </c>
      <c r="F36" s="12">
        <f>IFERROR(('DealScope sensitivity compariso'!E36-'DealScope sensitivity compariso'!D36)/'DealScope sensitivity compariso'!E36,"")</f>
        <v>0.9158666666666666</v>
      </c>
      <c r="G36" s="12">
        <f>IFERROR(('DealScope sensitivity compariso'!C36*(1-'Model inputs'!B38)-'DealScope sensitivity compariso'!B36*'DealScope sensitivity compariso'!D36-'Model inputs'!B42*'Model inputs'!B41)/'DealScope sensitivity compariso'!C36,"")</f>
        <v>0.8792</v>
      </c>
      <c r="H36" s="11">
        <f>'Model inputs'!B127+IF(IF(IF(IF(ISERROR('Model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controls'!F12)/'Model inputs'!B21,0),1),IF(IF(IF(ISERROR(11&gt;'DealScope sensitivity controls'!F12),11&gt;'DealScope sensitivity controls'!F12,IF('DealScope sensitivity controls'!F12="","",11&gt;'DealScope sensitivity controls'!F12))="",FALSE,IF(ISERROR(11&gt;'DealScope sensitivity controls'!F12),11&gt;'DealScope sensitivity controls'!F12,IF('DealScope sensitivity controls'!F12="","",11&gt;'DealScope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controls'!F12)/'Model inputs'!B21,0),1),IF(IF(IF(ISERROR(11&gt;'DealScope sensitivity controls'!F12),11&gt;'DealScope sensitivity controls'!F12,IF('DealScope sensitivity controls'!F12="","",11&gt;'DealScope sensitivity controls'!F12))="",FALSE,IF(ISERROR(11&gt;'DealScope sensitivity controls'!F12),11&gt;'DealScope sensitivity controls'!F12,IF('DealScope sensitivity controls'!F12="","",11&gt;'DealScope sensitivity controls'!F12))),IF('Model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controls'!F12)/'Model inputs'!B21,0),1),IF(IF(IF(ISERROR(12&gt;'DealScope sensitivity controls'!F12),12&gt;'DealScope sensitivity controls'!F12,IF('DealScope sensitivity controls'!F12="","",12&gt;'DealScope sensitivity controls'!F12))="",FALSE,IF(ISERROR(12&gt;'DealScope sensitivity controls'!F12),12&gt;'DealScope sensitivity controls'!F12,IF('DealScope sensitivity controls'!F12="","",12&gt;'DealScope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controls'!F12)/'Model inputs'!B21,0),1),IF(IF(IF(ISERROR(12&gt;'DealScope sensitivity controls'!F12),12&gt;'DealScope sensitivity controls'!F12,IF('DealScope sensitivity controls'!F12="","",12&gt;'DealScope sensitivity controls'!F12))="",FALSE,IF(ISERROR(12&gt;'DealScope sensitivity controls'!F12),12&gt;'DealScope sensitivity controls'!F12,IF('DealScope sensitivity controls'!F12="","",12&gt;'DealScope sensitivity controls'!F12))),IF('Model inputs'!B43="","",'Model inputs'!B43),0)))</f>
        <v>97.5</v>
      </c>
      <c r="I36" s="10">
        <f>'DealScope sensitivity compariso'!H36*'DealScope sensitivity compariso'!C36</f>
        <v>438750</v>
      </c>
      <c r="J36" s="10">
        <f>'DealScope sensitivity compariso'!I36*(1-'Model inputs'!B38)-'DealScope sensitivity compariso'!H36*('DealScope sensitivity compariso'!B36*'DealScope sensitivity compariso'!D36+'Model inputs'!B42*'Model inputs'!B41)-SUM('Model inputs'!B76,'Model inputs'!B77)</f>
        <v>373249</v>
      </c>
    </row>
    <row r="37" outlineLevel="1">
      <c r="A37" t="inlineStr" s="13">
        <is>
          <t xml:space="preserve">Data cost x2</t>
        </is>
      </c>
      <c r="B37" s="11">
        <f>IF(IF(IF(ISERROR('DealScope sensitivity controls'!H13=1),'DealScope sensitivity controls'!H13=1,IF('DealScope sensitivity controls'!H13="","",'DealScope sensitivity controls'!H13=1))="",FALSE,IF(ISERROR('DealScope sensitivity controls'!H13=1),'DealScope sensitivity controls'!H13=1,IF('DealScope sensitivity controls'!H13="","",'DealScope sensitivity controls'!H13=1))),'Model inputs'!B6/12*'DealScope sensitivity controls'!G13,IF('DealScope sensitivity controls'!B13="","",'DealScope sensitivity controls'!B13))</f>
        <v>4</v>
      </c>
      <c r="C37" s="10">
        <f>IF(EXACT("Hybrid","Annual deal-team"),('Model inputs'!B46/12+MAX('DealScope sensitivity compariso'!B37-'Model inputs'!B25/12,0)*'Model inputs'!B33)*(1-'DealScope sensitivity controls'!C13),('Model inputs'!B46/12+'Model inputs'!B10*'DealScope sensitivity compariso'!B37)*(1-'DealScope sensitivity controls'!C13))</f>
        <v>4500</v>
      </c>
      <c r="D37" s="10">
        <f>'Model inputs'!B15*'DealScope sensitivity controls'!E13*'DealScope sensitivity controls'!D13*'Model inputs'!B17+'Model inputs'!B30+'Model inputs'!B39+'Model inputs'!B19</f>
        <v>97.25</v>
      </c>
      <c r="E37" s="10">
        <f>IFERROR('DealScope sensitivity compariso'!C37/'DealScope sensitivity compariso'!B37,"")</f>
        <v>1125</v>
      </c>
      <c r="F37" s="12">
        <f>IFERROR(('DealScope sensitivity compariso'!E37-'DealScope sensitivity compariso'!D37)/'DealScope sensitivity compariso'!E37,"")</f>
        <v>0.9135555555555556</v>
      </c>
      <c r="G37" s="12">
        <f>IFERROR(('DealScope sensitivity compariso'!C37*(1-'Model inputs'!B38)-'DealScope sensitivity compariso'!B37*'DealScope sensitivity compariso'!D37-'Model inputs'!B42*'Model inputs'!B41)/'DealScope sensitivity compariso'!C37,"")</f>
        <v>0.8768888888888889</v>
      </c>
      <c r="H37" s="11">
        <f>'Model inputs'!B132+IF(IF(IF(IF(ISERROR('Model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controls'!F13)/'Model inputs'!B21,0),1),IF(IF(IF(ISERROR(11&gt;'DealScope sensitivity controls'!F13),11&gt;'DealScope sensitivity controls'!F13,IF('DealScope sensitivity controls'!F13="","",11&gt;'DealScope sensitivity controls'!F13))="",FALSE,IF(ISERROR(11&gt;'DealScope sensitivity controls'!F13),11&gt;'DealScope sensitivity controls'!F13,IF('DealScope sensitivity controls'!F13="","",11&gt;'DealScope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controls'!F13)/'Model inputs'!B21,0),1),IF(IF(IF(ISERROR(11&gt;'DealScope sensitivity controls'!F13),11&gt;'DealScope sensitivity controls'!F13,IF('DealScope sensitivity controls'!F13="","",11&gt;'DealScope sensitivity controls'!F13))="",FALSE,IF(ISERROR(11&gt;'DealScope sensitivity controls'!F13),11&gt;'DealScope sensitivity controls'!F13,IF('DealScope sensitivity controls'!F13="","",11&gt;'DealScope sensitivity controls'!F13))),IF('Model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controls'!F13)/'Model inputs'!B21,0),1),IF(IF(IF(ISERROR(12&gt;'DealScope sensitivity controls'!F13),12&gt;'DealScope sensitivity controls'!F13,IF('DealScope sensitivity controls'!F13="","",12&gt;'DealScope sensitivity controls'!F13))="",FALSE,IF(ISERROR(12&gt;'DealScope sensitivity controls'!F13),12&gt;'DealScope sensitivity controls'!F13,IF('DealScope sensitivity controls'!F13="","",12&gt;'DealScope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controls'!F13)/'Model inputs'!B21,0),1),IF(IF(IF(ISERROR(12&gt;'DealScope sensitivity controls'!F13),12&gt;'DealScope sensitivity controls'!F13,IF('DealScope sensitivity controls'!F13="","",12&gt;'DealScope sensitivity controls'!F13))="",FALSE,IF(ISERROR(12&gt;'DealScope sensitivity controls'!F13),12&gt;'DealScope sensitivity controls'!F13,IF('DealScope sensitivity controls'!F13="","",12&gt;'DealScope sensitivity controls'!F13))),IF('Model inputs'!B43="","",'Model inputs'!B43),0)))</f>
        <v>97.5</v>
      </c>
      <c r="I37" s="10">
        <f>'DealScope sensitivity compariso'!H37*'DealScope sensitivity compariso'!C37</f>
        <v>438750</v>
      </c>
      <c r="J37" s="10">
        <f>'DealScope sensitivity compariso'!I37*(1-'Model inputs'!B38)-'DealScope sensitivity compariso'!H37*('DealScope sensitivity compariso'!B37*'DealScope sensitivity compariso'!D37+'Model inputs'!B42*'Model inputs'!B41)-SUM('Model inputs'!B76,'Model inputs'!B77)</f>
        <v>372235</v>
      </c>
    </row>
    <row r="38" outlineLevel="1">
      <c r="A38" t="inlineStr" s="13">
        <is>
          <t xml:space="preserve">Data cost x3</t>
        </is>
      </c>
      <c r="B38" s="11">
        <f>IF(IF(IF(ISERROR('DealScope sensitivity controls'!H14=1),'DealScope sensitivity controls'!H14=1,IF('DealScope sensitivity controls'!H14="","",'DealScope sensitivity controls'!H14=1))="",FALSE,IF(ISERROR('DealScope sensitivity controls'!H14=1),'DealScope sensitivity controls'!H14=1,IF('DealScope sensitivity controls'!H14="","",'DealScope sensitivity controls'!H14=1))),'Model inputs'!B6/12*'DealScope sensitivity controls'!G14,IF('DealScope sensitivity controls'!B14="","",'DealScope sensitivity controls'!B14))</f>
        <v>4</v>
      </c>
      <c r="C38" s="10">
        <f>IF(EXACT("Hybrid","Annual deal-team"),('Model inputs'!B46/12+MAX('DealScope sensitivity compariso'!B38-'Model inputs'!B25/12,0)*'Model inputs'!B33)*(1-'DealScope sensitivity controls'!C14),('Model inputs'!B46/12+'Model inputs'!B10*'DealScope sensitivity compariso'!B38)*(1-'DealScope sensitivity controls'!C14))</f>
        <v>4500</v>
      </c>
      <c r="D38" s="10">
        <f>'Model inputs'!B15*'DealScope sensitivity controls'!E14*'DealScope sensitivity controls'!D14*'Model inputs'!B17+'Model inputs'!B30+'Model inputs'!B39+'Model inputs'!B19</f>
        <v>99.85</v>
      </c>
      <c r="E38" s="10">
        <f>IFERROR('DealScope sensitivity compariso'!C38/'DealScope sensitivity compariso'!B38,"")</f>
        <v>1125</v>
      </c>
      <c r="F38" s="12">
        <f>IFERROR(('DealScope sensitivity compariso'!E38-'DealScope sensitivity compariso'!D38)/'DealScope sensitivity compariso'!E38,"")</f>
        <v>0.9112444444444445</v>
      </c>
      <c r="G38" s="12">
        <f>IFERROR(('DealScope sensitivity compariso'!C38*(1-'Model inputs'!B38)-'DealScope sensitivity compariso'!B38*'DealScope sensitivity compariso'!D38-'Model inputs'!B42*'Model inputs'!B41)/'DealScope sensitivity compariso'!C38,"")</f>
        <v>0.8745777777777778</v>
      </c>
      <c r="H38" s="11">
        <f>'Model inputs'!B137+IF(IF(IF(IF(ISERROR('Model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controls'!F14)/'Model inputs'!B21,0),1),IF(IF(IF(ISERROR(11&gt;'DealScope sensitivity controls'!F14),11&gt;'DealScope sensitivity controls'!F14,IF('DealScope sensitivity controls'!F14="","",11&gt;'DealScope sensitivity controls'!F14))="",FALSE,IF(ISERROR(11&gt;'DealScope sensitivity controls'!F14),11&gt;'DealScope sensitivity controls'!F14,IF('DealScope sensitivity controls'!F14="","",11&gt;'DealScope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controls'!F14)/'Model inputs'!B21,0),1),IF(IF(IF(ISERROR(11&gt;'DealScope sensitivity controls'!F14),11&gt;'DealScope sensitivity controls'!F14,IF('DealScope sensitivity controls'!F14="","",11&gt;'DealScope sensitivity controls'!F14))="",FALSE,IF(ISERROR(11&gt;'DealScope sensitivity controls'!F14),11&gt;'DealScope sensitivity controls'!F14,IF('DealScope sensitivity controls'!F14="","",11&gt;'DealScope sensitivity controls'!F14))),IF('Model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controls'!F14)/'Model inputs'!B21,0),1),IF(IF(IF(ISERROR(12&gt;'DealScope sensitivity controls'!F14),12&gt;'DealScope sensitivity controls'!F14,IF('DealScope sensitivity controls'!F14="","",12&gt;'DealScope sensitivity controls'!F14))="",FALSE,IF(ISERROR(12&gt;'DealScope sensitivity controls'!F14),12&gt;'DealScope sensitivity controls'!F14,IF('DealScope sensitivity controls'!F14="","",12&gt;'DealScope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controls'!F14)/'Model inputs'!B21,0),1),IF(IF(IF(ISERROR(12&gt;'DealScope sensitivity controls'!F14),12&gt;'DealScope sensitivity controls'!F14,IF('DealScope sensitivity controls'!F14="","",12&gt;'DealScope sensitivity controls'!F14))="",FALSE,IF(ISERROR(12&gt;'DealScope sensitivity controls'!F14),12&gt;'DealScope sensitivity controls'!F14,IF('DealScope sensitivity controls'!F14="","",12&gt;'DealScope sensitivity controls'!F14))),IF('Model inputs'!B43="","",'Model inputs'!B43),0)))</f>
        <v>97.5</v>
      </c>
      <c r="I38" s="10">
        <f>'DealScope sensitivity compariso'!H38*'DealScope sensitivity compariso'!C38</f>
        <v>438750</v>
      </c>
      <c r="J38" s="10">
        <f>'DealScope sensitivity compariso'!I38*(1-'Model inputs'!B38)-'DealScope sensitivity compariso'!H38*('DealScope sensitivity compariso'!B38*'DealScope sensitivity compariso'!D38+'Model inputs'!B42*'Model inputs'!B41)-SUM('Model inputs'!B76,'Model inputs'!B77)</f>
        <v>371221</v>
      </c>
    </row>
    <row r="39" outlineLevel="1">
      <c r="A39" t="inlineStr" s="13">
        <is>
          <t xml:space="preserve">Discount 0%</t>
        </is>
      </c>
      <c r="B39" s="11">
        <f>IF(IF(IF(ISERROR('DealScope sensitivity controls'!H9=1),'DealScope sensitivity controls'!H9=1,IF('DealScope sensitivity controls'!H9="","",'DealScope sensitivity controls'!H9=1))="",FALSE,IF(ISERROR('DealScope sensitivity controls'!H9=1),'DealScope sensitivity controls'!H9=1,IF('DealScope sensitivity controls'!H9="","",'DealScope sensitivity controls'!H9=1))),'Model inputs'!B6/12*'DealScope sensitivity controls'!G9,IF('DealScope sensitivity controls'!B9="","",'DealScope sensitivity controls'!B9))</f>
        <v>4</v>
      </c>
      <c r="C39" s="10">
        <f>IF(EXACT("Hybrid","Annual deal-team"),('Model inputs'!B46/12+MAX('DealScope sensitivity compariso'!B39-'Model inputs'!B25/12,0)*'Model inputs'!B33)*(1-'DealScope sensitivity controls'!C9),('Model inputs'!B46/12+'Model inputs'!B10*'DealScope sensitivity compariso'!B39)*(1-'DealScope sensitivity controls'!C9))</f>
        <v>4500</v>
      </c>
      <c r="D39" s="10">
        <f>'Model inputs'!B15*'DealScope sensitivity controls'!E9*'DealScope sensitivity controls'!D9*'Model inputs'!B17+'Model inputs'!B30+'Model inputs'!B39+'Model inputs'!B19</f>
        <v>94.65</v>
      </c>
      <c r="E39" s="10">
        <f>IFERROR('DealScope sensitivity compariso'!C39/'DealScope sensitivity compariso'!B39,"")</f>
        <v>1125</v>
      </c>
      <c r="F39" s="12">
        <f>IFERROR(('DealScope sensitivity compariso'!E39-'DealScope sensitivity compariso'!D39)/'DealScope sensitivity compariso'!E39,"")</f>
        <v>0.9158666666666666</v>
      </c>
      <c r="G39" s="12">
        <f>IFERROR(('DealScope sensitivity compariso'!C39*(1-'Model inputs'!B38)-'DealScope sensitivity compariso'!B39*'DealScope sensitivity compariso'!D39-'Model inputs'!B42*'Model inputs'!B41)/'DealScope sensitivity compariso'!C39,"")</f>
        <v>0.8792</v>
      </c>
      <c r="H39" s="11">
        <f>'Model inputs'!B142+IF(IF(IF(IF(ISERROR('Model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controls'!F9)/'Model inputs'!B21,0),1),IF(IF(IF(ISERROR(11&gt;'DealScope sensitivity controls'!F9),11&gt;'DealScope sensitivity controls'!F9,IF('DealScope sensitivity controls'!F9="","",11&gt;'DealScope sensitivity controls'!F9))="",FALSE,IF(ISERROR(11&gt;'DealScope sensitivity controls'!F9),11&gt;'DealScope sensitivity controls'!F9,IF('DealScope sensitivity controls'!F9="","",11&gt;'DealScope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controls'!F9)/'Model inputs'!B21,0),1),IF(IF(IF(ISERROR(11&gt;'DealScope sensitivity controls'!F9),11&gt;'DealScope sensitivity controls'!F9,IF('DealScope sensitivity controls'!F9="","",11&gt;'DealScope sensitivity controls'!F9))="",FALSE,IF(ISERROR(11&gt;'DealScope sensitivity controls'!F9),11&gt;'DealScope sensitivity controls'!F9,IF('DealScope sensitivity controls'!F9="","",11&gt;'DealScope sensitivity controls'!F9))),IF('Model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controls'!F9)/'Model inputs'!B21,0),1),IF(IF(IF(ISERROR(12&gt;'DealScope sensitivity controls'!F9),12&gt;'DealScope sensitivity controls'!F9,IF('DealScope sensitivity controls'!F9="","",12&gt;'DealScope sensitivity controls'!F9))="",FALSE,IF(ISERROR(12&gt;'DealScope sensitivity controls'!F9),12&gt;'DealScope sensitivity controls'!F9,IF('DealScope sensitivity controls'!F9="","",12&gt;'DealScope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controls'!F9)/'Model inputs'!B21,0),1),IF(IF(IF(ISERROR(12&gt;'DealScope sensitivity controls'!F9),12&gt;'DealScope sensitivity controls'!F9,IF('DealScope sensitivity controls'!F9="","",12&gt;'DealScope sensitivity controls'!F9))="",FALSE,IF(ISERROR(12&gt;'DealScope sensitivity controls'!F9),12&gt;'DealScope sensitivity controls'!F9,IF('DealScope sensitivity controls'!F9="","",12&gt;'DealScope sensitivity controls'!F9))),IF('Model inputs'!B43="","",'Model inputs'!B43),0)))</f>
        <v>97.5</v>
      </c>
      <c r="I39" s="10">
        <f>'DealScope sensitivity compariso'!H39*'DealScope sensitivity compariso'!C39</f>
        <v>438750</v>
      </c>
      <c r="J39" s="10">
        <f>'DealScope sensitivity compariso'!I39*(1-'Model inputs'!B38)-'DealScope sensitivity compariso'!H39*('DealScope sensitivity compariso'!B39*'DealScope sensitivity compariso'!D39+'Model inputs'!B42*'Model inputs'!B41)-SUM('Model inputs'!B76,'Model inputs'!B77)</f>
        <v>373249</v>
      </c>
    </row>
    <row r="40" outlineLevel="1">
      <c r="A40" t="inlineStr" s="13">
        <is>
          <t xml:space="preserve">Discount 20%</t>
        </is>
      </c>
      <c r="B40" s="11">
        <f>IF(IF(IF(ISERROR('DealScope sensitivity controls'!H10=1),'DealScope sensitivity controls'!H10=1,IF('DealScope sensitivity controls'!H10="","",'DealScope sensitivity controls'!H10=1))="",FALSE,IF(ISERROR('DealScope sensitivity controls'!H10=1),'DealScope sensitivity controls'!H10=1,IF('DealScope sensitivity controls'!H10="","",'DealScope sensitivity controls'!H10=1))),'Model inputs'!B6/12*'DealScope sensitivity controls'!G10,IF('DealScope sensitivity controls'!B10="","",'DealScope sensitivity controls'!B10))</f>
        <v>4</v>
      </c>
      <c r="C40" s="10">
        <f>IF(EXACT("Hybrid","Annual deal-team"),('Model inputs'!B46/12+MAX('DealScope sensitivity compariso'!B40-'Model inputs'!B25/12,0)*'Model inputs'!B33)*(1-'DealScope sensitivity controls'!C10),('Model inputs'!B46/12+'Model inputs'!B10*'DealScope sensitivity compariso'!B40)*(1-'DealScope sensitivity controls'!C10))</f>
        <v>3600</v>
      </c>
      <c r="D40" s="10">
        <f>'Model inputs'!B15*'DealScope sensitivity controls'!E10*'DealScope sensitivity controls'!D10*'Model inputs'!B17+'Model inputs'!B30+'Model inputs'!B39+'Model inputs'!B19</f>
        <v>94.65</v>
      </c>
      <c r="E40" s="10">
        <f>IFERROR('DealScope sensitivity compariso'!C40/'DealScope sensitivity compariso'!B40,"")</f>
        <v>900</v>
      </c>
      <c r="F40" s="12">
        <f>IFERROR(('DealScope sensitivity compariso'!E40-'DealScope sensitivity compariso'!D40)/'DealScope sensitivity compariso'!E40,"")</f>
        <v>0.8948333333333334</v>
      </c>
      <c r="G40" s="12">
        <f>IFERROR(('DealScope sensitivity compariso'!C40*(1-'Model inputs'!B38)-'DealScope sensitivity compariso'!B40*'DealScope sensitivity compariso'!D40-'Model inputs'!B42*'Model inputs'!B41)/'DealScope sensitivity compariso'!C40,"")</f>
        <v>0.8565</v>
      </c>
      <c r="H40" s="11">
        <f>'Model inputs'!B147+IF(IF(IF(IF(ISERROR('Model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controls'!F10)/'Model inputs'!B21,0),1),IF(IF(IF(ISERROR(11&gt;'DealScope sensitivity controls'!F10),11&gt;'DealScope sensitivity controls'!F10,IF('DealScope sensitivity controls'!F10="","",11&gt;'DealScope sensitivity controls'!F10))="",FALSE,IF(ISERROR(11&gt;'DealScope sensitivity controls'!F10),11&gt;'DealScope sensitivity controls'!F10,IF('DealScope sensitivity controls'!F10="","",11&gt;'DealScope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controls'!F10)/'Model inputs'!B21,0),1),IF(IF(IF(ISERROR(11&gt;'DealScope sensitivity controls'!F10),11&gt;'DealScope sensitivity controls'!F10,IF('DealScope sensitivity controls'!F10="","",11&gt;'DealScope sensitivity controls'!F10))="",FALSE,IF(ISERROR(11&gt;'DealScope sensitivity controls'!F10),11&gt;'DealScope sensitivity controls'!F10,IF('DealScope sensitivity controls'!F10="","",11&gt;'DealScope sensitivity controls'!F10))),IF('Model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controls'!F10)/'Model inputs'!B21,0),1),IF(IF(IF(ISERROR(12&gt;'DealScope sensitivity controls'!F10),12&gt;'DealScope sensitivity controls'!F10,IF('DealScope sensitivity controls'!F10="","",12&gt;'DealScope sensitivity controls'!F10))="",FALSE,IF(ISERROR(12&gt;'DealScope sensitivity controls'!F10),12&gt;'DealScope sensitivity controls'!F10,IF('DealScope sensitivity controls'!F10="","",12&gt;'DealScope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controls'!F10)/'Model inputs'!B21,0),1),IF(IF(IF(ISERROR(12&gt;'DealScope sensitivity controls'!F10),12&gt;'DealScope sensitivity controls'!F10,IF('DealScope sensitivity controls'!F10="","",12&gt;'DealScope sensitivity controls'!F10))="",FALSE,IF(ISERROR(12&gt;'DealScope sensitivity controls'!F10),12&gt;'DealScope sensitivity controls'!F10,IF('DealScope sensitivity controls'!F10="","",12&gt;'DealScope sensitivity controls'!F10))),IF('Model inputs'!B43="","",'Model inputs'!B43),0)))</f>
        <v>97.5</v>
      </c>
      <c r="I40" s="10">
        <f>'DealScope sensitivity compariso'!H40*'DealScope sensitivity compariso'!C40</f>
        <v>351000</v>
      </c>
      <c r="J40" s="10">
        <f>'DealScope sensitivity compariso'!I40*(1-'Model inputs'!B38)-'DealScope sensitivity compariso'!H40*('DealScope sensitivity compariso'!B40*'DealScope sensitivity compariso'!D40+'Model inputs'!B42*'Model inputs'!B41)-SUM('Model inputs'!B76,'Model inputs'!B77)</f>
        <v>288131.5</v>
      </c>
    </row>
    <row r="41" outlineLevel="1">
      <c r="A41" t="inlineStr" s="13">
        <is>
          <t xml:space="preserve">Discount 40%</t>
        </is>
      </c>
      <c r="B41" s="11">
        <f>IF(IF(IF(ISERROR('DealScope sensitivity controls'!H11=1),'DealScope sensitivity controls'!H11=1,IF('DealScope sensitivity controls'!H11="","",'DealScope sensitivity controls'!H11=1))="",FALSE,IF(ISERROR('DealScope sensitivity controls'!H11=1),'DealScope sensitivity controls'!H11=1,IF('DealScope sensitivity controls'!H11="","",'DealScope sensitivity controls'!H11=1))),'Model inputs'!B6/12*'DealScope sensitivity controls'!G11,IF('DealScope sensitivity controls'!B11="","",'DealScope sensitivity controls'!B11))</f>
        <v>4</v>
      </c>
      <c r="C41" s="10">
        <f>IF(EXACT("Hybrid","Annual deal-team"),('Model inputs'!B46/12+MAX('DealScope sensitivity compariso'!B41-'Model inputs'!B25/12,0)*'Model inputs'!B33)*(1-'DealScope sensitivity controls'!C11),('Model inputs'!B46/12+'Model inputs'!B10*'DealScope sensitivity compariso'!B41)*(1-'DealScope sensitivity controls'!C11))</f>
        <v>2700</v>
      </c>
      <c r="D41" s="10">
        <f>'Model inputs'!B15*'DealScope sensitivity controls'!E11*'DealScope sensitivity controls'!D11*'Model inputs'!B17+'Model inputs'!B30+'Model inputs'!B39+'Model inputs'!B19</f>
        <v>94.65</v>
      </c>
      <c r="E41" s="10">
        <f>IFERROR('DealScope sensitivity compariso'!C41/'DealScope sensitivity compariso'!B41,"")</f>
        <v>675</v>
      </c>
      <c r="F41" s="12">
        <f>IFERROR(('DealScope sensitivity compariso'!E41-'DealScope sensitivity compariso'!D41)/'DealScope sensitivity compariso'!E41,"")</f>
        <v>0.8597777777777779</v>
      </c>
      <c r="G41" s="12">
        <f>IFERROR(('DealScope sensitivity compariso'!C41*(1-'Model inputs'!B38)-'DealScope sensitivity compariso'!B41*'DealScope sensitivity compariso'!D41-'Model inputs'!B42*'Model inputs'!B41)/'DealScope sensitivity compariso'!C41,"")</f>
        <v>0.8186666666666667</v>
      </c>
      <c r="H41" s="11">
        <f>'Model inputs'!B152+IF(IF(IF(IF(ISERROR('Model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controls'!F11)/'Model inputs'!B21,0),1),IF(IF(IF(ISERROR(11&gt;'DealScope sensitivity controls'!F11),11&gt;'DealScope sensitivity controls'!F11,IF('DealScope sensitivity controls'!F11="","",11&gt;'DealScope sensitivity controls'!F11))="",FALSE,IF(ISERROR(11&gt;'DealScope sensitivity controls'!F11),11&gt;'DealScope sensitivity controls'!F11,IF('DealScope sensitivity controls'!F11="","",11&gt;'DealScope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controls'!F11)/'Model inputs'!B21,0),1),IF(IF(IF(ISERROR(11&gt;'DealScope sensitivity controls'!F11),11&gt;'DealScope sensitivity controls'!F11,IF('DealScope sensitivity controls'!F11="","",11&gt;'DealScope sensitivity controls'!F11))="",FALSE,IF(ISERROR(11&gt;'DealScope sensitivity controls'!F11),11&gt;'DealScope sensitivity controls'!F11,IF('DealScope sensitivity controls'!F11="","",11&gt;'DealScope sensitivity controls'!F11))),IF('Model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controls'!F11)/'Model inputs'!B21,0),1),IF(IF(IF(ISERROR(12&gt;'DealScope sensitivity controls'!F11),12&gt;'DealScope sensitivity controls'!F11,IF('DealScope sensitivity controls'!F11="","",12&gt;'DealScope sensitivity controls'!F11))="",FALSE,IF(ISERROR(12&gt;'DealScope sensitivity controls'!F11),12&gt;'DealScope sensitivity controls'!F11,IF('DealScope sensitivity controls'!F11="","",12&gt;'DealScope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controls'!F11)/'Model inputs'!B21,0),1),IF(IF(IF(ISERROR(12&gt;'DealScope sensitivity controls'!F11),12&gt;'DealScope sensitivity controls'!F11,IF('DealScope sensitivity controls'!F11="","",12&gt;'DealScope sensitivity controls'!F11))="",FALSE,IF(ISERROR(12&gt;'DealScope sensitivity controls'!F11),12&gt;'DealScope sensitivity controls'!F11,IF('DealScope sensitivity controls'!F11="","",12&gt;'DealScope sensitivity controls'!F11))),IF('Model inputs'!B43="","",'Model inputs'!B43),0)))</f>
        <v>97.5</v>
      </c>
      <c r="I41" s="10">
        <f>'DealScope sensitivity compariso'!H41*'DealScope sensitivity compariso'!C41</f>
        <v>263250</v>
      </c>
      <c r="J41" s="10">
        <f>'DealScope sensitivity compariso'!I41*(1-'Model inputs'!B38)-'DealScope sensitivity compariso'!H41*('DealScope sensitivity compariso'!B41*'DealScope sensitivity compariso'!D41+'Model inputs'!B42*'Model inputs'!B41)-SUM('Model inputs'!B76,'Model inputs'!B77)</f>
        <v>203014</v>
      </c>
    </row>
    <row r="42" outlineLevel="1">
      <c r="A42" t="inlineStr" s="13">
        <is>
          <t xml:space="preserve">Sales delay 0 months</t>
        </is>
      </c>
      <c r="B42" s="11">
        <f>IF(IF(IF(ISERROR('DealScope sensitivity controls'!H18=1),'DealScope sensitivity controls'!H18=1,IF('DealScope sensitivity controls'!H18="","",'DealScope sensitivity controls'!H18=1))="",FALSE,IF(ISERROR('DealScope sensitivity controls'!H18=1),'DealScope sensitivity controls'!H18=1,IF('DealScope sensitivity controls'!H18="","",'DealScope sensitivity controls'!H18=1))),'Model inputs'!B6/12*'DealScope sensitivity controls'!G18,IF('DealScope sensitivity controls'!B18="","",'DealScope sensitivity controls'!B18))</f>
        <v>4</v>
      </c>
      <c r="C42" s="10">
        <f>IF(EXACT("Hybrid","Annual deal-team"),('Model inputs'!B46/12+MAX('DealScope sensitivity compariso'!B42-'Model inputs'!B25/12,0)*'Model inputs'!B33)*(1-'DealScope sensitivity controls'!C18),('Model inputs'!B46/12+'Model inputs'!B10*'DealScope sensitivity compariso'!B42)*(1-'DealScope sensitivity controls'!C18))</f>
        <v>4500</v>
      </c>
      <c r="D42" s="10">
        <f>'Model inputs'!B15*'DealScope sensitivity controls'!E18*'DealScope sensitivity controls'!D18*'Model inputs'!B17+'Model inputs'!B30+'Model inputs'!B39+'Model inputs'!B19</f>
        <v>94.65</v>
      </c>
      <c r="E42" s="10">
        <f>IFERROR('DealScope sensitivity compariso'!C42/'DealScope sensitivity compariso'!B42,"")</f>
        <v>1125</v>
      </c>
      <c r="F42" s="12">
        <f>IFERROR(('DealScope sensitivity compariso'!E42-'DealScope sensitivity compariso'!D42)/'DealScope sensitivity compariso'!E42,"")</f>
        <v>0.9158666666666666</v>
      </c>
      <c r="G42" s="12">
        <f>IFERROR(('DealScope sensitivity compariso'!C42*(1-'Model inputs'!B38)-'DealScope sensitivity compariso'!B42*'DealScope sensitivity compariso'!D42-'Model inputs'!B42*'Model inputs'!B41)/'DealScope sensitivity compariso'!C42,"")</f>
        <v>0.8792</v>
      </c>
      <c r="H42" s="11">
        <f>'Model inputs'!B157+IF(IF(IF(IF(ISERROR('Model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controls'!F18)/'Model inputs'!B21,0),1),IF(IF(IF(ISERROR(11&gt;'DealScope sensitivity controls'!F18),11&gt;'DealScope sensitivity controls'!F18,IF('DealScope sensitivity controls'!F18="","",11&gt;'DealScope sensitivity controls'!F18))="",FALSE,IF(ISERROR(11&gt;'DealScope sensitivity controls'!F18),11&gt;'DealScope sensitivity controls'!F18,IF('DealScope sensitivity controls'!F18="","",11&gt;'DealScope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controls'!F18)/'Model inputs'!B21,0),1),IF(IF(IF(ISERROR(11&gt;'DealScope sensitivity controls'!F18),11&gt;'DealScope sensitivity controls'!F18,IF('DealScope sensitivity controls'!F18="","",11&gt;'DealScope sensitivity controls'!F18))="",FALSE,IF(ISERROR(11&gt;'DealScope sensitivity controls'!F18),11&gt;'DealScope sensitivity controls'!F18,IF('DealScope sensitivity controls'!F18="","",11&gt;'DealScope sensitivity controls'!F18))),IF('Model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controls'!F18)/'Model inputs'!B21,0),1),IF(IF(IF(ISERROR(12&gt;'DealScope sensitivity controls'!F18),12&gt;'DealScope sensitivity controls'!F18,IF('DealScope sensitivity controls'!F18="","",12&gt;'DealScope sensitivity controls'!F18))="",FALSE,IF(ISERROR(12&gt;'DealScope sensitivity controls'!F18),12&gt;'DealScope sensitivity controls'!F18,IF('DealScope sensitivity controls'!F18="","",12&gt;'DealScope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controls'!F18)/'Model inputs'!B21,0),1),IF(IF(IF(ISERROR(12&gt;'DealScope sensitivity controls'!F18),12&gt;'DealScope sensitivity controls'!F18,IF('DealScope sensitivity controls'!F18="","",12&gt;'DealScope sensitivity controls'!F18))="",FALSE,IF(ISERROR(12&gt;'DealScope sensitivity controls'!F18),12&gt;'DealScope sensitivity controls'!F18,IF('DealScope sensitivity controls'!F18="","",12&gt;'DealScope sensitivity controls'!F18))),IF('Model inputs'!B43="","",'Model inputs'!B43),0)))</f>
        <v>97.5</v>
      </c>
      <c r="I42" s="10">
        <f>'DealScope sensitivity compariso'!H42*'DealScope sensitivity compariso'!C42</f>
        <v>438750</v>
      </c>
      <c r="J42" s="10">
        <f>'DealScope sensitivity compariso'!I42*(1-'Model inputs'!B38)-'DealScope sensitivity compariso'!H42*('DealScope sensitivity compariso'!B42*'DealScope sensitivity compariso'!D42+'Model inputs'!B42*'Model inputs'!B41)-SUM('Model inputs'!B76,'Model inputs'!B77)</f>
        <v>373249</v>
      </c>
    </row>
    <row r="43" outlineLevel="1">
      <c r="A43" t="inlineStr" s="13">
        <is>
          <t xml:space="preserve">Sales delay 2 months</t>
        </is>
      </c>
      <c r="B43" s="11">
        <f>IF(IF(IF(ISERROR('DealScope sensitivity controls'!H19=1),'DealScope sensitivity controls'!H19=1,IF('DealScope sensitivity controls'!H19="","",'DealScope sensitivity controls'!H19=1))="",FALSE,IF(ISERROR('DealScope sensitivity controls'!H19=1),'DealScope sensitivity controls'!H19=1,IF('DealScope sensitivity controls'!H19="","",'DealScope sensitivity controls'!H19=1))),'Model inputs'!B6/12*'DealScope sensitivity controls'!G19,IF('DealScope sensitivity controls'!B19="","",'DealScope sensitivity controls'!B19))</f>
        <v>4</v>
      </c>
      <c r="C43" s="10">
        <f>IF(EXACT("Hybrid","Annual deal-team"),('Model inputs'!B46/12+MAX('DealScope sensitivity compariso'!B43-'Model inputs'!B25/12,0)*'Model inputs'!B33)*(1-'DealScope sensitivity controls'!C19),('Model inputs'!B46/12+'Model inputs'!B10*'DealScope sensitivity compariso'!B43)*(1-'DealScope sensitivity controls'!C19))</f>
        <v>4500</v>
      </c>
      <c r="D43" s="10">
        <f>'Model inputs'!B15*'DealScope sensitivity controls'!E19*'DealScope sensitivity controls'!D19*'Model inputs'!B17+'Model inputs'!B30+'Model inputs'!B39+'Model inputs'!B19</f>
        <v>94.65</v>
      </c>
      <c r="E43" s="10">
        <f>IFERROR('DealScope sensitivity compariso'!C43/'DealScope sensitivity compariso'!B43,"")</f>
        <v>1125</v>
      </c>
      <c r="F43" s="12">
        <f>IFERROR(('DealScope sensitivity compariso'!E43-'DealScope sensitivity compariso'!D43)/'DealScope sensitivity compariso'!E43,"")</f>
        <v>0.9158666666666666</v>
      </c>
      <c r="G43" s="12">
        <f>IFERROR(('DealScope sensitivity compariso'!C43*(1-'Model inputs'!B38)-'DealScope sensitivity compariso'!B43*'DealScope sensitivity compariso'!D43-'Model inputs'!B42*'Model inputs'!B41)/'DealScope sensitivity compariso'!C43,"")</f>
        <v>0.8792</v>
      </c>
      <c r="H43" s="11">
        <f>'Model inputs'!B162+IF(IF(IF(IF(ISERROR('Model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controls'!F19)/'Model inputs'!B21,0),1),IF(IF(IF(ISERROR(11&gt;'DealScope sensitivity controls'!F19),11&gt;'DealScope sensitivity controls'!F19,IF('DealScope sensitivity controls'!F19="","",11&gt;'DealScope sensitivity controls'!F19))="",FALSE,IF(ISERROR(11&gt;'DealScope sensitivity controls'!F19),11&gt;'DealScope sensitivity controls'!F19,IF('DealScope sensitivity controls'!F19="","",11&gt;'DealScope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controls'!F19)/'Model inputs'!B21,0),1),IF(IF(IF(ISERROR(11&gt;'DealScope sensitivity controls'!F19),11&gt;'DealScope sensitivity controls'!F19,IF('DealScope sensitivity controls'!F19="","",11&gt;'DealScope sensitivity controls'!F19))="",FALSE,IF(ISERROR(11&gt;'DealScope sensitivity controls'!F19),11&gt;'DealScope sensitivity controls'!F19,IF('DealScope sensitivity controls'!F19="","",11&gt;'DealScope sensitivity controls'!F19))),IF('Model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controls'!F19)/'Model inputs'!B21,0),1),IF(IF(IF(ISERROR(12&gt;'DealScope sensitivity controls'!F19),12&gt;'DealScope sensitivity controls'!F19,IF('DealScope sensitivity controls'!F19="","",12&gt;'DealScope sensitivity controls'!F19))="",FALSE,IF(ISERROR(12&gt;'DealScope sensitivity controls'!F19),12&gt;'DealScope sensitivity controls'!F19,IF('DealScope sensitivity controls'!F19="","",12&gt;'DealScope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controls'!F19)/'Model inputs'!B21,0),1),IF(IF(IF(ISERROR(12&gt;'DealScope sensitivity controls'!F19),12&gt;'DealScope sensitivity controls'!F19,IF('DealScope sensitivity controls'!F19="","",12&gt;'DealScope sensitivity controls'!F19))="",FALSE,IF(ISERROR(12&gt;'DealScope sensitivity controls'!F19),12&gt;'DealScope sensitivity controls'!F19,IF('DealScope sensitivity controls'!F19="","",12&gt;'DealScope sensitivity controls'!F19))),IF('Model inputs'!B43="","",'Model inputs'!B43),0)))</f>
        <v>68.75</v>
      </c>
      <c r="I43" s="10">
        <f>'DealScope sensitivity compariso'!H43*'DealScope sensitivity compariso'!C43</f>
        <v>309375</v>
      </c>
      <c r="J43" s="10">
        <f>'DealScope sensitivity compariso'!I43*(1-'Model inputs'!B38)-'DealScope sensitivity compariso'!H43*('DealScope sensitivity compariso'!B43*'DealScope sensitivity compariso'!D43+'Model inputs'!B42*'Model inputs'!B41)-SUM('Model inputs'!B76,'Model inputs'!B77)</f>
        <v>259502.5</v>
      </c>
    </row>
    <row r="44" outlineLevel="1">
      <c r="A44" t="inlineStr" s="13">
        <is>
          <t xml:space="preserve">Sales delay 4 months</t>
        </is>
      </c>
      <c r="B44" s="11">
        <f>IF(IF(IF(ISERROR('DealScope sensitivity controls'!H20=1),'DealScope sensitivity controls'!H20=1,IF('DealScope sensitivity controls'!H20="","",'DealScope sensitivity controls'!H20=1))="",FALSE,IF(ISERROR('DealScope sensitivity controls'!H20=1),'DealScope sensitivity controls'!H20=1,IF('DealScope sensitivity controls'!H20="","",'DealScope sensitivity controls'!H20=1))),'Model inputs'!B6/12*'DealScope sensitivity controls'!G20,IF('DealScope sensitivity controls'!B20="","",'DealScope sensitivity controls'!B20))</f>
        <v>4</v>
      </c>
      <c r="C44" s="10">
        <f>IF(EXACT("Hybrid","Annual deal-team"),('Model inputs'!B46/12+MAX('DealScope sensitivity compariso'!B44-'Model inputs'!B25/12,0)*'Model inputs'!B33)*(1-'DealScope sensitivity controls'!C20),('Model inputs'!B46/12+'Model inputs'!B10*'DealScope sensitivity compariso'!B44)*(1-'DealScope sensitivity controls'!C20))</f>
        <v>4500</v>
      </c>
      <c r="D44" s="10">
        <f>'Model inputs'!B15*'DealScope sensitivity controls'!E20*'DealScope sensitivity controls'!D20*'Model inputs'!B17+'Model inputs'!B30+'Model inputs'!B39+'Model inputs'!B19</f>
        <v>94.65</v>
      </c>
      <c r="E44" s="10">
        <f>IFERROR('DealScope sensitivity compariso'!C44/'DealScope sensitivity compariso'!B44,"")</f>
        <v>1125</v>
      </c>
      <c r="F44" s="12">
        <f>IFERROR(('DealScope sensitivity compariso'!E44-'DealScope sensitivity compariso'!D44)/'DealScope sensitivity compariso'!E44,"")</f>
        <v>0.9158666666666666</v>
      </c>
      <c r="G44" s="12">
        <f>IFERROR(('DealScope sensitivity compariso'!C44*(1-'Model inputs'!B38)-'DealScope sensitivity compariso'!B44*'DealScope sensitivity compariso'!D44-'Model inputs'!B42*'Model inputs'!B41)/'DealScope sensitivity compariso'!C44,"")</f>
        <v>0.8792</v>
      </c>
      <c r="H44" s="11">
        <f>'Model inputs'!B167+IF(IF(IF(IF(ISERROR('Model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controls'!F20)/'Model inputs'!B21,0),1),IF(IF(IF(ISERROR(11&gt;'DealScope sensitivity controls'!F20),11&gt;'DealScope sensitivity controls'!F20,IF('DealScope sensitivity controls'!F20="","",11&gt;'DealScope sensitivity controls'!F20))="",FALSE,IF(ISERROR(11&gt;'DealScope sensitivity controls'!F20),11&gt;'DealScope sensitivity controls'!F20,IF('DealScope sensitivity controls'!F20="","",11&gt;'DealScope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controls'!F20)/'Model inputs'!B21,0),1),IF(IF(IF(ISERROR(11&gt;'DealScope sensitivity controls'!F20),11&gt;'DealScope sensitivity controls'!F20,IF('DealScope sensitivity controls'!F20="","",11&gt;'DealScope sensitivity controls'!F20))="",FALSE,IF(ISERROR(11&gt;'DealScope sensitivity controls'!F20),11&gt;'DealScope sensitivity controls'!F20,IF('DealScope sensitivity controls'!F20="","",11&gt;'DealScope sensitivity controls'!F20))),IF('Model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controls'!F20)/'Model inputs'!B21,0),1),IF(IF(IF(ISERROR(12&gt;'DealScope sensitivity controls'!F20),12&gt;'DealScope sensitivity controls'!F20,IF('DealScope sensitivity controls'!F20="","",12&gt;'DealScope sensitivity controls'!F20))="",FALSE,IF(ISERROR(12&gt;'DealScope sensitivity controls'!F20),12&gt;'DealScope sensitivity controls'!F20,IF('DealScope sensitivity controls'!F20="","",12&gt;'DealScope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controls'!F20)/'Model inputs'!B21,0),1),IF(IF(IF(ISERROR(12&gt;'DealScope sensitivity controls'!F20),12&gt;'DealScope sensitivity controls'!F20,IF('DealScope sensitivity controls'!F20="","",12&gt;'DealScope sensitivity controls'!F20))="",FALSE,IF(ISERROR(12&gt;'DealScope sensitivity controls'!F20),12&gt;'DealScope sensitivity controls'!F20,IF('DealScope sensitivity controls'!F20="","",12&gt;'DealScope sensitivity controls'!F20))),IF('Model inputs'!B43="","",'Model inputs'!B43),0)))</f>
        <v>45</v>
      </c>
      <c r="I44" s="10">
        <f>'DealScope sensitivity compariso'!H44*'DealScope sensitivity compariso'!C44</f>
        <v>202500</v>
      </c>
      <c r="J44" s="10">
        <f>'DealScope sensitivity compariso'!I44*(1-'Model inputs'!B38)-'DealScope sensitivity compariso'!H44*('DealScope sensitivity compariso'!B44*'DealScope sensitivity compariso'!D44+'Model inputs'!B42*'Model inputs'!B41)-SUM('Model inputs'!B76,'Model inputs'!B77)</f>
        <v>165538</v>
      </c>
    </row>
    <row r="45">
      <c r="A45" t="inlineStr" s="5">
        <is>
          <t xml:space="preserve">Per audit — base</t>
        </is>
      </c>
      <c r="B45" t="str" s="7">
        <f>""</f>
        <v/>
      </c>
      <c r="C45" t="str" s="6">
        <f>""</f>
        <v/>
      </c>
      <c r="D45" t="str" s="6">
        <f>""</f>
        <v/>
      </c>
      <c r="E45" t="str" s="6">
        <f>""</f>
        <v/>
      </c>
      <c r="F45" t="str" s="8">
        <f>""</f>
        <v/>
      </c>
      <c r="G45" t="str" s="8">
        <f>""</f>
        <v/>
      </c>
      <c r="H45" t="str" s="7">
        <f>""</f>
        <v/>
      </c>
      <c r="I45" t="str" s="6">
        <f>""</f>
        <v/>
      </c>
      <c r="J45" t="str" s="6">
        <f>""</f>
        <v/>
      </c>
    </row>
    <row r="46" outlineLevel="1">
      <c r="A46" t="inlineStr" s="13">
        <is>
          <t xml:space="preserve">Annual allowance utilization 100%</t>
        </is>
      </c>
      <c r="B46" s="11">
        <f>IF(IF(IF(ISERROR('DealScope sensitivity controls'!H23=1),'DealScope sensitivity controls'!H23=1,IF('DealScope sensitivity controls'!H23="","",'DealScope sensitivity controls'!H23=1))="",FALSE,IF(ISERROR('DealScope sensitivity controls'!H23=1),'DealScope sensitivity controls'!H23=1,IF('DealScope sensitivity controls'!H23="","",'DealScope sensitivity controls'!H23=1))),'Model inputs'!B6/12*'DealScope sensitivity controls'!G23,IF('DealScope sensitivity controls'!B23="","",'DealScope sensitivity controls'!B23))</f>
        <v>2</v>
      </c>
      <c r="C46" s="10">
        <f>IF(EXACT("Per audit — base","Annual deal-team"),('Model inputs'!B47/12+MAX('DealScope sensitivity compariso'!B46-'Model inputs'!B26/12,0)*'Model inputs'!B34)*(1-'DealScope sensitivity controls'!C23),('Model inputs'!B47/12+'Model inputs'!B11*'DealScope sensitivity compariso'!B46)*(1-'DealScope sensitivity controls'!C23))</f>
        <v>3000</v>
      </c>
      <c r="D46" s="10">
        <f>'Model inputs'!B15*'DealScope sensitivity controls'!E23*'DealScope sensitivity controls'!D23*'Model inputs'!B17+'Model inputs'!B30+'Model inputs'!B39+'Model inputs'!B19</f>
        <v>94.65</v>
      </c>
      <c r="E46" s="10">
        <f>IFERROR('DealScope sensitivity compariso'!C46/'DealScope sensitivity compariso'!B46,"")</f>
        <v>1500</v>
      </c>
      <c r="F46" s="12">
        <f>IFERROR(('DealScope sensitivity compariso'!E46-'DealScope sensitivity compariso'!D46)/'DealScope sensitivity compariso'!E46,"")</f>
        <v>0.9369</v>
      </c>
      <c r="G46" s="12">
        <f>IFERROR(('DealScope sensitivity compariso'!C46*(1-'Model inputs'!B38)-'DealScope sensitivity compariso'!B46*'DealScope sensitivity compariso'!D46-'Model inputs'!B42*'Model inputs'!B41)/'DealScope sensitivity compariso'!C46,"")</f>
        <v>0.8968999999999999</v>
      </c>
      <c r="H46" s="11">
        <f>'Model inputs'!B75+IF(IF(IF(IF(ISERROR('Model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controls'!F23)/'Model inputs'!B21,0),1),IF(IF(IF(ISERROR(11&gt;'DealScope sensitivity controls'!F23),11&gt;'DealScope sensitivity controls'!F23,IF('DealScope sensitivity controls'!F23="","",11&gt;'DealScope sensitivity controls'!F23))="",FALSE,IF(ISERROR(11&gt;'DealScope sensitivity controls'!F23),11&gt;'DealScope sensitivity controls'!F23,IF('DealScope sensitivity controls'!F23="","",11&gt;'DealScope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controls'!F23)/'Model inputs'!B21,0),1),IF(IF(IF(ISERROR(11&gt;'DealScope sensitivity controls'!F23),11&gt;'DealScope sensitivity controls'!F23,IF('DealScope sensitivity controls'!F23="","",11&gt;'DealScope sensitivity controls'!F23))="",FALSE,IF(ISERROR(11&gt;'DealScope sensitivity controls'!F23),11&gt;'DealScope sensitivity controls'!F23,IF('DealScope sensitivity controls'!F23="","",11&gt;'DealScope sensitivity controls'!F23))),IF('Model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controls'!F23)/'Model inputs'!B21,0),1),IF(IF(IF(ISERROR(12&gt;'DealScope sensitivity controls'!F23),12&gt;'DealScope sensitivity controls'!F23,IF('DealScope sensitivity controls'!F23="","",12&gt;'DealScope sensitivity controls'!F23))="",FALSE,IF(ISERROR(12&gt;'DealScope sensitivity controls'!F23),12&gt;'DealScope sensitivity controls'!F23,IF('DealScope sensitivity controls'!F23="","",12&gt;'DealScope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controls'!F23)/'Model inputs'!B21,0),1),IF(IF(IF(ISERROR(12&gt;'DealScope sensitivity controls'!F23),12&gt;'DealScope sensitivity controls'!F23,IF('DealScope sensitivity controls'!F23="","",12&gt;'DealScope sensitivity controls'!F23))="",FALSE,IF(ISERROR(12&gt;'DealScope sensitivity controls'!F23),12&gt;'DealScope sensitivity controls'!F23,IF('DealScope sensitivity controls'!F23="","",12&gt;'DealScope sensitivity controls'!F23))),IF('Model inputs'!B43="","",'Model inputs'!B43),0)))</f>
        <v>97.5</v>
      </c>
      <c r="I46" s="10">
        <f>'DealScope sensitivity compariso'!H46*'DealScope sensitivity compariso'!C46</f>
        <v>292500</v>
      </c>
      <c r="J46" s="10">
        <f>'DealScope sensitivity compariso'!I46*(1-'Model inputs'!B38)-'DealScope sensitivity compariso'!H46*('DealScope sensitivity compariso'!B46*'DealScope sensitivity compariso'!D46+'Model inputs'!B42*'Model inputs'!B41)-SUM('Model inputs'!B76,'Model inputs'!B77)</f>
        <v>249843.25</v>
      </c>
    </row>
    <row r="47" outlineLevel="1">
      <c r="A47" t="inlineStr" s="13">
        <is>
          <t xml:space="preserve">Annual allowance utilization 50%</t>
        </is>
      </c>
      <c r="B47" s="11">
        <f>IF(IF(IF(ISERROR('DealScope sensitivity controls'!H21=1),'DealScope sensitivity controls'!H21=1,IF('DealScope sensitivity controls'!H21="","",'DealScope sensitivity controls'!H21=1))="",FALSE,IF(ISERROR('DealScope sensitivity controls'!H21=1),'DealScope sensitivity controls'!H21=1,IF('DealScope sensitivity controls'!H21="","",'DealScope sensitivity controls'!H21=1))),'Model inputs'!B6/12*'DealScope sensitivity controls'!G21,IF('DealScope sensitivity controls'!B21="","",'DealScope sensitivity controls'!B21))</f>
        <v>1</v>
      </c>
      <c r="C47" s="10">
        <f>IF(EXACT("Per audit — base","Annual deal-team"),('Model inputs'!B47/12+MAX('DealScope sensitivity compariso'!B47-'Model inputs'!B26/12,0)*'Model inputs'!B34)*(1-'DealScope sensitivity controls'!C21),('Model inputs'!B47/12+'Model inputs'!B11*'DealScope sensitivity compariso'!B47)*(1-'DealScope sensitivity controls'!C21))</f>
        <v>1500</v>
      </c>
      <c r="D47" s="10">
        <f>'Model inputs'!B15*'DealScope sensitivity controls'!E21*'DealScope sensitivity controls'!D21*'Model inputs'!B17+'Model inputs'!B30+'Model inputs'!B39+'Model inputs'!B19</f>
        <v>94.65</v>
      </c>
      <c r="E47" s="10">
        <f>IFERROR('DealScope sensitivity compariso'!C47/'DealScope sensitivity compariso'!B47,"")</f>
        <v>1500</v>
      </c>
      <c r="F47" s="12">
        <f>IFERROR(('DealScope sensitivity compariso'!E47-'DealScope sensitivity compariso'!D47)/'DealScope sensitivity compariso'!E47,"")</f>
        <v>0.9369</v>
      </c>
      <c r="G47" s="12">
        <f>IFERROR(('DealScope sensitivity compariso'!C47*(1-'Model inputs'!B38)-'DealScope sensitivity compariso'!B47*'DealScope sensitivity compariso'!D47-'Model inputs'!B42*'Model inputs'!B41)/'DealScope sensitivity compariso'!C47,"")</f>
        <v>0.8868999999999999</v>
      </c>
      <c r="H47" s="11">
        <f>'Model inputs'!B82+IF(IF(IF(IF(ISERROR('Model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controls'!F21)/'Model inputs'!B21,0),1),IF(IF(IF(ISERROR(11&gt;'DealScope sensitivity controls'!F21),11&gt;'DealScope sensitivity controls'!F21,IF('DealScope sensitivity controls'!F21="","",11&gt;'DealScope sensitivity controls'!F21))="",FALSE,IF(ISERROR(11&gt;'DealScope sensitivity controls'!F21),11&gt;'DealScope sensitivity controls'!F21,IF('DealScope sensitivity controls'!F21="","",11&gt;'DealScope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controls'!F21)/'Model inputs'!B21,0),1),IF(IF(IF(ISERROR(11&gt;'DealScope sensitivity controls'!F21),11&gt;'DealScope sensitivity controls'!F21,IF('DealScope sensitivity controls'!F21="","",11&gt;'DealScope sensitivity controls'!F21))="",FALSE,IF(ISERROR(11&gt;'DealScope sensitivity controls'!F21),11&gt;'DealScope sensitivity controls'!F21,IF('DealScope sensitivity controls'!F21="","",11&gt;'DealScope sensitivity controls'!F21))),IF('Model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controls'!F21)/'Model inputs'!B21,0),1),IF(IF(IF(ISERROR(12&gt;'DealScope sensitivity controls'!F21),12&gt;'DealScope sensitivity controls'!F21,IF('DealScope sensitivity controls'!F21="","",12&gt;'DealScope sensitivity controls'!F21))="",FALSE,IF(ISERROR(12&gt;'DealScope sensitivity controls'!F21),12&gt;'DealScope sensitivity controls'!F21,IF('DealScope sensitivity controls'!F21="","",12&gt;'DealScope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controls'!F21)/'Model inputs'!B21,0),1),IF(IF(IF(ISERROR(12&gt;'DealScope sensitivity controls'!F21),12&gt;'DealScope sensitivity controls'!F21,IF('DealScope sensitivity controls'!F21="","",12&gt;'DealScope sensitivity controls'!F21))="",FALSE,IF(ISERROR(12&gt;'DealScope sensitivity controls'!F21),12&gt;'DealScope sensitivity controls'!F21,IF('DealScope sensitivity controls'!F21="","",12&gt;'DealScope sensitivity controls'!F21))),IF('Model inputs'!B43="","",'Model inputs'!B43),0)))</f>
        <v>97.5</v>
      </c>
      <c r="I47" s="10">
        <f>'DealScope sensitivity compariso'!H47*'DealScope sensitivity compariso'!C47</f>
        <v>146250</v>
      </c>
      <c r="J47" s="10">
        <f>'DealScope sensitivity compariso'!I47*(1-'Model inputs'!B38)-'DealScope sensitivity compariso'!H47*('DealScope sensitivity compariso'!B47*'DealScope sensitivity compariso'!D47+'Model inputs'!B42*'Model inputs'!B41)-SUM('Model inputs'!B76,'Model inputs'!B77)</f>
        <v>117209.125</v>
      </c>
    </row>
    <row r="48" outlineLevel="1">
      <c r="A48" t="inlineStr" s="13">
        <is>
          <t xml:space="preserve">Annual allowance utilization 75%</t>
        </is>
      </c>
      <c r="B48" s="11">
        <f>IF(IF(IF(ISERROR('DealScope sensitivity controls'!H22=1),'DealScope sensitivity controls'!H22=1,IF('DealScope sensitivity controls'!H22="","",'DealScope sensitivity controls'!H22=1))="",FALSE,IF(ISERROR('DealScope sensitivity controls'!H22=1),'DealScope sensitivity controls'!H22=1,IF('DealScope sensitivity controls'!H22="","",'DealScope sensitivity controls'!H22=1))),'Model inputs'!B6/12*'DealScope sensitivity controls'!G22,IF('DealScope sensitivity controls'!B22="","",'DealScope sensitivity controls'!B22))</f>
        <v>1.5</v>
      </c>
      <c r="C48" s="10">
        <f>IF(EXACT("Per audit — base","Annual deal-team"),('Model inputs'!B47/12+MAX('DealScope sensitivity compariso'!B48-'Model inputs'!B26/12,0)*'Model inputs'!B34)*(1-'DealScope sensitivity controls'!C22),('Model inputs'!B47/12+'Model inputs'!B11*'DealScope sensitivity compariso'!B48)*(1-'DealScope sensitivity controls'!C22))</f>
        <v>2250</v>
      </c>
      <c r="D48" s="10">
        <f>'Model inputs'!B15*'DealScope sensitivity controls'!E22*'DealScope sensitivity controls'!D22*'Model inputs'!B17+'Model inputs'!B30+'Model inputs'!B39+'Model inputs'!B19</f>
        <v>94.65</v>
      </c>
      <c r="E48" s="10">
        <f>IFERROR('DealScope sensitivity compariso'!C48/'DealScope sensitivity compariso'!B48,"")</f>
        <v>1500</v>
      </c>
      <c r="F48" s="12">
        <f>IFERROR(('DealScope sensitivity compariso'!E48-'DealScope sensitivity compariso'!D48)/'DealScope sensitivity compariso'!E48,"")</f>
        <v>0.9369</v>
      </c>
      <c r="G48" s="12">
        <f>IFERROR(('DealScope sensitivity compariso'!C48*(1-'Model inputs'!B38)-'DealScope sensitivity compariso'!B48*'DealScope sensitivity compariso'!D48-'Model inputs'!B42*'Model inputs'!B41)/'DealScope sensitivity compariso'!C48,"")</f>
        <v>0.8935666666666667</v>
      </c>
      <c r="H48" s="11">
        <f>'Model inputs'!B87+IF(IF(IF(IF(ISERROR('Model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controls'!F22)/'Model inputs'!B21,0),1),IF(IF(IF(ISERROR(11&gt;'DealScope sensitivity controls'!F22),11&gt;'DealScope sensitivity controls'!F22,IF('DealScope sensitivity controls'!F22="","",11&gt;'DealScope sensitivity controls'!F22))="",FALSE,IF(ISERROR(11&gt;'DealScope sensitivity controls'!F22),11&gt;'DealScope sensitivity controls'!F22,IF('DealScope sensitivity controls'!F22="","",11&gt;'DealScope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controls'!F22)/'Model inputs'!B21,0),1),IF(IF(IF(ISERROR(11&gt;'DealScope sensitivity controls'!F22),11&gt;'DealScope sensitivity controls'!F22,IF('DealScope sensitivity controls'!F22="","",11&gt;'DealScope sensitivity controls'!F22))="",FALSE,IF(ISERROR(11&gt;'DealScope sensitivity controls'!F22),11&gt;'DealScope sensitivity controls'!F22,IF('DealScope sensitivity controls'!F22="","",11&gt;'DealScope sensitivity controls'!F22))),IF('Model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controls'!F22)/'Model inputs'!B21,0),1),IF(IF(IF(ISERROR(12&gt;'DealScope sensitivity controls'!F22),12&gt;'DealScope sensitivity controls'!F22,IF('DealScope sensitivity controls'!F22="","",12&gt;'DealScope sensitivity controls'!F22))="",FALSE,IF(ISERROR(12&gt;'DealScope sensitivity controls'!F22),12&gt;'DealScope sensitivity controls'!F22,IF('DealScope sensitivity controls'!F22="","",12&gt;'DealScope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controls'!F22)/'Model inputs'!B21,0),1),IF(IF(IF(ISERROR(12&gt;'DealScope sensitivity controls'!F22),12&gt;'DealScope sensitivity controls'!F22,IF('DealScope sensitivity controls'!F22="","",12&gt;'DealScope sensitivity controls'!F22))="",FALSE,IF(ISERROR(12&gt;'DealScope sensitivity controls'!F22),12&gt;'DealScope sensitivity controls'!F22,IF('DealScope sensitivity controls'!F22="","",12&gt;'DealScope sensitivity controls'!F22))),IF('Model inputs'!B43="","",'Model inputs'!B43),0)))</f>
        <v>97.5</v>
      </c>
      <c r="I48" s="10">
        <f>'DealScope sensitivity compariso'!H48*'DealScope sensitivity compariso'!C48</f>
        <v>219375</v>
      </c>
      <c r="J48" s="10">
        <f>'DealScope sensitivity compariso'!I48*(1-'Model inputs'!B38)-'DealScope sensitivity compariso'!H48*('DealScope sensitivity compariso'!B48*'DealScope sensitivity compariso'!D48+'Model inputs'!B42*'Model inputs'!B41)-SUM('Model inputs'!B76,'Model inputs'!B77)</f>
        <v>183526.1875</v>
      </c>
    </row>
    <row r="49" outlineLevel="1">
      <c r="A49" t="inlineStr" s="13">
        <is>
          <t xml:space="preserve">Audits 2/month</t>
        </is>
      </c>
      <c r="B49" s="11">
        <f>IF(IF(IF(ISERROR('DealScope sensitivity controls'!H6=1),'DealScope sensitivity controls'!H6=1,IF('DealScope sensitivity controls'!H6="","",'DealScope sensitivity controls'!H6=1))="",FALSE,IF(ISERROR('DealScope sensitivity controls'!H6=1),'DealScope sensitivity controls'!H6=1,IF('DealScope sensitivity controls'!H6="","",'DealScope sensitivity controls'!H6=1))),'Model inputs'!B6/12*'DealScope sensitivity controls'!G6,IF('DealScope sensitivity controls'!B6="","",'DealScope sensitivity controls'!B6))</f>
        <v>2</v>
      </c>
      <c r="C49" s="10">
        <f>IF(EXACT("Per audit — base","Annual deal-team"),('Model inputs'!B47/12+MAX('DealScope sensitivity compariso'!B49-'Model inputs'!B26/12,0)*'Model inputs'!B34)*(1-'DealScope sensitivity controls'!C6),('Model inputs'!B47/12+'Model inputs'!B11*'DealScope sensitivity compariso'!B49)*(1-'DealScope sensitivity controls'!C6))</f>
        <v>3000</v>
      </c>
      <c r="D49" s="10">
        <f>'Model inputs'!B15*'DealScope sensitivity controls'!E6*'DealScope sensitivity controls'!D6*'Model inputs'!B17+'Model inputs'!B30+'Model inputs'!B39+'Model inputs'!B19</f>
        <v>94.65</v>
      </c>
      <c r="E49" s="10">
        <f>IFERROR('DealScope sensitivity compariso'!C49/'DealScope sensitivity compariso'!B49,"")</f>
        <v>1500</v>
      </c>
      <c r="F49" s="12">
        <f>IFERROR(('DealScope sensitivity compariso'!E49-'DealScope sensitivity compariso'!D49)/'DealScope sensitivity compariso'!E49,"")</f>
        <v>0.9369</v>
      </c>
      <c r="G49" s="12">
        <f>IFERROR(('DealScope sensitivity compariso'!C49*(1-'Model inputs'!B38)-'DealScope sensitivity compariso'!B49*'DealScope sensitivity compariso'!D49-'Model inputs'!B42*'Model inputs'!B41)/'DealScope sensitivity compariso'!C49,"")</f>
        <v>0.8968999999999999</v>
      </c>
      <c r="H49" s="11">
        <f>'Model inputs'!B92+IF(IF(IF(IF(ISERROR('Model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controls'!F6)/'Model inputs'!B21,0),1),IF(IF(IF(ISERROR(11&gt;'DealScope sensitivity controls'!F6),11&gt;'DealScope sensitivity controls'!F6,IF('DealScope sensitivity controls'!F6="","",11&gt;'DealScope sensitivity controls'!F6))="",FALSE,IF(ISERROR(11&gt;'DealScope sensitivity controls'!F6),11&gt;'DealScope sensitivity controls'!F6,IF('DealScope sensitivity controls'!F6="","",11&gt;'DealScope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controls'!F6)/'Model inputs'!B21,0),1),IF(IF(IF(ISERROR(11&gt;'DealScope sensitivity controls'!F6),11&gt;'DealScope sensitivity controls'!F6,IF('DealScope sensitivity controls'!F6="","",11&gt;'DealScope sensitivity controls'!F6))="",FALSE,IF(ISERROR(11&gt;'DealScope sensitivity controls'!F6),11&gt;'DealScope sensitivity controls'!F6,IF('DealScope sensitivity controls'!F6="","",11&gt;'DealScope sensitivity controls'!F6))),IF('Model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controls'!F6)/'Model inputs'!B21,0),1),IF(IF(IF(ISERROR(12&gt;'DealScope sensitivity controls'!F6),12&gt;'DealScope sensitivity controls'!F6,IF('DealScope sensitivity controls'!F6="","",12&gt;'DealScope sensitivity controls'!F6))="",FALSE,IF(ISERROR(12&gt;'DealScope sensitivity controls'!F6),12&gt;'DealScope sensitivity controls'!F6,IF('DealScope sensitivity controls'!F6="","",12&gt;'DealScope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controls'!F6)/'Model inputs'!B21,0),1),IF(IF(IF(ISERROR(12&gt;'DealScope sensitivity controls'!F6),12&gt;'DealScope sensitivity controls'!F6,IF('DealScope sensitivity controls'!F6="","",12&gt;'DealScope sensitivity controls'!F6))="",FALSE,IF(ISERROR(12&gt;'DealScope sensitivity controls'!F6),12&gt;'DealScope sensitivity controls'!F6,IF('DealScope sensitivity controls'!F6="","",12&gt;'DealScope sensitivity controls'!F6))),IF('Model inputs'!B43="","",'Model inputs'!B43),0)))</f>
        <v>97.5</v>
      </c>
      <c r="I49" s="10">
        <f>'DealScope sensitivity compariso'!H49*'DealScope sensitivity compariso'!C49</f>
        <v>292500</v>
      </c>
      <c r="J49" s="10">
        <f>'DealScope sensitivity compariso'!I49*(1-'Model inputs'!B38)-'DealScope sensitivity compariso'!H49*('DealScope sensitivity compariso'!B49*'DealScope sensitivity compariso'!D49+'Model inputs'!B42*'Model inputs'!B41)-SUM('Model inputs'!B76,'Model inputs'!B77)</f>
        <v>249843.25</v>
      </c>
    </row>
    <row r="50" outlineLevel="1">
      <c r="A50" t="inlineStr" s="13">
        <is>
          <t xml:space="preserve">Audits 3/month</t>
        </is>
      </c>
      <c r="B50" s="11">
        <f>IF(IF(IF(ISERROR('DealScope sensitivity controls'!H7=1),'DealScope sensitivity controls'!H7=1,IF('DealScope sensitivity controls'!H7="","",'DealScope sensitivity controls'!H7=1))="",FALSE,IF(ISERROR('DealScope sensitivity controls'!H7=1),'DealScope sensitivity controls'!H7=1,IF('DealScope sensitivity controls'!H7="","",'DealScope sensitivity controls'!H7=1))),'Model inputs'!B6/12*'DealScope sensitivity controls'!G7,IF('DealScope sensitivity controls'!B7="","",'DealScope sensitivity controls'!B7))</f>
        <v>3</v>
      </c>
      <c r="C50" s="10">
        <f>IF(EXACT("Per audit — base","Annual deal-team"),('Model inputs'!B47/12+MAX('DealScope sensitivity compariso'!B50-'Model inputs'!B26/12,0)*'Model inputs'!B34)*(1-'DealScope sensitivity controls'!C7),('Model inputs'!B47/12+'Model inputs'!B11*'DealScope sensitivity compariso'!B50)*(1-'DealScope sensitivity controls'!C7))</f>
        <v>4500</v>
      </c>
      <c r="D50" s="10">
        <f>'Model inputs'!B15*'DealScope sensitivity controls'!E7*'DealScope sensitivity controls'!D7*'Model inputs'!B17+'Model inputs'!B30+'Model inputs'!B39+'Model inputs'!B19</f>
        <v>94.65</v>
      </c>
      <c r="E50" s="10">
        <f>IFERROR('DealScope sensitivity compariso'!C50/'DealScope sensitivity compariso'!B50,"")</f>
        <v>1500</v>
      </c>
      <c r="F50" s="12">
        <f>IFERROR(('DealScope sensitivity compariso'!E50-'DealScope sensitivity compariso'!D50)/'DealScope sensitivity compariso'!E50,"")</f>
        <v>0.9369</v>
      </c>
      <c r="G50" s="12">
        <f>IFERROR(('DealScope sensitivity compariso'!C50*(1-'Model inputs'!B38)-'DealScope sensitivity compariso'!B50*'DealScope sensitivity compariso'!D50-'Model inputs'!B42*'Model inputs'!B41)/'DealScope sensitivity compariso'!C50,"")</f>
        <v>0.9002333333333333</v>
      </c>
      <c r="H50" s="11">
        <f>'Model inputs'!B97+IF(IF(IF(IF(ISERROR('Model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controls'!F7)/'Model inputs'!B21,0),1),IF(IF(IF(ISERROR(11&gt;'DealScope sensitivity controls'!F7),11&gt;'DealScope sensitivity controls'!F7,IF('DealScope sensitivity controls'!F7="","",11&gt;'DealScope sensitivity controls'!F7))="",FALSE,IF(ISERROR(11&gt;'DealScope sensitivity controls'!F7),11&gt;'DealScope sensitivity controls'!F7,IF('DealScope sensitivity controls'!F7="","",11&gt;'DealScope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controls'!F7)/'Model inputs'!B21,0),1),IF(IF(IF(ISERROR(11&gt;'DealScope sensitivity controls'!F7),11&gt;'DealScope sensitivity controls'!F7,IF('DealScope sensitivity controls'!F7="","",11&gt;'DealScope sensitivity controls'!F7))="",FALSE,IF(ISERROR(11&gt;'DealScope sensitivity controls'!F7),11&gt;'DealScope sensitivity controls'!F7,IF('DealScope sensitivity controls'!F7="","",11&gt;'DealScope sensitivity controls'!F7))),IF('Model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controls'!F7)/'Model inputs'!B21,0),1),IF(IF(IF(ISERROR(12&gt;'DealScope sensitivity controls'!F7),12&gt;'DealScope sensitivity controls'!F7,IF('DealScope sensitivity controls'!F7="","",12&gt;'DealScope sensitivity controls'!F7))="",FALSE,IF(ISERROR(12&gt;'DealScope sensitivity controls'!F7),12&gt;'DealScope sensitivity controls'!F7,IF('DealScope sensitivity controls'!F7="","",12&gt;'DealScope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controls'!F7)/'Model inputs'!B21,0),1),IF(IF(IF(ISERROR(12&gt;'DealScope sensitivity controls'!F7),12&gt;'DealScope sensitivity controls'!F7,IF('DealScope sensitivity controls'!F7="","",12&gt;'DealScope sensitivity controls'!F7))="",FALSE,IF(ISERROR(12&gt;'DealScope sensitivity controls'!F7),12&gt;'DealScope sensitivity controls'!F7,IF('DealScope sensitivity controls'!F7="","",12&gt;'DealScope sensitivity controls'!F7))),IF('Model inputs'!B43="","",'Model inputs'!B43),0)))</f>
        <v>97.5</v>
      </c>
      <c r="I50" s="10">
        <f>'DealScope sensitivity compariso'!H50*'DealScope sensitivity compariso'!C50</f>
        <v>438750</v>
      </c>
      <c r="J50" s="10">
        <f>'DealScope sensitivity compariso'!I50*(1-'Model inputs'!B38)-'DealScope sensitivity compariso'!H50*('DealScope sensitivity compariso'!B50*'DealScope sensitivity compariso'!D50+'Model inputs'!B42*'Model inputs'!B41)-SUM('Model inputs'!B76,'Model inputs'!B77)</f>
        <v>382477.375</v>
      </c>
    </row>
    <row r="51" outlineLevel="1">
      <c r="A51" t="inlineStr" s="13">
        <is>
          <t xml:space="preserve">Audits 4/month</t>
        </is>
      </c>
      <c r="B51" s="11">
        <f>IF(IF(IF(ISERROR('DealScope sensitivity controls'!H8=1),'DealScope sensitivity controls'!H8=1,IF('DealScope sensitivity controls'!H8="","",'DealScope sensitivity controls'!H8=1))="",FALSE,IF(ISERROR('DealScope sensitivity controls'!H8=1),'DealScope sensitivity controls'!H8=1,IF('DealScope sensitivity controls'!H8="","",'DealScope sensitivity controls'!H8=1))),'Model inputs'!B6/12*'DealScope sensitivity controls'!G8,IF('DealScope sensitivity controls'!B8="","",'DealScope sensitivity controls'!B8))</f>
        <v>4</v>
      </c>
      <c r="C51" s="10">
        <f>IF(EXACT("Per audit — base","Annual deal-team"),('Model inputs'!B47/12+MAX('DealScope sensitivity compariso'!B51-'Model inputs'!B26/12,0)*'Model inputs'!B34)*(1-'DealScope sensitivity controls'!C8),('Model inputs'!B47/12+'Model inputs'!B11*'DealScope sensitivity compariso'!B51)*(1-'DealScope sensitivity controls'!C8))</f>
        <v>6000</v>
      </c>
      <c r="D51" s="10">
        <f>'Model inputs'!B15*'DealScope sensitivity controls'!E8*'DealScope sensitivity controls'!D8*'Model inputs'!B17+'Model inputs'!B30+'Model inputs'!B39+'Model inputs'!B19</f>
        <v>94.65</v>
      </c>
      <c r="E51" s="10">
        <f>IFERROR('DealScope sensitivity compariso'!C51/'DealScope sensitivity compariso'!B51,"")</f>
        <v>1500</v>
      </c>
      <c r="F51" s="12">
        <f>IFERROR(('DealScope sensitivity compariso'!E51-'DealScope sensitivity compariso'!D51)/'DealScope sensitivity compariso'!E51,"")</f>
        <v>0.9369</v>
      </c>
      <c r="G51" s="12">
        <f>IFERROR(('DealScope sensitivity compariso'!C51*(1-'Model inputs'!B38)-'DealScope sensitivity compariso'!B51*'DealScope sensitivity compariso'!D51-'Model inputs'!B42*'Model inputs'!B41)/'DealScope sensitivity compariso'!C51,"")</f>
        <v>0.9018999999999999</v>
      </c>
      <c r="H51" s="11">
        <f>'Model inputs'!B102+IF(IF(IF(IF(ISERROR('Model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controls'!F8)/'Model inputs'!B21,0),1),IF(IF(IF(ISERROR(11&gt;'DealScope sensitivity controls'!F8),11&gt;'DealScope sensitivity controls'!F8,IF('DealScope sensitivity controls'!F8="","",11&gt;'DealScope sensitivity controls'!F8))="",FALSE,IF(ISERROR(11&gt;'DealScope sensitivity controls'!F8),11&gt;'DealScope sensitivity controls'!F8,IF('DealScope sensitivity controls'!F8="","",11&gt;'DealScope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controls'!F8)/'Model inputs'!B21,0),1),IF(IF(IF(ISERROR(11&gt;'DealScope sensitivity controls'!F8),11&gt;'DealScope sensitivity controls'!F8,IF('DealScope sensitivity controls'!F8="","",11&gt;'DealScope sensitivity controls'!F8))="",FALSE,IF(ISERROR(11&gt;'DealScope sensitivity controls'!F8),11&gt;'DealScope sensitivity controls'!F8,IF('DealScope sensitivity controls'!F8="","",11&gt;'DealScope sensitivity controls'!F8))),IF('Model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controls'!F8)/'Model inputs'!B21,0),1),IF(IF(IF(ISERROR(12&gt;'DealScope sensitivity controls'!F8),12&gt;'DealScope sensitivity controls'!F8,IF('DealScope sensitivity controls'!F8="","",12&gt;'DealScope sensitivity controls'!F8))="",FALSE,IF(ISERROR(12&gt;'DealScope sensitivity controls'!F8),12&gt;'DealScope sensitivity controls'!F8,IF('DealScope sensitivity controls'!F8="","",12&gt;'DealScope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controls'!F8)/'Model inputs'!B21,0),1),IF(IF(IF(ISERROR(12&gt;'DealScope sensitivity controls'!F8),12&gt;'DealScope sensitivity controls'!F8,IF('DealScope sensitivity controls'!F8="","",12&gt;'DealScope sensitivity controls'!F8))="",FALSE,IF(ISERROR(12&gt;'DealScope sensitivity controls'!F8),12&gt;'DealScope sensitivity controls'!F8,IF('DealScope sensitivity controls'!F8="","",12&gt;'DealScope sensitivity controls'!F8))),IF('Model inputs'!B43="","",'Model inputs'!B43),0)))</f>
        <v>97.5</v>
      </c>
      <c r="I51" s="10">
        <f>'DealScope sensitivity compariso'!H51*'DealScope sensitivity compariso'!C51</f>
        <v>585000</v>
      </c>
      <c r="J51" s="10">
        <f>'DealScope sensitivity compariso'!I51*(1-'Model inputs'!B38)-'DealScope sensitivity compariso'!H51*('DealScope sensitivity compariso'!B51*'DealScope sensitivity compariso'!D51+'Model inputs'!B42*'Model inputs'!B41)-SUM('Model inputs'!B76,'Model inputs'!B77)</f>
        <v>515111.5</v>
      </c>
    </row>
    <row r="52" outlineLevel="1">
      <c r="A52" t="inlineStr" s="13">
        <is>
          <t xml:space="preserve">Baseline</t>
        </is>
      </c>
      <c r="B52" s="11">
        <f>IF(IF(IF(ISERROR('DealScope sensitivity controls'!H5=1),'DealScope sensitivity controls'!H5=1,IF('DealScope sensitivity controls'!H5="","",'DealScope sensitivity controls'!H5=1))="",FALSE,IF(ISERROR('DealScope sensitivity controls'!H5=1),'DealScope sensitivity controls'!H5=1,IF('DealScope sensitivity controls'!H5="","",'DealScope sensitivity controls'!H5=1))),'Model inputs'!B6/12*'DealScope sensitivity controls'!G5,IF('DealScope sensitivity controls'!B5="","",'DealScope sensitivity controls'!B5))</f>
        <v>4</v>
      </c>
      <c r="C52" s="10">
        <f>IF(EXACT("Per audit — base","Annual deal-team"),('Model inputs'!B47/12+MAX('DealScope sensitivity compariso'!B52-'Model inputs'!B26/12,0)*'Model inputs'!B34)*(1-'DealScope sensitivity controls'!C5),('Model inputs'!B47/12+'Model inputs'!B11*'DealScope sensitivity compariso'!B52)*(1-'DealScope sensitivity controls'!C5))</f>
        <v>6000</v>
      </c>
      <c r="D52" s="10">
        <f>'Model inputs'!B15*'DealScope sensitivity controls'!E5*'DealScope sensitivity controls'!D5*'Model inputs'!B17+'Model inputs'!B30+'Model inputs'!B39+'Model inputs'!B19</f>
        <v>94.65</v>
      </c>
      <c r="E52" s="10">
        <f>IFERROR('DealScope sensitivity compariso'!C52/'DealScope sensitivity compariso'!B52,"")</f>
        <v>1500</v>
      </c>
      <c r="F52" s="12">
        <f>IFERROR(('DealScope sensitivity compariso'!E52-'DealScope sensitivity compariso'!D52)/'DealScope sensitivity compariso'!E52,"")</f>
        <v>0.9369</v>
      </c>
      <c r="G52" s="12">
        <f>IFERROR(('DealScope sensitivity compariso'!C52*(1-'Model inputs'!B38)-'DealScope sensitivity compariso'!B52*'DealScope sensitivity compariso'!D52-'Model inputs'!B42*'Model inputs'!B41)/'DealScope sensitivity compariso'!C52,"")</f>
        <v>0.9018999999999999</v>
      </c>
      <c r="H52" s="11">
        <f>'Model inputs'!B107+IF(IF(IF(IF(ISERROR('Model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controls'!F5)/'Model inputs'!B21,0),1),IF(IF(IF(ISERROR(11&gt;'DealScope sensitivity controls'!F5),11&gt;'DealScope sensitivity controls'!F5,IF('DealScope sensitivity controls'!F5="","",11&gt;'DealScope sensitivity controls'!F5))="",FALSE,IF(ISERROR(11&gt;'DealScope sensitivity controls'!F5),11&gt;'DealScope sensitivity controls'!F5,IF('DealScope sensitivity controls'!F5="","",11&gt;'DealScope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controls'!F5)/'Model inputs'!B21,0),1),IF(IF(IF(ISERROR(11&gt;'DealScope sensitivity controls'!F5),11&gt;'DealScope sensitivity controls'!F5,IF('DealScope sensitivity controls'!F5="","",11&gt;'DealScope sensitivity controls'!F5))="",FALSE,IF(ISERROR(11&gt;'DealScope sensitivity controls'!F5),11&gt;'DealScope sensitivity controls'!F5,IF('DealScope sensitivity controls'!F5="","",11&gt;'DealScope sensitivity controls'!F5))),IF('Model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controls'!F5)/'Model inputs'!B21,0),1),IF(IF(IF(ISERROR(12&gt;'DealScope sensitivity controls'!F5),12&gt;'DealScope sensitivity controls'!F5,IF('DealScope sensitivity controls'!F5="","",12&gt;'DealScope sensitivity controls'!F5))="",FALSE,IF(ISERROR(12&gt;'DealScope sensitivity controls'!F5),12&gt;'DealScope sensitivity controls'!F5,IF('DealScope sensitivity controls'!F5="","",12&gt;'DealScope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controls'!F5)/'Model inputs'!B21,0),1),IF(IF(IF(ISERROR(12&gt;'DealScope sensitivity controls'!F5),12&gt;'DealScope sensitivity controls'!F5,IF('DealScope sensitivity controls'!F5="","",12&gt;'DealScope sensitivity controls'!F5))="",FALSE,IF(ISERROR(12&gt;'DealScope sensitivity controls'!F5),12&gt;'DealScope sensitivity controls'!F5,IF('DealScope sensitivity controls'!F5="","",12&gt;'DealScope sensitivity controls'!F5))),IF('Model inputs'!B43="","",'Model inputs'!B43),0)))</f>
        <v>97.5</v>
      </c>
      <c r="I52" s="10">
        <f>'DealScope sensitivity compariso'!H52*'DealScope sensitivity compariso'!C52</f>
        <v>585000</v>
      </c>
      <c r="J52" s="10">
        <f>'DealScope sensitivity compariso'!I52*(1-'Model inputs'!B38)-'DealScope sensitivity compariso'!H52*('DealScope sensitivity compariso'!B52*'DealScope sensitivity compariso'!D52+'Model inputs'!B42*'Model inputs'!B41)-SUM('Model inputs'!B76,'Model inputs'!B77)</f>
        <v>515111.5</v>
      </c>
    </row>
    <row r="53" outlineLevel="1">
      <c r="A53" t="inlineStr" s="13">
        <is>
          <t xml:space="preserve">Credit rate $0.05</t>
        </is>
      </c>
      <c r="B53" s="11">
        <f>IF(IF(IF(ISERROR('DealScope sensitivity controls'!H15=1),'DealScope sensitivity controls'!H15=1,IF('DealScope sensitivity controls'!H15="","",'DealScope sensitivity controls'!H15=1))="",FALSE,IF(ISERROR('DealScope sensitivity controls'!H15=1),'DealScope sensitivity controls'!H15=1,IF('DealScope sensitivity controls'!H15="","",'DealScope sensitivity controls'!H15=1))),'Model inputs'!B6/12*'DealScope sensitivity controls'!G15,IF('DealScope sensitivity controls'!B15="","",'DealScope sensitivity controls'!B15))</f>
        <v>4</v>
      </c>
      <c r="C53" s="10">
        <f>IF(EXACT("Per audit — base","Annual deal-team"),('Model inputs'!B47/12+MAX('DealScope sensitivity compariso'!B53-'Model inputs'!B26/12,0)*'Model inputs'!B34)*(1-'DealScope sensitivity controls'!C15),('Model inputs'!B47/12+'Model inputs'!B11*'DealScope sensitivity compariso'!B53)*(1-'DealScope sensitivity controls'!C15))</f>
        <v>6000</v>
      </c>
      <c r="D53" s="10">
        <f>'Model inputs'!B15*'DealScope sensitivity controls'!E15*'DealScope sensitivity controls'!D15*'Model inputs'!B17+'Model inputs'!B30+'Model inputs'!B39+'Model inputs'!B19</f>
        <v>93.35</v>
      </c>
      <c r="E53" s="10">
        <f>IFERROR('DealScope sensitivity compariso'!C53/'DealScope sensitivity compariso'!B53,"")</f>
        <v>1500</v>
      </c>
      <c r="F53" s="12">
        <f>IFERROR(('DealScope sensitivity compariso'!E53-'DealScope sensitivity compariso'!D53)/'DealScope sensitivity compariso'!E53,"")</f>
        <v>0.9377666666666667</v>
      </c>
      <c r="G53" s="12">
        <f>IFERROR(('DealScope sensitivity compariso'!C53*(1-'Model inputs'!B38)-'DealScope sensitivity compariso'!B53*'DealScope sensitivity compariso'!D53-'Model inputs'!B42*'Model inputs'!B41)/'DealScope sensitivity compariso'!C53,"")</f>
        <v>0.9027666666666667</v>
      </c>
      <c r="H53" s="11">
        <f>'Model inputs'!B112+IF(IF(IF(IF(ISERROR('Model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controls'!F15)/'Model inputs'!B21,0),1),IF(IF(IF(ISERROR(11&gt;'DealScope sensitivity controls'!F15),11&gt;'DealScope sensitivity controls'!F15,IF('DealScope sensitivity controls'!F15="","",11&gt;'DealScope sensitivity controls'!F15))="",FALSE,IF(ISERROR(11&gt;'DealScope sensitivity controls'!F15),11&gt;'DealScope sensitivity controls'!F15,IF('DealScope sensitivity controls'!F15="","",11&gt;'DealScope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controls'!F15)/'Model inputs'!B21,0),1),IF(IF(IF(ISERROR(11&gt;'DealScope sensitivity controls'!F15),11&gt;'DealScope sensitivity controls'!F15,IF('DealScope sensitivity controls'!F15="","",11&gt;'DealScope sensitivity controls'!F15))="",FALSE,IF(ISERROR(11&gt;'DealScope sensitivity controls'!F15),11&gt;'DealScope sensitivity controls'!F15,IF('DealScope sensitivity controls'!F15="","",11&gt;'DealScope sensitivity controls'!F15))),IF('Model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controls'!F15)/'Model inputs'!B21,0),1),IF(IF(IF(ISERROR(12&gt;'DealScope sensitivity controls'!F15),12&gt;'DealScope sensitivity controls'!F15,IF('DealScope sensitivity controls'!F15="","",12&gt;'DealScope sensitivity controls'!F15))="",FALSE,IF(ISERROR(12&gt;'DealScope sensitivity controls'!F15),12&gt;'DealScope sensitivity controls'!F15,IF('DealScope sensitivity controls'!F15="","",12&gt;'DealScope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controls'!F15)/'Model inputs'!B21,0),1),IF(IF(IF(ISERROR(12&gt;'DealScope sensitivity controls'!F15),12&gt;'DealScope sensitivity controls'!F15,IF('DealScope sensitivity controls'!F15="","",12&gt;'DealScope sensitivity controls'!F15))="",FALSE,IF(ISERROR(12&gt;'DealScope sensitivity controls'!F15),12&gt;'DealScope sensitivity controls'!F15,IF('DealScope sensitivity controls'!F15="","",12&gt;'DealScope sensitivity controls'!F15))),IF('Model inputs'!B43="","",'Model inputs'!B43),0)))</f>
        <v>97.5</v>
      </c>
      <c r="I53" s="10">
        <f>'DealScope sensitivity compariso'!H53*'DealScope sensitivity compariso'!C53</f>
        <v>585000</v>
      </c>
      <c r="J53" s="10">
        <f>'DealScope sensitivity compariso'!I53*(1-'Model inputs'!B38)-'DealScope sensitivity compariso'!H53*('DealScope sensitivity compariso'!B53*'DealScope sensitivity compariso'!D53+'Model inputs'!B42*'Model inputs'!B41)-SUM('Model inputs'!B76,'Model inputs'!B77)</f>
        <v>515618.5</v>
      </c>
    </row>
    <row r="54" outlineLevel="1">
      <c r="A54" t="inlineStr" s="13">
        <is>
          <t xml:space="preserve">Credit rate $0.10</t>
        </is>
      </c>
      <c r="B54" s="11">
        <f>IF(IF(IF(ISERROR('DealScope sensitivity controls'!H16=1),'DealScope sensitivity controls'!H16=1,IF('DealScope sensitivity controls'!H16="","",'DealScope sensitivity controls'!H16=1))="",FALSE,IF(ISERROR('DealScope sensitivity controls'!H16=1),'DealScope sensitivity controls'!H16=1,IF('DealScope sensitivity controls'!H16="","",'DealScope sensitivity controls'!H16=1))),'Model inputs'!B6/12*'DealScope sensitivity controls'!G16,IF('DealScope sensitivity controls'!B16="","",'DealScope sensitivity controls'!B16))</f>
        <v>4</v>
      </c>
      <c r="C54" s="10">
        <f>IF(EXACT("Per audit — base","Annual deal-team"),('Model inputs'!B47/12+MAX('DealScope sensitivity compariso'!B54-'Model inputs'!B26/12,0)*'Model inputs'!B34)*(1-'DealScope sensitivity controls'!C16),('Model inputs'!B47/12+'Model inputs'!B11*'DealScope sensitivity compariso'!B54)*(1-'DealScope sensitivity controls'!C16))</f>
        <v>6000</v>
      </c>
      <c r="D54" s="10">
        <f>'Model inputs'!B15*'DealScope sensitivity controls'!E16*'DealScope sensitivity controls'!D16*'Model inputs'!B17+'Model inputs'!B30+'Model inputs'!B39+'Model inputs'!B19</f>
        <v>94.65</v>
      </c>
      <c r="E54" s="10">
        <f>IFERROR('DealScope sensitivity compariso'!C54/'DealScope sensitivity compariso'!B54,"")</f>
        <v>1500</v>
      </c>
      <c r="F54" s="12">
        <f>IFERROR(('DealScope sensitivity compariso'!E54-'DealScope sensitivity compariso'!D54)/'DealScope sensitivity compariso'!E54,"")</f>
        <v>0.9369</v>
      </c>
      <c r="G54" s="12">
        <f>IFERROR(('DealScope sensitivity compariso'!C54*(1-'Model inputs'!B38)-'DealScope sensitivity compariso'!B54*'DealScope sensitivity compariso'!D54-'Model inputs'!B42*'Model inputs'!B41)/'DealScope sensitivity compariso'!C54,"")</f>
        <v>0.9018999999999999</v>
      </c>
      <c r="H54" s="11">
        <f>'Model inputs'!B117+IF(IF(IF(IF(ISERROR('Model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controls'!F16)/'Model inputs'!B21,0),1),IF(IF(IF(ISERROR(11&gt;'DealScope sensitivity controls'!F16),11&gt;'DealScope sensitivity controls'!F16,IF('DealScope sensitivity controls'!F16="","",11&gt;'DealScope sensitivity controls'!F16))="",FALSE,IF(ISERROR(11&gt;'DealScope sensitivity controls'!F16),11&gt;'DealScope sensitivity controls'!F16,IF('DealScope sensitivity controls'!F16="","",11&gt;'DealScope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controls'!F16)/'Model inputs'!B21,0),1),IF(IF(IF(ISERROR(11&gt;'DealScope sensitivity controls'!F16),11&gt;'DealScope sensitivity controls'!F16,IF('DealScope sensitivity controls'!F16="","",11&gt;'DealScope sensitivity controls'!F16))="",FALSE,IF(ISERROR(11&gt;'DealScope sensitivity controls'!F16),11&gt;'DealScope sensitivity controls'!F16,IF('DealScope sensitivity controls'!F16="","",11&gt;'DealScope sensitivity controls'!F16))),IF('Model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controls'!F16)/'Model inputs'!B21,0),1),IF(IF(IF(ISERROR(12&gt;'DealScope sensitivity controls'!F16),12&gt;'DealScope sensitivity controls'!F16,IF('DealScope sensitivity controls'!F16="","",12&gt;'DealScope sensitivity controls'!F16))="",FALSE,IF(ISERROR(12&gt;'DealScope sensitivity controls'!F16),12&gt;'DealScope sensitivity controls'!F16,IF('DealScope sensitivity controls'!F16="","",12&gt;'DealScope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controls'!F16)/'Model inputs'!B21,0),1),IF(IF(IF(ISERROR(12&gt;'DealScope sensitivity controls'!F16),12&gt;'DealScope sensitivity controls'!F16,IF('DealScope sensitivity controls'!F16="","",12&gt;'DealScope sensitivity controls'!F16))="",FALSE,IF(ISERROR(12&gt;'DealScope sensitivity controls'!F16),12&gt;'DealScope sensitivity controls'!F16,IF('DealScope sensitivity controls'!F16="","",12&gt;'DealScope sensitivity controls'!F16))),IF('Model inputs'!B43="","",'Model inputs'!B43),0)))</f>
        <v>97.5</v>
      </c>
      <c r="I54" s="10">
        <f>'DealScope sensitivity compariso'!H54*'DealScope sensitivity compariso'!C54</f>
        <v>585000</v>
      </c>
      <c r="J54" s="10">
        <f>'DealScope sensitivity compariso'!I54*(1-'Model inputs'!B38)-'DealScope sensitivity compariso'!H54*('DealScope sensitivity compariso'!B54*'DealScope sensitivity compariso'!D54+'Model inputs'!B42*'Model inputs'!B41)-SUM('Model inputs'!B76,'Model inputs'!B77)</f>
        <v>515111.5</v>
      </c>
    </row>
    <row r="55" outlineLevel="1">
      <c r="A55" t="inlineStr" s="13">
        <is>
          <t xml:space="preserve">Credit rate $0.25</t>
        </is>
      </c>
      <c r="B55" s="11">
        <f>IF(IF(IF(ISERROR('DealScope sensitivity controls'!H17=1),'DealScope sensitivity controls'!H17=1,IF('DealScope sensitivity controls'!H17="","",'DealScope sensitivity controls'!H17=1))="",FALSE,IF(ISERROR('DealScope sensitivity controls'!H17=1),'DealScope sensitivity controls'!H17=1,IF('DealScope sensitivity controls'!H17="","",'DealScope sensitivity controls'!H17=1))),'Model inputs'!B6/12*'DealScope sensitivity controls'!G17,IF('DealScope sensitivity controls'!B17="","",'DealScope sensitivity controls'!B17))</f>
        <v>4</v>
      </c>
      <c r="C55" s="10">
        <f>IF(EXACT("Per audit — base","Annual deal-team"),('Model inputs'!B47/12+MAX('DealScope sensitivity compariso'!B55-'Model inputs'!B26/12,0)*'Model inputs'!B34)*(1-'DealScope sensitivity controls'!C17),('Model inputs'!B47/12+'Model inputs'!B11*'DealScope sensitivity compariso'!B55)*(1-'DealScope sensitivity controls'!C17))</f>
        <v>6000</v>
      </c>
      <c r="D55" s="10">
        <f>'Model inputs'!B15*'DealScope sensitivity controls'!E17*'DealScope sensitivity controls'!D17*'Model inputs'!B17+'Model inputs'!B30+'Model inputs'!B39+'Model inputs'!B19</f>
        <v>98.55</v>
      </c>
      <c r="E55" s="10">
        <f>IFERROR('DealScope sensitivity compariso'!C55/'DealScope sensitivity compariso'!B55,"")</f>
        <v>1500</v>
      </c>
      <c r="F55" s="12">
        <f>IFERROR(('DealScope sensitivity compariso'!E55-'DealScope sensitivity compariso'!D55)/'DealScope sensitivity compariso'!E55,"")</f>
        <v>0.9343</v>
      </c>
      <c r="G55" s="12">
        <f>IFERROR(('DealScope sensitivity compariso'!C55*(1-'Model inputs'!B38)-'DealScope sensitivity compariso'!B55*'DealScope sensitivity compariso'!D55-'Model inputs'!B42*'Model inputs'!B41)/'DealScope sensitivity compariso'!C55,"")</f>
        <v>0.8993</v>
      </c>
      <c r="H55" s="11">
        <f>'Model inputs'!B122+IF(IF(IF(IF(ISERROR('Model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controls'!F17)/'Model inputs'!B21,0),1),IF(IF(IF(ISERROR(11&gt;'DealScope sensitivity controls'!F17),11&gt;'DealScope sensitivity controls'!F17,IF('DealScope sensitivity controls'!F17="","",11&gt;'DealScope sensitivity controls'!F17))="",FALSE,IF(ISERROR(11&gt;'DealScope sensitivity controls'!F17),11&gt;'DealScope sensitivity controls'!F17,IF('DealScope sensitivity controls'!F17="","",11&gt;'DealScope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controls'!F17)/'Model inputs'!B21,0),1),IF(IF(IF(ISERROR(11&gt;'DealScope sensitivity controls'!F17),11&gt;'DealScope sensitivity controls'!F17,IF('DealScope sensitivity controls'!F17="","",11&gt;'DealScope sensitivity controls'!F17))="",FALSE,IF(ISERROR(11&gt;'DealScope sensitivity controls'!F17),11&gt;'DealScope sensitivity controls'!F17,IF('DealScope sensitivity controls'!F17="","",11&gt;'DealScope sensitivity controls'!F17))),IF('Model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controls'!F17)/'Model inputs'!B21,0),1),IF(IF(IF(ISERROR(12&gt;'DealScope sensitivity controls'!F17),12&gt;'DealScope sensitivity controls'!F17,IF('DealScope sensitivity controls'!F17="","",12&gt;'DealScope sensitivity controls'!F17))="",FALSE,IF(ISERROR(12&gt;'DealScope sensitivity controls'!F17),12&gt;'DealScope sensitivity controls'!F17,IF('DealScope sensitivity controls'!F17="","",12&gt;'DealScope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controls'!F17)/'Model inputs'!B21,0),1),IF(IF(IF(ISERROR(12&gt;'DealScope sensitivity controls'!F17),12&gt;'DealScope sensitivity controls'!F17,IF('DealScope sensitivity controls'!F17="","",12&gt;'DealScope sensitivity controls'!F17))="",FALSE,IF(ISERROR(12&gt;'DealScope sensitivity controls'!F17),12&gt;'DealScope sensitivity controls'!F17,IF('DealScope sensitivity controls'!F17="","",12&gt;'DealScope sensitivity controls'!F17))),IF('Model inputs'!B43="","",'Model inputs'!B43),0)))</f>
        <v>97.5</v>
      </c>
      <c r="I55" s="10">
        <f>'DealScope sensitivity compariso'!H55*'DealScope sensitivity compariso'!C55</f>
        <v>585000</v>
      </c>
      <c r="J55" s="10">
        <f>'DealScope sensitivity compariso'!I55*(1-'Model inputs'!B38)-'DealScope sensitivity compariso'!H55*('DealScope sensitivity compariso'!B55*'DealScope sensitivity compariso'!D55+'Model inputs'!B42*'Model inputs'!B41)-SUM('Model inputs'!B76,'Model inputs'!B77)</f>
        <v>513590.5</v>
      </c>
    </row>
    <row r="56" outlineLevel="1">
      <c r="A56" t="inlineStr" s="13">
        <is>
          <t xml:space="preserve">Data cost x1</t>
        </is>
      </c>
      <c r="B56" s="11">
        <f>IF(IF(IF(ISERROR('DealScope sensitivity controls'!H12=1),'DealScope sensitivity controls'!H12=1,IF('DealScope sensitivity controls'!H12="","",'DealScope sensitivity controls'!H12=1))="",FALSE,IF(ISERROR('DealScope sensitivity controls'!H12=1),'DealScope sensitivity controls'!H12=1,IF('DealScope sensitivity controls'!H12="","",'DealScope sensitivity controls'!H12=1))),'Model inputs'!B6/12*'DealScope sensitivity controls'!G12,IF('DealScope sensitivity controls'!B12="","",'DealScope sensitivity controls'!B12))</f>
        <v>4</v>
      </c>
      <c r="C56" s="10">
        <f>IF(EXACT("Per audit — base","Annual deal-team"),('Model inputs'!B47/12+MAX('DealScope sensitivity compariso'!B56-'Model inputs'!B26/12,0)*'Model inputs'!B34)*(1-'DealScope sensitivity controls'!C12),('Model inputs'!B47/12+'Model inputs'!B11*'DealScope sensitivity compariso'!B56)*(1-'DealScope sensitivity controls'!C12))</f>
        <v>6000</v>
      </c>
      <c r="D56" s="10">
        <f>'Model inputs'!B15*'DealScope sensitivity controls'!E12*'DealScope sensitivity controls'!D12*'Model inputs'!B17+'Model inputs'!B30+'Model inputs'!B39+'Model inputs'!B19</f>
        <v>94.65</v>
      </c>
      <c r="E56" s="10">
        <f>IFERROR('DealScope sensitivity compariso'!C56/'DealScope sensitivity compariso'!B56,"")</f>
        <v>1500</v>
      </c>
      <c r="F56" s="12">
        <f>IFERROR(('DealScope sensitivity compariso'!E56-'DealScope sensitivity compariso'!D56)/'DealScope sensitivity compariso'!E56,"")</f>
        <v>0.9369</v>
      </c>
      <c r="G56" s="12">
        <f>IFERROR(('DealScope sensitivity compariso'!C56*(1-'Model inputs'!B38)-'DealScope sensitivity compariso'!B56*'DealScope sensitivity compariso'!D56-'Model inputs'!B42*'Model inputs'!B41)/'DealScope sensitivity compariso'!C56,"")</f>
        <v>0.9018999999999999</v>
      </c>
      <c r="H56" s="11">
        <f>'Model inputs'!B127+IF(IF(IF(IF(ISERROR('Model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controls'!F12)/'Model inputs'!B21,0),1),IF(IF(IF(ISERROR(11&gt;'DealScope sensitivity controls'!F12),11&gt;'DealScope sensitivity controls'!F12,IF('DealScope sensitivity controls'!F12="","",11&gt;'DealScope sensitivity controls'!F12))="",FALSE,IF(ISERROR(11&gt;'DealScope sensitivity controls'!F12),11&gt;'DealScope sensitivity controls'!F12,IF('DealScope sensitivity controls'!F12="","",11&gt;'DealScope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controls'!F12)/'Model inputs'!B21,0),1),IF(IF(IF(ISERROR(11&gt;'DealScope sensitivity controls'!F12),11&gt;'DealScope sensitivity controls'!F12,IF('DealScope sensitivity controls'!F12="","",11&gt;'DealScope sensitivity controls'!F12))="",FALSE,IF(ISERROR(11&gt;'DealScope sensitivity controls'!F12),11&gt;'DealScope sensitivity controls'!F12,IF('DealScope sensitivity controls'!F12="","",11&gt;'DealScope sensitivity controls'!F12))),IF('Model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controls'!F12)/'Model inputs'!B21,0),1),IF(IF(IF(ISERROR(12&gt;'DealScope sensitivity controls'!F12),12&gt;'DealScope sensitivity controls'!F12,IF('DealScope sensitivity controls'!F12="","",12&gt;'DealScope sensitivity controls'!F12))="",FALSE,IF(ISERROR(12&gt;'DealScope sensitivity controls'!F12),12&gt;'DealScope sensitivity controls'!F12,IF('DealScope sensitivity controls'!F12="","",12&gt;'DealScope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controls'!F12)/'Model inputs'!B21,0),1),IF(IF(IF(ISERROR(12&gt;'DealScope sensitivity controls'!F12),12&gt;'DealScope sensitivity controls'!F12,IF('DealScope sensitivity controls'!F12="","",12&gt;'DealScope sensitivity controls'!F12))="",FALSE,IF(ISERROR(12&gt;'DealScope sensitivity controls'!F12),12&gt;'DealScope sensitivity controls'!F12,IF('DealScope sensitivity controls'!F12="","",12&gt;'DealScope sensitivity controls'!F12))),IF('Model inputs'!B43="","",'Model inputs'!B43),0)))</f>
        <v>97.5</v>
      </c>
      <c r="I56" s="10">
        <f>'DealScope sensitivity compariso'!H56*'DealScope sensitivity compariso'!C56</f>
        <v>585000</v>
      </c>
      <c r="J56" s="10">
        <f>'DealScope sensitivity compariso'!I56*(1-'Model inputs'!B38)-'DealScope sensitivity compariso'!H56*('DealScope sensitivity compariso'!B56*'DealScope sensitivity compariso'!D56+'Model inputs'!B42*'Model inputs'!B41)-SUM('Model inputs'!B76,'Model inputs'!B77)</f>
        <v>515111.5</v>
      </c>
    </row>
    <row r="57" outlineLevel="1">
      <c r="A57" t="inlineStr" s="13">
        <is>
          <t xml:space="preserve">Data cost x2</t>
        </is>
      </c>
      <c r="B57" s="11">
        <f>IF(IF(IF(ISERROR('DealScope sensitivity controls'!H13=1),'DealScope sensitivity controls'!H13=1,IF('DealScope sensitivity controls'!H13="","",'DealScope sensitivity controls'!H13=1))="",FALSE,IF(ISERROR('DealScope sensitivity controls'!H13=1),'DealScope sensitivity controls'!H13=1,IF('DealScope sensitivity controls'!H13="","",'DealScope sensitivity controls'!H13=1))),'Model inputs'!B6/12*'DealScope sensitivity controls'!G13,IF('DealScope sensitivity controls'!B13="","",'DealScope sensitivity controls'!B13))</f>
        <v>4</v>
      </c>
      <c r="C57" s="10">
        <f>IF(EXACT("Per audit — base","Annual deal-team"),('Model inputs'!B47/12+MAX('DealScope sensitivity compariso'!B57-'Model inputs'!B26/12,0)*'Model inputs'!B34)*(1-'DealScope sensitivity controls'!C13),('Model inputs'!B47/12+'Model inputs'!B11*'DealScope sensitivity compariso'!B57)*(1-'DealScope sensitivity controls'!C13))</f>
        <v>6000</v>
      </c>
      <c r="D57" s="10">
        <f>'Model inputs'!B15*'DealScope sensitivity controls'!E13*'DealScope sensitivity controls'!D13*'Model inputs'!B17+'Model inputs'!B30+'Model inputs'!B39+'Model inputs'!B19</f>
        <v>97.25</v>
      </c>
      <c r="E57" s="10">
        <f>IFERROR('DealScope sensitivity compariso'!C57/'DealScope sensitivity compariso'!B57,"")</f>
        <v>1500</v>
      </c>
      <c r="F57" s="12">
        <f>IFERROR(('DealScope sensitivity compariso'!E57-'DealScope sensitivity compariso'!D57)/'DealScope sensitivity compariso'!E57,"")</f>
        <v>0.9351666666666667</v>
      </c>
      <c r="G57" s="12">
        <f>IFERROR(('DealScope sensitivity compariso'!C57*(1-'Model inputs'!B38)-'DealScope sensitivity compariso'!B57*'DealScope sensitivity compariso'!D57-'Model inputs'!B42*'Model inputs'!B41)/'DealScope sensitivity compariso'!C57,"")</f>
        <v>0.9001666666666667</v>
      </c>
      <c r="H57" s="11">
        <f>'Model inputs'!B132+IF(IF(IF(IF(ISERROR('Model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controls'!F13)/'Model inputs'!B21,0),1),IF(IF(IF(ISERROR(11&gt;'DealScope sensitivity controls'!F13),11&gt;'DealScope sensitivity controls'!F13,IF('DealScope sensitivity controls'!F13="","",11&gt;'DealScope sensitivity controls'!F13))="",FALSE,IF(ISERROR(11&gt;'DealScope sensitivity controls'!F13),11&gt;'DealScope sensitivity controls'!F13,IF('DealScope sensitivity controls'!F13="","",11&gt;'DealScope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controls'!F13)/'Model inputs'!B21,0),1),IF(IF(IF(ISERROR(11&gt;'DealScope sensitivity controls'!F13),11&gt;'DealScope sensitivity controls'!F13,IF('DealScope sensitivity controls'!F13="","",11&gt;'DealScope sensitivity controls'!F13))="",FALSE,IF(ISERROR(11&gt;'DealScope sensitivity controls'!F13),11&gt;'DealScope sensitivity controls'!F13,IF('DealScope sensitivity controls'!F13="","",11&gt;'DealScope sensitivity controls'!F13))),IF('Model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controls'!F13)/'Model inputs'!B21,0),1),IF(IF(IF(ISERROR(12&gt;'DealScope sensitivity controls'!F13),12&gt;'DealScope sensitivity controls'!F13,IF('DealScope sensitivity controls'!F13="","",12&gt;'DealScope sensitivity controls'!F13))="",FALSE,IF(ISERROR(12&gt;'DealScope sensitivity controls'!F13),12&gt;'DealScope sensitivity controls'!F13,IF('DealScope sensitivity controls'!F13="","",12&gt;'DealScope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controls'!F13)/'Model inputs'!B21,0),1),IF(IF(IF(ISERROR(12&gt;'DealScope sensitivity controls'!F13),12&gt;'DealScope sensitivity controls'!F13,IF('DealScope sensitivity controls'!F13="","",12&gt;'DealScope sensitivity controls'!F13))="",FALSE,IF(ISERROR(12&gt;'DealScope sensitivity controls'!F13),12&gt;'DealScope sensitivity controls'!F13,IF('DealScope sensitivity controls'!F13="","",12&gt;'DealScope sensitivity controls'!F13))),IF('Model inputs'!B43="","",'Model inputs'!B43),0)))</f>
        <v>97.5</v>
      </c>
      <c r="I57" s="10">
        <f>'DealScope sensitivity compariso'!H57*'DealScope sensitivity compariso'!C57</f>
        <v>585000</v>
      </c>
      <c r="J57" s="10">
        <f>'DealScope sensitivity compariso'!I57*(1-'Model inputs'!B38)-'DealScope sensitivity compariso'!H57*('DealScope sensitivity compariso'!B57*'DealScope sensitivity compariso'!D57+'Model inputs'!B42*'Model inputs'!B41)-SUM('Model inputs'!B76,'Model inputs'!B77)</f>
        <v>514097.5</v>
      </c>
    </row>
    <row r="58" outlineLevel="1">
      <c r="A58" t="inlineStr" s="13">
        <is>
          <t xml:space="preserve">Data cost x3</t>
        </is>
      </c>
      <c r="B58" s="11">
        <f>IF(IF(IF(ISERROR('DealScope sensitivity controls'!H14=1),'DealScope sensitivity controls'!H14=1,IF('DealScope sensitivity controls'!H14="","",'DealScope sensitivity controls'!H14=1))="",FALSE,IF(ISERROR('DealScope sensitivity controls'!H14=1),'DealScope sensitivity controls'!H14=1,IF('DealScope sensitivity controls'!H14="","",'DealScope sensitivity controls'!H14=1))),'Model inputs'!B6/12*'DealScope sensitivity controls'!G14,IF('DealScope sensitivity controls'!B14="","",'DealScope sensitivity controls'!B14))</f>
        <v>4</v>
      </c>
      <c r="C58" s="10">
        <f>IF(EXACT("Per audit — base","Annual deal-team"),('Model inputs'!B47/12+MAX('DealScope sensitivity compariso'!B58-'Model inputs'!B26/12,0)*'Model inputs'!B34)*(1-'DealScope sensitivity controls'!C14),('Model inputs'!B47/12+'Model inputs'!B11*'DealScope sensitivity compariso'!B58)*(1-'DealScope sensitivity controls'!C14))</f>
        <v>6000</v>
      </c>
      <c r="D58" s="10">
        <f>'Model inputs'!B15*'DealScope sensitivity controls'!E14*'DealScope sensitivity controls'!D14*'Model inputs'!B17+'Model inputs'!B30+'Model inputs'!B39+'Model inputs'!B19</f>
        <v>99.85</v>
      </c>
      <c r="E58" s="10">
        <f>IFERROR('DealScope sensitivity compariso'!C58/'DealScope sensitivity compariso'!B58,"")</f>
        <v>1500</v>
      </c>
      <c r="F58" s="12">
        <f>IFERROR(('DealScope sensitivity compariso'!E58-'DealScope sensitivity compariso'!D58)/'DealScope sensitivity compariso'!E58,"")</f>
        <v>0.9334333333333334</v>
      </c>
      <c r="G58" s="12">
        <f>IFERROR(('DealScope sensitivity compariso'!C58*(1-'Model inputs'!B38)-'DealScope sensitivity compariso'!B58*'DealScope sensitivity compariso'!D58-'Model inputs'!B42*'Model inputs'!B41)/'DealScope sensitivity compariso'!C58,"")</f>
        <v>0.8984333333333334</v>
      </c>
      <c r="H58" s="11">
        <f>'Model inputs'!B137+IF(IF(IF(IF(ISERROR('Model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controls'!F14)/'Model inputs'!B21,0),1),IF(IF(IF(ISERROR(11&gt;'DealScope sensitivity controls'!F14),11&gt;'DealScope sensitivity controls'!F14,IF('DealScope sensitivity controls'!F14="","",11&gt;'DealScope sensitivity controls'!F14))="",FALSE,IF(ISERROR(11&gt;'DealScope sensitivity controls'!F14),11&gt;'DealScope sensitivity controls'!F14,IF('DealScope sensitivity controls'!F14="","",11&gt;'DealScope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controls'!F14)/'Model inputs'!B21,0),1),IF(IF(IF(ISERROR(11&gt;'DealScope sensitivity controls'!F14),11&gt;'DealScope sensitivity controls'!F14,IF('DealScope sensitivity controls'!F14="","",11&gt;'DealScope sensitivity controls'!F14))="",FALSE,IF(ISERROR(11&gt;'DealScope sensitivity controls'!F14),11&gt;'DealScope sensitivity controls'!F14,IF('DealScope sensitivity controls'!F14="","",11&gt;'DealScope sensitivity controls'!F14))),IF('Model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controls'!F14)/'Model inputs'!B21,0),1),IF(IF(IF(ISERROR(12&gt;'DealScope sensitivity controls'!F14),12&gt;'DealScope sensitivity controls'!F14,IF('DealScope sensitivity controls'!F14="","",12&gt;'DealScope sensitivity controls'!F14))="",FALSE,IF(ISERROR(12&gt;'DealScope sensitivity controls'!F14),12&gt;'DealScope sensitivity controls'!F14,IF('DealScope sensitivity controls'!F14="","",12&gt;'DealScope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controls'!F14)/'Model inputs'!B21,0),1),IF(IF(IF(ISERROR(12&gt;'DealScope sensitivity controls'!F14),12&gt;'DealScope sensitivity controls'!F14,IF('DealScope sensitivity controls'!F14="","",12&gt;'DealScope sensitivity controls'!F14))="",FALSE,IF(ISERROR(12&gt;'DealScope sensitivity controls'!F14),12&gt;'DealScope sensitivity controls'!F14,IF('DealScope sensitivity controls'!F14="","",12&gt;'DealScope sensitivity controls'!F14))),IF('Model inputs'!B43="","",'Model inputs'!B43),0)))</f>
        <v>97.5</v>
      </c>
      <c r="I58" s="10">
        <f>'DealScope sensitivity compariso'!H58*'DealScope sensitivity compariso'!C58</f>
        <v>585000</v>
      </c>
      <c r="J58" s="10">
        <f>'DealScope sensitivity compariso'!I58*(1-'Model inputs'!B38)-'DealScope sensitivity compariso'!H58*('DealScope sensitivity compariso'!B58*'DealScope sensitivity compariso'!D58+'Model inputs'!B42*'Model inputs'!B41)-SUM('Model inputs'!B76,'Model inputs'!B77)</f>
        <v>513083.5</v>
      </c>
    </row>
    <row r="59" outlineLevel="1">
      <c r="A59" t="inlineStr" s="13">
        <is>
          <t xml:space="preserve">Discount 0%</t>
        </is>
      </c>
      <c r="B59" s="11">
        <f>IF(IF(IF(ISERROR('DealScope sensitivity controls'!H9=1),'DealScope sensitivity controls'!H9=1,IF('DealScope sensitivity controls'!H9="","",'DealScope sensitivity controls'!H9=1))="",FALSE,IF(ISERROR('DealScope sensitivity controls'!H9=1),'DealScope sensitivity controls'!H9=1,IF('DealScope sensitivity controls'!H9="","",'DealScope sensitivity controls'!H9=1))),'Model inputs'!B6/12*'DealScope sensitivity controls'!G9,IF('DealScope sensitivity controls'!B9="","",'DealScope sensitivity controls'!B9))</f>
        <v>4</v>
      </c>
      <c r="C59" s="10">
        <f>IF(EXACT("Per audit — base","Annual deal-team"),('Model inputs'!B47/12+MAX('DealScope sensitivity compariso'!B59-'Model inputs'!B26/12,0)*'Model inputs'!B34)*(1-'DealScope sensitivity controls'!C9),('Model inputs'!B47/12+'Model inputs'!B11*'DealScope sensitivity compariso'!B59)*(1-'DealScope sensitivity controls'!C9))</f>
        <v>6000</v>
      </c>
      <c r="D59" s="10">
        <f>'Model inputs'!B15*'DealScope sensitivity controls'!E9*'DealScope sensitivity controls'!D9*'Model inputs'!B17+'Model inputs'!B30+'Model inputs'!B39+'Model inputs'!B19</f>
        <v>94.65</v>
      </c>
      <c r="E59" s="10">
        <f>IFERROR('DealScope sensitivity compariso'!C59/'DealScope sensitivity compariso'!B59,"")</f>
        <v>1500</v>
      </c>
      <c r="F59" s="12">
        <f>IFERROR(('DealScope sensitivity compariso'!E59-'DealScope sensitivity compariso'!D59)/'DealScope sensitivity compariso'!E59,"")</f>
        <v>0.9369</v>
      </c>
      <c r="G59" s="12">
        <f>IFERROR(('DealScope sensitivity compariso'!C59*(1-'Model inputs'!B38)-'DealScope sensitivity compariso'!B59*'DealScope sensitivity compariso'!D59-'Model inputs'!B42*'Model inputs'!B41)/'DealScope sensitivity compariso'!C59,"")</f>
        <v>0.9018999999999999</v>
      </c>
      <c r="H59" s="11">
        <f>'Model inputs'!B142+IF(IF(IF(IF(ISERROR('Model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controls'!F9)/'Model inputs'!B21,0),1),IF(IF(IF(ISERROR(11&gt;'DealScope sensitivity controls'!F9),11&gt;'DealScope sensitivity controls'!F9,IF('DealScope sensitivity controls'!F9="","",11&gt;'DealScope sensitivity controls'!F9))="",FALSE,IF(ISERROR(11&gt;'DealScope sensitivity controls'!F9),11&gt;'DealScope sensitivity controls'!F9,IF('DealScope sensitivity controls'!F9="","",11&gt;'DealScope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controls'!F9)/'Model inputs'!B21,0),1),IF(IF(IF(ISERROR(11&gt;'DealScope sensitivity controls'!F9),11&gt;'DealScope sensitivity controls'!F9,IF('DealScope sensitivity controls'!F9="","",11&gt;'DealScope sensitivity controls'!F9))="",FALSE,IF(ISERROR(11&gt;'DealScope sensitivity controls'!F9),11&gt;'DealScope sensitivity controls'!F9,IF('DealScope sensitivity controls'!F9="","",11&gt;'DealScope sensitivity controls'!F9))),IF('Model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controls'!F9)/'Model inputs'!B21,0),1),IF(IF(IF(ISERROR(12&gt;'DealScope sensitivity controls'!F9),12&gt;'DealScope sensitivity controls'!F9,IF('DealScope sensitivity controls'!F9="","",12&gt;'DealScope sensitivity controls'!F9))="",FALSE,IF(ISERROR(12&gt;'DealScope sensitivity controls'!F9),12&gt;'DealScope sensitivity controls'!F9,IF('DealScope sensitivity controls'!F9="","",12&gt;'DealScope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controls'!F9)/'Model inputs'!B21,0),1),IF(IF(IF(ISERROR(12&gt;'DealScope sensitivity controls'!F9),12&gt;'DealScope sensitivity controls'!F9,IF('DealScope sensitivity controls'!F9="","",12&gt;'DealScope sensitivity controls'!F9))="",FALSE,IF(ISERROR(12&gt;'DealScope sensitivity controls'!F9),12&gt;'DealScope sensitivity controls'!F9,IF('DealScope sensitivity controls'!F9="","",12&gt;'DealScope sensitivity controls'!F9))),IF('Model inputs'!B43="","",'Model inputs'!B43),0)))</f>
        <v>97.5</v>
      </c>
      <c r="I59" s="10">
        <f>'DealScope sensitivity compariso'!H59*'DealScope sensitivity compariso'!C59</f>
        <v>585000</v>
      </c>
      <c r="J59" s="10">
        <f>'DealScope sensitivity compariso'!I59*(1-'Model inputs'!B38)-'DealScope sensitivity compariso'!H59*('DealScope sensitivity compariso'!B59*'DealScope sensitivity compariso'!D59+'Model inputs'!B42*'Model inputs'!B41)-SUM('Model inputs'!B76,'Model inputs'!B77)</f>
        <v>515111.5</v>
      </c>
    </row>
    <row r="60" outlineLevel="1">
      <c r="A60" t="inlineStr" s="13">
        <is>
          <t xml:space="preserve">Discount 20%</t>
        </is>
      </c>
      <c r="B60" s="11">
        <f>IF(IF(IF(ISERROR('DealScope sensitivity controls'!H10=1),'DealScope sensitivity controls'!H10=1,IF('DealScope sensitivity controls'!H10="","",'DealScope sensitivity controls'!H10=1))="",FALSE,IF(ISERROR('DealScope sensitivity controls'!H10=1),'DealScope sensitivity controls'!H10=1,IF('DealScope sensitivity controls'!H10="","",'DealScope sensitivity controls'!H10=1))),'Model inputs'!B6/12*'DealScope sensitivity controls'!G10,IF('DealScope sensitivity controls'!B10="","",'DealScope sensitivity controls'!B10))</f>
        <v>4</v>
      </c>
      <c r="C60" s="10">
        <f>IF(EXACT("Per audit — base","Annual deal-team"),('Model inputs'!B47/12+MAX('DealScope sensitivity compariso'!B60-'Model inputs'!B26/12,0)*'Model inputs'!B34)*(1-'DealScope sensitivity controls'!C10),('Model inputs'!B47/12+'Model inputs'!B11*'DealScope sensitivity compariso'!B60)*(1-'DealScope sensitivity controls'!C10))</f>
        <v>4800</v>
      </c>
      <c r="D60" s="10">
        <f>'Model inputs'!B15*'DealScope sensitivity controls'!E10*'DealScope sensitivity controls'!D10*'Model inputs'!B17+'Model inputs'!B30+'Model inputs'!B39+'Model inputs'!B19</f>
        <v>94.65</v>
      </c>
      <c r="E60" s="10">
        <f>IFERROR('DealScope sensitivity compariso'!C60/'DealScope sensitivity compariso'!B60,"")</f>
        <v>1200</v>
      </c>
      <c r="F60" s="12">
        <f>IFERROR(('DealScope sensitivity compariso'!E60-'DealScope sensitivity compariso'!D60)/'DealScope sensitivity compariso'!E60,"")</f>
        <v>0.921125</v>
      </c>
      <c r="G60" s="12">
        <f>IFERROR(('DealScope sensitivity compariso'!C60*(1-'Model inputs'!B38)-'DealScope sensitivity compariso'!B60*'DealScope sensitivity compariso'!D60-'Model inputs'!B42*'Model inputs'!B41)/'DealScope sensitivity compariso'!C60,"")</f>
        <v>0.884875</v>
      </c>
      <c r="H60" s="11">
        <f>'Model inputs'!B147+IF(IF(IF(IF(ISERROR('Model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controls'!F10)/'Model inputs'!B21,0),1),IF(IF(IF(ISERROR(11&gt;'DealScope sensitivity controls'!F10),11&gt;'DealScope sensitivity controls'!F10,IF('DealScope sensitivity controls'!F10="","",11&gt;'DealScope sensitivity controls'!F10))="",FALSE,IF(ISERROR(11&gt;'DealScope sensitivity controls'!F10),11&gt;'DealScope sensitivity controls'!F10,IF('DealScope sensitivity controls'!F10="","",11&gt;'DealScope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controls'!F10)/'Model inputs'!B21,0),1),IF(IF(IF(ISERROR(11&gt;'DealScope sensitivity controls'!F10),11&gt;'DealScope sensitivity controls'!F10,IF('DealScope sensitivity controls'!F10="","",11&gt;'DealScope sensitivity controls'!F10))="",FALSE,IF(ISERROR(11&gt;'DealScope sensitivity controls'!F10),11&gt;'DealScope sensitivity controls'!F10,IF('DealScope sensitivity controls'!F10="","",11&gt;'DealScope sensitivity controls'!F10))),IF('Model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controls'!F10)/'Model inputs'!B21,0),1),IF(IF(IF(ISERROR(12&gt;'DealScope sensitivity controls'!F10),12&gt;'DealScope sensitivity controls'!F10,IF('DealScope sensitivity controls'!F10="","",12&gt;'DealScope sensitivity controls'!F10))="",FALSE,IF(ISERROR(12&gt;'DealScope sensitivity controls'!F10),12&gt;'DealScope sensitivity controls'!F10,IF('DealScope sensitivity controls'!F10="","",12&gt;'DealScope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controls'!F10)/'Model inputs'!B21,0),1),IF(IF(IF(ISERROR(12&gt;'DealScope sensitivity controls'!F10),12&gt;'DealScope sensitivity controls'!F10,IF('DealScope sensitivity controls'!F10="","",12&gt;'DealScope sensitivity controls'!F10))="",FALSE,IF(ISERROR(12&gt;'DealScope sensitivity controls'!F10),12&gt;'DealScope sensitivity controls'!F10,IF('DealScope sensitivity controls'!F10="","",12&gt;'DealScope sensitivity controls'!F10))),IF('Model inputs'!B43="","",'Model inputs'!B43),0)))</f>
        <v>97.5</v>
      </c>
      <c r="I60" s="10">
        <f>'DealScope sensitivity compariso'!H60*'DealScope sensitivity compariso'!C60</f>
        <v>468000</v>
      </c>
      <c r="J60" s="10">
        <f>'DealScope sensitivity compariso'!I60*(1-'Model inputs'!B38)-'DealScope sensitivity compariso'!H60*('DealScope sensitivity compariso'!B60*'DealScope sensitivity compariso'!D60+'Model inputs'!B42*'Model inputs'!B41)-SUM('Model inputs'!B76,'Model inputs'!B77)</f>
        <v>401621.5</v>
      </c>
    </row>
    <row r="61" outlineLevel="1">
      <c r="A61" t="inlineStr" s="13">
        <is>
          <t xml:space="preserve">Discount 40%</t>
        </is>
      </c>
      <c r="B61" s="11">
        <f>IF(IF(IF(ISERROR('DealScope sensitivity controls'!H11=1),'DealScope sensitivity controls'!H11=1,IF('DealScope sensitivity controls'!H11="","",'DealScope sensitivity controls'!H11=1))="",FALSE,IF(ISERROR('DealScope sensitivity controls'!H11=1),'DealScope sensitivity controls'!H11=1,IF('DealScope sensitivity controls'!H11="","",'DealScope sensitivity controls'!H11=1))),'Model inputs'!B6/12*'DealScope sensitivity controls'!G11,IF('DealScope sensitivity controls'!B11="","",'DealScope sensitivity controls'!B11))</f>
        <v>4</v>
      </c>
      <c r="C61" s="10">
        <f>IF(EXACT("Per audit — base","Annual deal-team"),('Model inputs'!B47/12+MAX('DealScope sensitivity compariso'!B61-'Model inputs'!B26/12,0)*'Model inputs'!B34)*(1-'DealScope sensitivity controls'!C11),('Model inputs'!B47/12+'Model inputs'!B11*'DealScope sensitivity compariso'!B61)*(1-'DealScope sensitivity controls'!C11))</f>
        <v>3600</v>
      </c>
      <c r="D61" s="10">
        <f>'Model inputs'!B15*'DealScope sensitivity controls'!E11*'DealScope sensitivity controls'!D11*'Model inputs'!B17+'Model inputs'!B30+'Model inputs'!B39+'Model inputs'!B19</f>
        <v>94.65</v>
      </c>
      <c r="E61" s="10">
        <f>IFERROR('DealScope sensitivity compariso'!C61/'DealScope sensitivity compariso'!B61,"")</f>
        <v>900</v>
      </c>
      <c r="F61" s="12">
        <f>IFERROR(('DealScope sensitivity compariso'!E61-'DealScope sensitivity compariso'!D61)/'DealScope sensitivity compariso'!E61,"")</f>
        <v>0.8948333333333334</v>
      </c>
      <c r="G61" s="12">
        <f>IFERROR(('DealScope sensitivity compariso'!C61*(1-'Model inputs'!B38)-'DealScope sensitivity compariso'!B61*'DealScope sensitivity compariso'!D61-'Model inputs'!B42*'Model inputs'!B41)/'DealScope sensitivity compariso'!C61,"")</f>
        <v>0.8565</v>
      </c>
      <c r="H61" s="11">
        <f>'Model inputs'!B152+IF(IF(IF(IF(ISERROR('Model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controls'!F11)/'Model inputs'!B21,0),1),IF(IF(IF(ISERROR(11&gt;'DealScope sensitivity controls'!F11),11&gt;'DealScope sensitivity controls'!F11,IF('DealScope sensitivity controls'!F11="","",11&gt;'DealScope sensitivity controls'!F11))="",FALSE,IF(ISERROR(11&gt;'DealScope sensitivity controls'!F11),11&gt;'DealScope sensitivity controls'!F11,IF('DealScope sensitivity controls'!F11="","",11&gt;'DealScope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controls'!F11)/'Model inputs'!B21,0),1),IF(IF(IF(ISERROR(11&gt;'DealScope sensitivity controls'!F11),11&gt;'DealScope sensitivity controls'!F11,IF('DealScope sensitivity controls'!F11="","",11&gt;'DealScope sensitivity controls'!F11))="",FALSE,IF(ISERROR(11&gt;'DealScope sensitivity controls'!F11),11&gt;'DealScope sensitivity controls'!F11,IF('DealScope sensitivity controls'!F11="","",11&gt;'DealScope sensitivity controls'!F11))),IF('Model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controls'!F11)/'Model inputs'!B21,0),1),IF(IF(IF(ISERROR(12&gt;'DealScope sensitivity controls'!F11),12&gt;'DealScope sensitivity controls'!F11,IF('DealScope sensitivity controls'!F11="","",12&gt;'DealScope sensitivity controls'!F11))="",FALSE,IF(ISERROR(12&gt;'DealScope sensitivity controls'!F11),12&gt;'DealScope sensitivity controls'!F11,IF('DealScope sensitivity controls'!F11="","",12&gt;'DealScope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controls'!F11)/'Model inputs'!B21,0),1),IF(IF(IF(ISERROR(12&gt;'DealScope sensitivity controls'!F11),12&gt;'DealScope sensitivity controls'!F11,IF('DealScope sensitivity controls'!F11="","",12&gt;'DealScope sensitivity controls'!F11))="",FALSE,IF(ISERROR(12&gt;'DealScope sensitivity controls'!F11),12&gt;'DealScope sensitivity controls'!F11,IF('DealScope sensitivity controls'!F11="","",12&gt;'DealScope sensitivity controls'!F11))),IF('Model inputs'!B43="","",'Model inputs'!B43),0)))</f>
        <v>97.5</v>
      </c>
      <c r="I61" s="10">
        <f>'DealScope sensitivity compariso'!H61*'DealScope sensitivity compariso'!C61</f>
        <v>351000</v>
      </c>
      <c r="J61" s="10">
        <f>'DealScope sensitivity compariso'!I61*(1-'Model inputs'!B38)-'DealScope sensitivity compariso'!H61*('DealScope sensitivity compariso'!B61*'DealScope sensitivity compariso'!D61+'Model inputs'!B42*'Model inputs'!B41)-SUM('Model inputs'!B76,'Model inputs'!B77)</f>
        <v>288131.5</v>
      </c>
    </row>
    <row r="62" outlineLevel="1">
      <c r="A62" t="inlineStr" s="13">
        <is>
          <t xml:space="preserve">Sales delay 0 months</t>
        </is>
      </c>
      <c r="B62" s="11">
        <f>IF(IF(IF(ISERROR('DealScope sensitivity controls'!H18=1),'DealScope sensitivity controls'!H18=1,IF('DealScope sensitivity controls'!H18="","",'DealScope sensitivity controls'!H18=1))="",FALSE,IF(ISERROR('DealScope sensitivity controls'!H18=1),'DealScope sensitivity controls'!H18=1,IF('DealScope sensitivity controls'!H18="","",'DealScope sensitivity controls'!H18=1))),'Model inputs'!B6/12*'DealScope sensitivity controls'!G18,IF('DealScope sensitivity controls'!B18="","",'DealScope sensitivity controls'!B18))</f>
        <v>4</v>
      </c>
      <c r="C62" s="10">
        <f>IF(EXACT("Per audit — base","Annual deal-team"),('Model inputs'!B47/12+MAX('DealScope sensitivity compariso'!B62-'Model inputs'!B26/12,0)*'Model inputs'!B34)*(1-'DealScope sensitivity controls'!C18),('Model inputs'!B47/12+'Model inputs'!B11*'DealScope sensitivity compariso'!B62)*(1-'DealScope sensitivity controls'!C18))</f>
        <v>6000</v>
      </c>
      <c r="D62" s="10">
        <f>'Model inputs'!B15*'DealScope sensitivity controls'!E18*'DealScope sensitivity controls'!D18*'Model inputs'!B17+'Model inputs'!B30+'Model inputs'!B39+'Model inputs'!B19</f>
        <v>94.65</v>
      </c>
      <c r="E62" s="10">
        <f>IFERROR('DealScope sensitivity compariso'!C62/'DealScope sensitivity compariso'!B62,"")</f>
        <v>1500</v>
      </c>
      <c r="F62" s="12">
        <f>IFERROR(('DealScope sensitivity compariso'!E62-'DealScope sensitivity compariso'!D62)/'DealScope sensitivity compariso'!E62,"")</f>
        <v>0.9369</v>
      </c>
      <c r="G62" s="12">
        <f>IFERROR(('DealScope sensitivity compariso'!C62*(1-'Model inputs'!B38)-'DealScope sensitivity compariso'!B62*'DealScope sensitivity compariso'!D62-'Model inputs'!B42*'Model inputs'!B41)/'DealScope sensitivity compariso'!C62,"")</f>
        <v>0.9018999999999999</v>
      </c>
      <c r="H62" s="11">
        <f>'Model inputs'!B157+IF(IF(IF(IF(ISERROR('Model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controls'!F18)/'Model inputs'!B21,0),1),IF(IF(IF(ISERROR(11&gt;'DealScope sensitivity controls'!F18),11&gt;'DealScope sensitivity controls'!F18,IF('DealScope sensitivity controls'!F18="","",11&gt;'DealScope sensitivity controls'!F18))="",FALSE,IF(ISERROR(11&gt;'DealScope sensitivity controls'!F18),11&gt;'DealScope sensitivity controls'!F18,IF('DealScope sensitivity controls'!F18="","",11&gt;'DealScope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controls'!F18)/'Model inputs'!B21,0),1),IF(IF(IF(ISERROR(11&gt;'DealScope sensitivity controls'!F18),11&gt;'DealScope sensitivity controls'!F18,IF('DealScope sensitivity controls'!F18="","",11&gt;'DealScope sensitivity controls'!F18))="",FALSE,IF(ISERROR(11&gt;'DealScope sensitivity controls'!F18),11&gt;'DealScope sensitivity controls'!F18,IF('DealScope sensitivity controls'!F18="","",11&gt;'DealScope sensitivity controls'!F18))),IF('Model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controls'!F18)/'Model inputs'!B21,0),1),IF(IF(IF(ISERROR(12&gt;'DealScope sensitivity controls'!F18),12&gt;'DealScope sensitivity controls'!F18,IF('DealScope sensitivity controls'!F18="","",12&gt;'DealScope sensitivity controls'!F18))="",FALSE,IF(ISERROR(12&gt;'DealScope sensitivity controls'!F18),12&gt;'DealScope sensitivity controls'!F18,IF('DealScope sensitivity controls'!F18="","",12&gt;'DealScope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controls'!F18)/'Model inputs'!B21,0),1),IF(IF(IF(ISERROR(12&gt;'DealScope sensitivity controls'!F18),12&gt;'DealScope sensitivity controls'!F18,IF('DealScope sensitivity controls'!F18="","",12&gt;'DealScope sensitivity controls'!F18))="",FALSE,IF(ISERROR(12&gt;'DealScope sensitivity controls'!F18),12&gt;'DealScope sensitivity controls'!F18,IF('DealScope sensitivity controls'!F18="","",12&gt;'DealScope sensitivity controls'!F18))),IF('Model inputs'!B43="","",'Model inputs'!B43),0)))</f>
        <v>97.5</v>
      </c>
      <c r="I62" s="10">
        <f>'DealScope sensitivity compariso'!H62*'DealScope sensitivity compariso'!C62</f>
        <v>585000</v>
      </c>
      <c r="J62" s="10">
        <f>'DealScope sensitivity compariso'!I62*(1-'Model inputs'!B38)-'DealScope sensitivity compariso'!H62*('DealScope sensitivity compariso'!B62*'DealScope sensitivity compariso'!D62+'Model inputs'!B42*'Model inputs'!B41)-SUM('Model inputs'!B76,'Model inputs'!B77)</f>
        <v>515111.5</v>
      </c>
    </row>
    <row r="63" outlineLevel="1">
      <c r="A63" t="inlineStr" s="13">
        <is>
          <t xml:space="preserve">Sales delay 2 months</t>
        </is>
      </c>
      <c r="B63" s="11">
        <f>IF(IF(IF(ISERROR('DealScope sensitivity controls'!H19=1),'DealScope sensitivity controls'!H19=1,IF('DealScope sensitivity controls'!H19="","",'DealScope sensitivity controls'!H19=1))="",FALSE,IF(ISERROR('DealScope sensitivity controls'!H19=1),'DealScope sensitivity controls'!H19=1,IF('DealScope sensitivity controls'!H19="","",'DealScope sensitivity controls'!H19=1))),'Model inputs'!B6/12*'DealScope sensitivity controls'!G19,IF('DealScope sensitivity controls'!B19="","",'DealScope sensitivity controls'!B19))</f>
        <v>4</v>
      </c>
      <c r="C63" s="10">
        <f>IF(EXACT("Per audit — base","Annual deal-team"),('Model inputs'!B47/12+MAX('DealScope sensitivity compariso'!B63-'Model inputs'!B26/12,0)*'Model inputs'!B34)*(1-'DealScope sensitivity controls'!C19),('Model inputs'!B47/12+'Model inputs'!B11*'DealScope sensitivity compariso'!B63)*(1-'DealScope sensitivity controls'!C19))</f>
        <v>6000</v>
      </c>
      <c r="D63" s="10">
        <f>'Model inputs'!B15*'DealScope sensitivity controls'!E19*'DealScope sensitivity controls'!D19*'Model inputs'!B17+'Model inputs'!B30+'Model inputs'!B39+'Model inputs'!B19</f>
        <v>94.65</v>
      </c>
      <c r="E63" s="10">
        <f>IFERROR('DealScope sensitivity compariso'!C63/'DealScope sensitivity compariso'!B63,"")</f>
        <v>1500</v>
      </c>
      <c r="F63" s="12">
        <f>IFERROR(('DealScope sensitivity compariso'!E63-'DealScope sensitivity compariso'!D63)/'DealScope sensitivity compariso'!E63,"")</f>
        <v>0.9369</v>
      </c>
      <c r="G63" s="12">
        <f>IFERROR(('DealScope sensitivity compariso'!C63*(1-'Model inputs'!B38)-'DealScope sensitivity compariso'!B63*'DealScope sensitivity compariso'!D63-'Model inputs'!B42*'Model inputs'!B41)/'DealScope sensitivity compariso'!C63,"")</f>
        <v>0.9018999999999999</v>
      </c>
      <c r="H63" s="11">
        <f>'Model inputs'!B162+IF(IF(IF(IF(ISERROR('Model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controls'!F19)/'Model inputs'!B21,0),1),IF(IF(IF(ISERROR(11&gt;'DealScope sensitivity controls'!F19),11&gt;'DealScope sensitivity controls'!F19,IF('DealScope sensitivity controls'!F19="","",11&gt;'DealScope sensitivity controls'!F19))="",FALSE,IF(ISERROR(11&gt;'DealScope sensitivity controls'!F19),11&gt;'DealScope sensitivity controls'!F19,IF('DealScope sensitivity controls'!F19="","",11&gt;'DealScope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controls'!F19)/'Model inputs'!B21,0),1),IF(IF(IF(ISERROR(11&gt;'DealScope sensitivity controls'!F19),11&gt;'DealScope sensitivity controls'!F19,IF('DealScope sensitivity controls'!F19="","",11&gt;'DealScope sensitivity controls'!F19))="",FALSE,IF(ISERROR(11&gt;'DealScope sensitivity controls'!F19),11&gt;'DealScope sensitivity controls'!F19,IF('DealScope sensitivity controls'!F19="","",11&gt;'DealScope sensitivity controls'!F19))),IF('Model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controls'!F19)/'Model inputs'!B21,0),1),IF(IF(IF(ISERROR(12&gt;'DealScope sensitivity controls'!F19),12&gt;'DealScope sensitivity controls'!F19,IF('DealScope sensitivity controls'!F19="","",12&gt;'DealScope sensitivity controls'!F19))="",FALSE,IF(ISERROR(12&gt;'DealScope sensitivity controls'!F19),12&gt;'DealScope sensitivity controls'!F19,IF('DealScope sensitivity controls'!F19="","",12&gt;'DealScope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controls'!F19)/'Model inputs'!B21,0),1),IF(IF(IF(ISERROR(12&gt;'DealScope sensitivity controls'!F19),12&gt;'DealScope sensitivity controls'!F19,IF('DealScope sensitivity controls'!F19="","",12&gt;'DealScope sensitivity controls'!F19))="",FALSE,IF(ISERROR(12&gt;'DealScope sensitivity controls'!F19),12&gt;'DealScope sensitivity controls'!F19,IF('DealScope sensitivity controls'!F19="","",12&gt;'DealScope sensitivity controls'!F19))),IF('Model inputs'!B43="","",'Model inputs'!B43),0)))</f>
        <v>68.75</v>
      </c>
      <c r="I63" s="10">
        <f>'DealScope sensitivity compariso'!H63*'DealScope sensitivity compariso'!C63</f>
        <v>412500</v>
      </c>
      <c r="J63" s="10">
        <f>'DealScope sensitivity compariso'!I63*(1-'Model inputs'!B38)-'DealScope sensitivity compariso'!H63*('DealScope sensitivity compariso'!B63*'DealScope sensitivity compariso'!D63+'Model inputs'!B42*'Model inputs'!B41)-SUM('Model inputs'!B76,'Model inputs'!B77)</f>
        <v>359533.75</v>
      </c>
    </row>
    <row r="64" outlineLevel="1">
      <c r="A64" t="inlineStr" s="13">
        <is>
          <t xml:space="preserve">Sales delay 4 months</t>
        </is>
      </c>
      <c r="B64" s="11">
        <f>IF(IF(IF(ISERROR('DealScope sensitivity controls'!H20=1),'DealScope sensitivity controls'!H20=1,IF('DealScope sensitivity controls'!H20="","",'DealScope sensitivity controls'!H20=1))="",FALSE,IF(ISERROR('DealScope sensitivity controls'!H20=1),'DealScope sensitivity controls'!H20=1,IF('DealScope sensitivity controls'!H20="","",'DealScope sensitivity controls'!H20=1))),'Model inputs'!B6/12*'DealScope sensitivity controls'!G20,IF('DealScope sensitivity controls'!B20="","",'DealScope sensitivity controls'!B20))</f>
        <v>4</v>
      </c>
      <c r="C64" s="10">
        <f>IF(EXACT("Per audit — base","Annual deal-team"),('Model inputs'!B47/12+MAX('DealScope sensitivity compariso'!B64-'Model inputs'!B26/12,0)*'Model inputs'!B34)*(1-'DealScope sensitivity controls'!C20),('Model inputs'!B47/12+'Model inputs'!B11*'DealScope sensitivity compariso'!B64)*(1-'DealScope sensitivity controls'!C20))</f>
        <v>6000</v>
      </c>
      <c r="D64" s="10">
        <f>'Model inputs'!B15*'DealScope sensitivity controls'!E20*'DealScope sensitivity controls'!D20*'Model inputs'!B17+'Model inputs'!B30+'Model inputs'!B39+'Model inputs'!B19</f>
        <v>94.65</v>
      </c>
      <c r="E64" s="10">
        <f>IFERROR('DealScope sensitivity compariso'!C64/'DealScope sensitivity compariso'!B64,"")</f>
        <v>1500</v>
      </c>
      <c r="F64" s="12">
        <f>IFERROR(('DealScope sensitivity compariso'!E64-'DealScope sensitivity compariso'!D64)/'DealScope sensitivity compariso'!E64,"")</f>
        <v>0.9369</v>
      </c>
      <c r="G64" s="12">
        <f>IFERROR(('DealScope sensitivity compariso'!C64*(1-'Model inputs'!B38)-'DealScope sensitivity compariso'!B64*'DealScope sensitivity compariso'!D64-'Model inputs'!B42*'Model inputs'!B41)/'DealScope sensitivity compariso'!C64,"")</f>
        <v>0.9018999999999999</v>
      </c>
      <c r="H64" s="11">
        <f>'Model inputs'!B167+IF(IF(IF(IF(ISERROR('Model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controls'!F20)/'Model inputs'!B21,0),1),IF(IF(IF(ISERROR(11&gt;'DealScope sensitivity controls'!F20),11&gt;'DealScope sensitivity controls'!F20,IF('DealScope sensitivity controls'!F20="","",11&gt;'DealScope sensitivity controls'!F20))="",FALSE,IF(ISERROR(11&gt;'DealScope sensitivity controls'!F20),11&gt;'DealScope sensitivity controls'!F20,IF('DealScope sensitivity controls'!F20="","",11&gt;'DealScope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controls'!F20)/'Model inputs'!B21,0),1),IF(IF(IF(ISERROR(11&gt;'DealScope sensitivity controls'!F20),11&gt;'DealScope sensitivity controls'!F20,IF('DealScope sensitivity controls'!F20="","",11&gt;'DealScope sensitivity controls'!F20))="",FALSE,IF(ISERROR(11&gt;'DealScope sensitivity controls'!F20),11&gt;'DealScope sensitivity controls'!F20,IF('DealScope sensitivity controls'!F20="","",11&gt;'DealScope sensitivity controls'!F20))),IF('Model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controls'!F20)/'Model inputs'!B21,0),1),IF(IF(IF(ISERROR(12&gt;'DealScope sensitivity controls'!F20),12&gt;'DealScope sensitivity controls'!F20,IF('DealScope sensitivity controls'!F20="","",12&gt;'DealScope sensitivity controls'!F20))="",FALSE,IF(ISERROR(12&gt;'DealScope sensitivity controls'!F20),12&gt;'DealScope sensitivity controls'!F20,IF('DealScope sensitivity controls'!F20="","",12&gt;'DealScope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controls'!F20)/'Model inputs'!B21,0),1),IF(IF(IF(ISERROR(12&gt;'DealScope sensitivity controls'!F20),12&gt;'DealScope sensitivity controls'!F20,IF('DealScope sensitivity controls'!F20="","",12&gt;'DealScope sensitivity controls'!F20))="",FALSE,IF(ISERROR(12&gt;'DealScope sensitivity controls'!F20),12&gt;'DealScope sensitivity controls'!F20,IF('DealScope sensitivity controls'!F20="","",12&gt;'DealScope sensitivity controls'!F20))),IF('Model inputs'!B43="","",'Model inputs'!B43),0)))</f>
        <v>45</v>
      </c>
      <c r="I64" s="10">
        <f>'DealScope sensitivity compariso'!H64*'DealScope sensitivity compariso'!C64</f>
        <v>270000</v>
      </c>
      <c r="J64" s="10">
        <f>'DealScope sensitivity compariso'!I64*(1-'Model inputs'!B38)-'DealScope sensitivity compariso'!H64*('DealScope sensitivity compariso'!B64*'DealScope sensitivity compariso'!D64+'Model inputs'!B42*'Model inputs'!B41)-SUM('Model inputs'!B76,'Model inputs'!B77)</f>
        <v>231013</v>
      </c>
    </row>
    <row r="65">
      <c r="A65" t="inlineStr" s="5">
        <is>
          <t xml:space="preserve">Per audit — high</t>
        </is>
      </c>
      <c r="B65" t="str" s="7">
        <f>""</f>
        <v/>
      </c>
      <c r="C65" t="str" s="6">
        <f>""</f>
        <v/>
      </c>
      <c r="D65" t="str" s="6">
        <f>""</f>
        <v/>
      </c>
      <c r="E65" t="str" s="6">
        <f>""</f>
        <v/>
      </c>
      <c r="F65" t="str" s="8">
        <f>""</f>
        <v/>
      </c>
      <c r="G65" t="str" s="8">
        <f>""</f>
        <v/>
      </c>
      <c r="H65" t="str" s="7">
        <f>""</f>
        <v/>
      </c>
      <c r="I65" t="str" s="6">
        <f>""</f>
        <v/>
      </c>
      <c r="J65" t="str" s="6">
        <f>""</f>
        <v/>
      </c>
    </row>
    <row r="66" outlineLevel="1">
      <c r="A66" t="inlineStr" s="13">
        <is>
          <t xml:space="preserve">Annual allowance utilization 100%</t>
        </is>
      </c>
      <c r="B66" s="11">
        <f>IF(IF(IF(ISERROR('DealScope sensitivity controls'!H23=1),'DealScope sensitivity controls'!H23=1,IF('DealScope sensitivity controls'!H23="","",'DealScope sensitivity controls'!H23=1))="",FALSE,IF(ISERROR('DealScope sensitivity controls'!H23=1),'DealScope sensitivity controls'!H23=1,IF('DealScope sensitivity controls'!H23="","",'DealScope sensitivity controls'!H23=1))),'Model inputs'!B6/12*'DealScope sensitivity controls'!G23,IF('DealScope sensitivity controls'!B23="","",'DealScope sensitivity controls'!B23))</f>
        <v>2</v>
      </c>
      <c r="C66" s="10">
        <f>IF(EXACT("Per audit — high","Annual deal-team"),('Model inputs'!B48/12+MAX('DealScope sensitivity compariso'!B66-'Model inputs'!B27/12,0)*'Model inputs'!B35)*(1-'DealScope sensitivity controls'!C23),('Model inputs'!B48/12+'Model inputs'!B12*'DealScope sensitivity compariso'!B66)*(1-'DealScope sensitivity controls'!C23))</f>
        <v>6000</v>
      </c>
      <c r="D66" s="10">
        <f>'Model inputs'!B15*'DealScope sensitivity controls'!E23*'DealScope sensitivity controls'!D23*'Model inputs'!B17+'Model inputs'!B30+'Model inputs'!B39+'Model inputs'!B19</f>
        <v>94.65</v>
      </c>
      <c r="E66" s="10">
        <f>IFERROR('DealScope sensitivity compariso'!C66/'DealScope sensitivity compariso'!B66,"")</f>
        <v>3000</v>
      </c>
      <c r="F66" s="12">
        <f>IFERROR(('DealScope sensitivity compariso'!E66-'DealScope sensitivity compariso'!D66)/'DealScope sensitivity compariso'!E66,"")</f>
        <v>0.9684499999999999</v>
      </c>
      <c r="G66" s="12">
        <f>IFERROR(('DealScope sensitivity compariso'!C66*(1-'Model inputs'!B38)-'DealScope sensitivity compariso'!B66*'DealScope sensitivity compariso'!D66-'Model inputs'!B42*'Model inputs'!B41)/'DealScope sensitivity compariso'!C66,"")</f>
        <v>0.93345</v>
      </c>
      <c r="H66" s="11">
        <f>'Model inputs'!B75+IF(IF(IF(IF(ISERROR('Model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controls'!F23)/'Model inputs'!B21,0),1),IF(IF(IF(ISERROR(11&gt;'DealScope sensitivity controls'!F23),11&gt;'DealScope sensitivity controls'!F23,IF('DealScope sensitivity controls'!F23="","",11&gt;'DealScope sensitivity controls'!F23))="",FALSE,IF(ISERROR(11&gt;'DealScope sensitivity controls'!F23),11&gt;'DealScope sensitivity controls'!F23,IF('DealScope sensitivity controls'!F23="","",11&gt;'DealScope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controls'!F23)/'Model inputs'!B21,0),1),IF(IF(IF(ISERROR(11&gt;'DealScope sensitivity controls'!F23),11&gt;'DealScope sensitivity controls'!F23,IF('DealScope sensitivity controls'!F23="","",11&gt;'DealScope sensitivity controls'!F23))="",FALSE,IF(ISERROR(11&gt;'DealScope sensitivity controls'!F23),11&gt;'DealScope sensitivity controls'!F23,IF('DealScope sensitivity controls'!F23="","",11&gt;'DealScope sensitivity controls'!F23))),IF('Model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controls'!F23)/'Model inputs'!B21,0),1),IF(IF(IF(ISERROR(12&gt;'DealScope sensitivity controls'!F23),12&gt;'DealScope sensitivity controls'!F23,IF('DealScope sensitivity controls'!F23="","",12&gt;'DealScope sensitivity controls'!F23))="",FALSE,IF(ISERROR(12&gt;'DealScope sensitivity controls'!F23),12&gt;'DealScope sensitivity controls'!F23,IF('DealScope sensitivity controls'!F23="","",12&gt;'DealScope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controls'!F23)/'Model inputs'!B21,0),1),IF(IF(IF(ISERROR(12&gt;'DealScope sensitivity controls'!F23),12&gt;'DealScope sensitivity controls'!F23,IF('DealScope sensitivity controls'!F23="","",12&gt;'DealScope sensitivity controls'!F23))="",FALSE,IF(ISERROR(12&gt;'DealScope sensitivity controls'!F23),12&gt;'DealScope sensitivity controls'!F23,IF('DealScope sensitivity controls'!F23="","",12&gt;'DealScope sensitivity controls'!F23))),IF('Model inputs'!B43="","",'Model inputs'!B43),0)))</f>
        <v>97.5</v>
      </c>
      <c r="I66" s="10">
        <f>'DealScope sensitivity compariso'!H66*'DealScope sensitivity compariso'!C66</f>
        <v>585000</v>
      </c>
      <c r="J66" s="10">
        <f>'DealScope sensitivity compariso'!I66*(1-'Model inputs'!B38)-'DealScope sensitivity compariso'!H66*('DealScope sensitivity compariso'!B66*'DealScope sensitivity compariso'!D66+'Model inputs'!B42*'Model inputs'!B41)-SUM('Model inputs'!B76,'Model inputs'!B77)</f>
        <v>533568.25</v>
      </c>
    </row>
    <row r="67" outlineLevel="1">
      <c r="A67" t="inlineStr" s="13">
        <is>
          <t xml:space="preserve">Annual allowance utilization 50%</t>
        </is>
      </c>
      <c r="B67" s="11">
        <f>IF(IF(IF(ISERROR('DealScope sensitivity controls'!H21=1),'DealScope sensitivity controls'!H21=1,IF('DealScope sensitivity controls'!H21="","",'DealScope sensitivity controls'!H21=1))="",FALSE,IF(ISERROR('DealScope sensitivity controls'!H21=1),'DealScope sensitivity controls'!H21=1,IF('DealScope sensitivity controls'!H21="","",'DealScope sensitivity controls'!H21=1))),'Model inputs'!B6/12*'DealScope sensitivity controls'!G21,IF('DealScope sensitivity controls'!B21="","",'DealScope sensitivity controls'!B21))</f>
        <v>1</v>
      </c>
      <c r="C67" s="10">
        <f>IF(EXACT("Per audit — high","Annual deal-team"),('Model inputs'!B48/12+MAX('DealScope sensitivity compariso'!B67-'Model inputs'!B27/12,0)*'Model inputs'!B35)*(1-'DealScope sensitivity controls'!C21),('Model inputs'!B48/12+'Model inputs'!B12*'DealScope sensitivity compariso'!B67)*(1-'DealScope sensitivity controls'!C21))</f>
        <v>3000</v>
      </c>
      <c r="D67" s="10">
        <f>'Model inputs'!B15*'DealScope sensitivity controls'!E21*'DealScope sensitivity controls'!D21*'Model inputs'!B17+'Model inputs'!B30+'Model inputs'!B39+'Model inputs'!B19</f>
        <v>94.65</v>
      </c>
      <c r="E67" s="10">
        <f>IFERROR('DealScope sensitivity compariso'!C67/'DealScope sensitivity compariso'!B67,"")</f>
        <v>3000</v>
      </c>
      <c r="F67" s="12">
        <f>IFERROR(('DealScope sensitivity compariso'!E67-'DealScope sensitivity compariso'!D67)/'DealScope sensitivity compariso'!E67,"")</f>
        <v>0.9684499999999999</v>
      </c>
      <c r="G67" s="12">
        <f>IFERROR(('DealScope sensitivity compariso'!C67*(1-'Model inputs'!B38)-'DealScope sensitivity compariso'!B67*'DealScope sensitivity compariso'!D67-'Model inputs'!B42*'Model inputs'!B41)/'DealScope sensitivity compariso'!C67,"")</f>
        <v>0.92845</v>
      </c>
      <c r="H67" s="11">
        <f>'Model inputs'!B82+IF(IF(IF(IF(ISERROR('Model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controls'!F21)/'Model inputs'!B21,0),1),IF(IF(IF(ISERROR(11&gt;'DealScope sensitivity controls'!F21),11&gt;'DealScope sensitivity controls'!F21,IF('DealScope sensitivity controls'!F21="","",11&gt;'DealScope sensitivity controls'!F21))="",FALSE,IF(ISERROR(11&gt;'DealScope sensitivity controls'!F21),11&gt;'DealScope sensitivity controls'!F21,IF('DealScope sensitivity controls'!F21="","",11&gt;'DealScope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controls'!F21)/'Model inputs'!B21,0),1),IF(IF(IF(ISERROR(11&gt;'DealScope sensitivity controls'!F21),11&gt;'DealScope sensitivity controls'!F21,IF('DealScope sensitivity controls'!F21="","",11&gt;'DealScope sensitivity controls'!F21))="",FALSE,IF(ISERROR(11&gt;'DealScope sensitivity controls'!F21),11&gt;'DealScope sensitivity controls'!F21,IF('DealScope sensitivity controls'!F21="","",11&gt;'DealScope sensitivity controls'!F21))),IF('Model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controls'!F21)/'Model inputs'!B21,0),1),IF(IF(IF(ISERROR(12&gt;'DealScope sensitivity controls'!F21),12&gt;'DealScope sensitivity controls'!F21,IF('DealScope sensitivity controls'!F21="","",12&gt;'DealScope sensitivity controls'!F21))="",FALSE,IF(ISERROR(12&gt;'DealScope sensitivity controls'!F21),12&gt;'DealScope sensitivity controls'!F21,IF('DealScope sensitivity controls'!F21="","",12&gt;'DealScope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controls'!F21)/'Model inputs'!B21,0),1),IF(IF(IF(ISERROR(12&gt;'DealScope sensitivity controls'!F21),12&gt;'DealScope sensitivity controls'!F21,IF('DealScope sensitivity controls'!F21="","",12&gt;'DealScope sensitivity controls'!F21))="",FALSE,IF(ISERROR(12&gt;'DealScope sensitivity controls'!F21),12&gt;'DealScope sensitivity controls'!F21,IF('DealScope sensitivity controls'!F21="","",12&gt;'DealScope sensitivity controls'!F21))),IF('Model inputs'!B43="","",'Model inputs'!B43),0)))</f>
        <v>97.5</v>
      </c>
      <c r="I67" s="10">
        <f>'DealScope sensitivity compariso'!H67*'DealScope sensitivity compariso'!C67</f>
        <v>292500</v>
      </c>
      <c r="J67" s="10">
        <f>'DealScope sensitivity compariso'!I67*(1-'Model inputs'!B38)-'DealScope sensitivity compariso'!H67*('DealScope sensitivity compariso'!B67*'DealScope sensitivity compariso'!D67+'Model inputs'!B42*'Model inputs'!B41)-SUM('Model inputs'!B76,'Model inputs'!B77)</f>
        <v>259071.625</v>
      </c>
    </row>
    <row r="68" outlineLevel="1">
      <c r="A68" t="inlineStr" s="13">
        <is>
          <t xml:space="preserve">Annual allowance utilization 75%</t>
        </is>
      </c>
      <c r="B68" s="11">
        <f>IF(IF(IF(ISERROR('DealScope sensitivity controls'!H22=1),'DealScope sensitivity controls'!H22=1,IF('DealScope sensitivity controls'!H22="","",'DealScope sensitivity controls'!H22=1))="",FALSE,IF(ISERROR('DealScope sensitivity controls'!H22=1),'DealScope sensitivity controls'!H22=1,IF('DealScope sensitivity controls'!H22="","",'DealScope sensitivity controls'!H22=1))),'Model inputs'!B6/12*'DealScope sensitivity controls'!G22,IF('DealScope sensitivity controls'!B22="","",'DealScope sensitivity controls'!B22))</f>
        <v>1.5</v>
      </c>
      <c r="C68" s="10">
        <f>IF(EXACT("Per audit — high","Annual deal-team"),('Model inputs'!B48/12+MAX('DealScope sensitivity compariso'!B68-'Model inputs'!B27/12,0)*'Model inputs'!B35)*(1-'DealScope sensitivity controls'!C22),('Model inputs'!B48/12+'Model inputs'!B12*'DealScope sensitivity compariso'!B68)*(1-'DealScope sensitivity controls'!C22))</f>
        <v>4500</v>
      </c>
      <c r="D68" s="10">
        <f>'Model inputs'!B15*'DealScope sensitivity controls'!E22*'DealScope sensitivity controls'!D22*'Model inputs'!B17+'Model inputs'!B30+'Model inputs'!B39+'Model inputs'!B19</f>
        <v>94.65</v>
      </c>
      <c r="E68" s="10">
        <f>IFERROR('DealScope sensitivity compariso'!C68/'DealScope sensitivity compariso'!B68,"")</f>
        <v>3000</v>
      </c>
      <c r="F68" s="12">
        <f>IFERROR(('DealScope sensitivity compariso'!E68-'DealScope sensitivity compariso'!D68)/'DealScope sensitivity compariso'!E68,"")</f>
        <v>0.9684499999999999</v>
      </c>
      <c r="G68" s="12">
        <f>IFERROR(('DealScope sensitivity compariso'!C68*(1-'Model inputs'!B38)-'DealScope sensitivity compariso'!B68*'DealScope sensitivity compariso'!D68-'Model inputs'!B42*'Model inputs'!B41)/'DealScope sensitivity compariso'!C68,"")</f>
        <v>0.9317833333333333</v>
      </c>
      <c r="H68" s="11">
        <f>'Model inputs'!B87+IF(IF(IF(IF(ISERROR('Model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controls'!F22)/'Model inputs'!B21,0),1),IF(IF(IF(ISERROR(11&gt;'DealScope sensitivity controls'!F22),11&gt;'DealScope sensitivity controls'!F22,IF('DealScope sensitivity controls'!F22="","",11&gt;'DealScope sensitivity controls'!F22))="",FALSE,IF(ISERROR(11&gt;'DealScope sensitivity controls'!F22),11&gt;'DealScope sensitivity controls'!F22,IF('DealScope sensitivity controls'!F22="","",11&gt;'DealScope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controls'!F22)/'Model inputs'!B21,0),1),IF(IF(IF(ISERROR(11&gt;'DealScope sensitivity controls'!F22),11&gt;'DealScope sensitivity controls'!F22,IF('DealScope sensitivity controls'!F22="","",11&gt;'DealScope sensitivity controls'!F22))="",FALSE,IF(ISERROR(11&gt;'DealScope sensitivity controls'!F22),11&gt;'DealScope sensitivity controls'!F22,IF('DealScope sensitivity controls'!F22="","",11&gt;'DealScope sensitivity controls'!F22))),IF('Model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controls'!F22)/'Model inputs'!B21,0),1),IF(IF(IF(ISERROR(12&gt;'DealScope sensitivity controls'!F22),12&gt;'DealScope sensitivity controls'!F22,IF('DealScope sensitivity controls'!F22="","",12&gt;'DealScope sensitivity controls'!F22))="",FALSE,IF(ISERROR(12&gt;'DealScope sensitivity controls'!F22),12&gt;'DealScope sensitivity controls'!F22,IF('DealScope sensitivity controls'!F22="","",12&gt;'DealScope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controls'!F22)/'Model inputs'!B21,0),1),IF(IF(IF(ISERROR(12&gt;'DealScope sensitivity controls'!F22),12&gt;'DealScope sensitivity controls'!F22,IF('DealScope sensitivity controls'!F22="","",12&gt;'DealScope sensitivity controls'!F22))="",FALSE,IF(ISERROR(12&gt;'DealScope sensitivity controls'!F22),12&gt;'DealScope sensitivity controls'!F22,IF('DealScope sensitivity controls'!F22="","",12&gt;'DealScope sensitivity controls'!F22))),IF('Model inputs'!B43="","",'Model inputs'!B43),0)))</f>
        <v>97.5</v>
      </c>
      <c r="I68" s="10">
        <f>'DealScope sensitivity compariso'!H68*'DealScope sensitivity compariso'!C68</f>
        <v>438750</v>
      </c>
      <c r="J68" s="10">
        <f>'DealScope sensitivity compariso'!I68*(1-'Model inputs'!B38)-'DealScope sensitivity compariso'!H68*('DealScope sensitivity compariso'!B68*'DealScope sensitivity compariso'!D68+'Model inputs'!B42*'Model inputs'!B41)-SUM('Model inputs'!B76,'Model inputs'!B77)</f>
        <v>396319.9375</v>
      </c>
    </row>
    <row r="69" outlineLevel="1">
      <c r="A69" t="inlineStr" s="13">
        <is>
          <t xml:space="preserve">Audits 2/month</t>
        </is>
      </c>
      <c r="B69" s="11">
        <f>IF(IF(IF(ISERROR('DealScope sensitivity controls'!H6=1),'DealScope sensitivity controls'!H6=1,IF('DealScope sensitivity controls'!H6="","",'DealScope sensitivity controls'!H6=1))="",FALSE,IF(ISERROR('DealScope sensitivity controls'!H6=1),'DealScope sensitivity controls'!H6=1,IF('DealScope sensitivity controls'!H6="","",'DealScope sensitivity controls'!H6=1))),'Model inputs'!B6/12*'DealScope sensitivity controls'!G6,IF('DealScope sensitivity controls'!B6="","",'DealScope sensitivity controls'!B6))</f>
        <v>2</v>
      </c>
      <c r="C69" s="10">
        <f>IF(EXACT("Per audit — high","Annual deal-team"),('Model inputs'!B48/12+MAX('DealScope sensitivity compariso'!B69-'Model inputs'!B27/12,0)*'Model inputs'!B35)*(1-'DealScope sensitivity controls'!C6),('Model inputs'!B48/12+'Model inputs'!B12*'DealScope sensitivity compariso'!B69)*(1-'DealScope sensitivity controls'!C6))</f>
        <v>6000</v>
      </c>
      <c r="D69" s="10">
        <f>'Model inputs'!B15*'DealScope sensitivity controls'!E6*'DealScope sensitivity controls'!D6*'Model inputs'!B17+'Model inputs'!B30+'Model inputs'!B39+'Model inputs'!B19</f>
        <v>94.65</v>
      </c>
      <c r="E69" s="10">
        <f>IFERROR('DealScope sensitivity compariso'!C69/'DealScope sensitivity compariso'!B69,"")</f>
        <v>3000</v>
      </c>
      <c r="F69" s="12">
        <f>IFERROR(('DealScope sensitivity compariso'!E69-'DealScope sensitivity compariso'!D69)/'DealScope sensitivity compariso'!E69,"")</f>
        <v>0.9684499999999999</v>
      </c>
      <c r="G69" s="12">
        <f>IFERROR(('DealScope sensitivity compariso'!C69*(1-'Model inputs'!B38)-'DealScope sensitivity compariso'!B69*'DealScope sensitivity compariso'!D69-'Model inputs'!B42*'Model inputs'!B41)/'DealScope sensitivity compariso'!C69,"")</f>
        <v>0.93345</v>
      </c>
      <c r="H69" s="11">
        <f>'Model inputs'!B92+IF(IF(IF(IF(ISERROR('Model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controls'!F6)/'Model inputs'!B21,0),1),IF(IF(IF(ISERROR(11&gt;'DealScope sensitivity controls'!F6),11&gt;'DealScope sensitivity controls'!F6,IF('DealScope sensitivity controls'!F6="","",11&gt;'DealScope sensitivity controls'!F6))="",FALSE,IF(ISERROR(11&gt;'DealScope sensitivity controls'!F6),11&gt;'DealScope sensitivity controls'!F6,IF('DealScope sensitivity controls'!F6="","",11&gt;'DealScope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controls'!F6)/'Model inputs'!B21,0),1),IF(IF(IF(ISERROR(11&gt;'DealScope sensitivity controls'!F6),11&gt;'DealScope sensitivity controls'!F6,IF('DealScope sensitivity controls'!F6="","",11&gt;'DealScope sensitivity controls'!F6))="",FALSE,IF(ISERROR(11&gt;'DealScope sensitivity controls'!F6),11&gt;'DealScope sensitivity controls'!F6,IF('DealScope sensitivity controls'!F6="","",11&gt;'DealScope sensitivity controls'!F6))),IF('Model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controls'!F6)/'Model inputs'!B21,0),1),IF(IF(IF(ISERROR(12&gt;'DealScope sensitivity controls'!F6),12&gt;'DealScope sensitivity controls'!F6,IF('DealScope sensitivity controls'!F6="","",12&gt;'DealScope sensitivity controls'!F6))="",FALSE,IF(ISERROR(12&gt;'DealScope sensitivity controls'!F6),12&gt;'DealScope sensitivity controls'!F6,IF('DealScope sensitivity controls'!F6="","",12&gt;'DealScope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controls'!F6)/'Model inputs'!B21,0),1),IF(IF(IF(ISERROR(12&gt;'DealScope sensitivity controls'!F6),12&gt;'DealScope sensitivity controls'!F6,IF('DealScope sensitivity controls'!F6="","",12&gt;'DealScope sensitivity controls'!F6))="",FALSE,IF(ISERROR(12&gt;'DealScope sensitivity controls'!F6),12&gt;'DealScope sensitivity controls'!F6,IF('DealScope sensitivity controls'!F6="","",12&gt;'DealScope sensitivity controls'!F6))),IF('Model inputs'!B43="","",'Model inputs'!B43),0)))</f>
        <v>97.5</v>
      </c>
      <c r="I69" s="10">
        <f>'DealScope sensitivity compariso'!H69*'DealScope sensitivity compariso'!C69</f>
        <v>585000</v>
      </c>
      <c r="J69" s="10">
        <f>'DealScope sensitivity compariso'!I69*(1-'Model inputs'!B38)-'DealScope sensitivity compariso'!H69*('DealScope sensitivity compariso'!B69*'DealScope sensitivity compariso'!D69+'Model inputs'!B42*'Model inputs'!B41)-SUM('Model inputs'!B76,'Model inputs'!B77)</f>
        <v>533568.25</v>
      </c>
    </row>
    <row r="70" outlineLevel="1">
      <c r="A70" t="inlineStr" s="13">
        <is>
          <t xml:space="preserve">Audits 3/month</t>
        </is>
      </c>
      <c r="B70" s="11">
        <f>IF(IF(IF(ISERROR('DealScope sensitivity controls'!H7=1),'DealScope sensitivity controls'!H7=1,IF('DealScope sensitivity controls'!H7="","",'DealScope sensitivity controls'!H7=1))="",FALSE,IF(ISERROR('DealScope sensitivity controls'!H7=1),'DealScope sensitivity controls'!H7=1,IF('DealScope sensitivity controls'!H7="","",'DealScope sensitivity controls'!H7=1))),'Model inputs'!B6/12*'DealScope sensitivity controls'!G7,IF('DealScope sensitivity controls'!B7="","",'DealScope sensitivity controls'!B7))</f>
        <v>3</v>
      </c>
      <c r="C70" s="10">
        <f>IF(EXACT("Per audit — high","Annual deal-team"),('Model inputs'!B48/12+MAX('DealScope sensitivity compariso'!B70-'Model inputs'!B27/12,0)*'Model inputs'!B35)*(1-'DealScope sensitivity controls'!C7),('Model inputs'!B48/12+'Model inputs'!B12*'DealScope sensitivity compariso'!B70)*(1-'DealScope sensitivity controls'!C7))</f>
        <v>9000</v>
      </c>
      <c r="D70" s="10">
        <f>'Model inputs'!B15*'DealScope sensitivity controls'!E7*'DealScope sensitivity controls'!D7*'Model inputs'!B17+'Model inputs'!B30+'Model inputs'!B39+'Model inputs'!B19</f>
        <v>94.65</v>
      </c>
      <c r="E70" s="10">
        <f>IFERROR('DealScope sensitivity compariso'!C70/'DealScope sensitivity compariso'!B70,"")</f>
        <v>3000</v>
      </c>
      <c r="F70" s="12">
        <f>IFERROR(('DealScope sensitivity compariso'!E70-'DealScope sensitivity compariso'!D70)/'DealScope sensitivity compariso'!E70,"")</f>
        <v>0.9684499999999999</v>
      </c>
      <c r="G70" s="12">
        <f>IFERROR(('DealScope sensitivity compariso'!C70*(1-'Model inputs'!B38)-'DealScope sensitivity compariso'!B70*'DealScope sensitivity compariso'!D70-'Model inputs'!B42*'Model inputs'!B41)/'DealScope sensitivity compariso'!C70,"")</f>
        <v>0.9351166666666666</v>
      </c>
      <c r="H70" s="11">
        <f>'Model inputs'!B97+IF(IF(IF(IF(ISERROR('Model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controls'!F7)/'Model inputs'!B21,0),1),IF(IF(IF(ISERROR(11&gt;'DealScope sensitivity controls'!F7),11&gt;'DealScope sensitivity controls'!F7,IF('DealScope sensitivity controls'!F7="","",11&gt;'DealScope sensitivity controls'!F7))="",FALSE,IF(ISERROR(11&gt;'DealScope sensitivity controls'!F7),11&gt;'DealScope sensitivity controls'!F7,IF('DealScope sensitivity controls'!F7="","",11&gt;'DealScope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controls'!F7)/'Model inputs'!B21,0),1),IF(IF(IF(ISERROR(11&gt;'DealScope sensitivity controls'!F7),11&gt;'DealScope sensitivity controls'!F7,IF('DealScope sensitivity controls'!F7="","",11&gt;'DealScope sensitivity controls'!F7))="",FALSE,IF(ISERROR(11&gt;'DealScope sensitivity controls'!F7),11&gt;'DealScope sensitivity controls'!F7,IF('DealScope sensitivity controls'!F7="","",11&gt;'DealScope sensitivity controls'!F7))),IF('Model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controls'!F7)/'Model inputs'!B21,0),1),IF(IF(IF(ISERROR(12&gt;'DealScope sensitivity controls'!F7),12&gt;'DealScope sensitivity controls'!F7,IF('DealScope sensitivity controls'!F7="","",12&gt;'DealScope sensitivity controls'!F7))="",FALSE,IF(ISERROR(12&gt;'DealScope sensitivity controls'!F7),12&gt;'DealScope sensitivity controls'!F7,IF('DealScope sensitivity controls'!F7="","",12&gt;'DealScope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controls'!F7)/'Model inputs'!B21,0),1),IF(IF(IF(ISERROR(12&gt;'DealScope sensitivity controls'!F7),12&gt;'DealScope sensitivity controls'!F7,IF('DealScope sensitivity controls'!F7="","",12&gt;'DealScope sensitivity controls'!F7))="",FALSE,IF(ISERROR(12&gt;'DealScope sensitivity controls'!F7),12&gt;'DealScope sensitivity controls'!F7,IF('DealScope sensitivity controls'!F7="","",12&gt;'DealScope sensitivity controls'!F7))),IF('Model inputs'!B43="","",'Model inputs'!B43),0)))</f>
        <v>97.5</v>
      </c>
      <c r="I70" s="10">
        <f>'DealScope sensitivity compariso'!H70*'DealScope sensitivity compariso'!C70</f>
        <v>877500</v>
      </c>
      <c r="J70" s="10">
        <f>'DealScope sensitivity compariso'!I70*(1-'Model inputs'!B38)-'DealScope sensitivity compariso'!H70*('DealScope sensitivity compariso'!B70*'DealScope sensitivity compariso'!D70+'Model inputs'!B42*'Model inputs'!B41)-SUM('Model inputs'!B76,'Model inputs'!B77)</f>
        <v>808064.875</v>
      </c>
    </row>
    <row r="71" outlineLevel="1">
      <c r="A71" t="inlineStr" s="13">
        <is>
          <t xml:space="preserve">Audits 4/month</t>
        </is>
      </c>
      <c r="B71" s="11">
        <f>IF(IF(IF(ISERROR('DealScope sensitivity controls'!H8=1),'DealScope sensitivity controls'!H8=1,IF('DealScope sensitivity controls'!H8="","",'DealScope sensitivity controls'!H8=1))="",FALSE,IF(ISERROR('DealScope sensitivity controls'!H8=1),'DealScope sensitivity controls'!H8=1,IF('DealScope sensitivity controls'!H8="","",'DealScope sensitivity controls'!H8=1))),'Model inputs'!B6/12*'DealScope sensitivity controls'!G8,IF('DealScope sensitivity controls'!B8="","",'DealScope sensitivity controls'!B8))</f>
        <v>4</v>
      </c>
      <c r="C71" s="10">
        <f>IF(EXACT("Per audit — high","Annual deal-team"),('Model inputs'!B48/12+MAX('DealScope sensitivity compariso'!B71-'Model inputs'!B27/12,0)*'Model inputs'!B35)*(1-'DealScope sensitivity controls'!C8),('Model inputs'!B48/12+'Model inputs'!B12*'DealScope sensitivity compariso'!B71)*(1-'DealScope sensitivity controls'!C8))</f>
        <v>12000</v>
      </c>
      <c r="D71" s="10">
        <f>'Model inputs'!B15*'DealScope sensitivity controls'!E8*'DealScope sensitivity controls'!D8*'Model inputs'!B17+'Model inputs'!B30+'Model inputs'!B39+'Model inputs'!B19</f>
        <v>94.65</v>
      </c>
      <c r="E71" s="10">
        <f>IFERROR('DealScope sensitivity compariso'!C71/'DealScope sensitivity compariso'!B71,"")</f>
        <v>3000</v>
      </c>
      <c r="F71" s="12">
        <f>IFERROR(('DealScope sensitivity compariso'!E71-'DealScope sensitivity compariso'!D71)/'DealScope sensitivity compariso'!E71,"")</f>
        <v>0.9684499999999999</v>
      </c>
      <c r="G71" s="12">
        <f>IFERROR(('DealScope sensitivity compariso'!C71*(1-'Model inputs'!B38)-'DealScope sensitivity compariso'!B71*'DealScope sensitivity compariso'!D71-'Model inputs'!B42*'Model inputs'!B41)/'DealScope sensitivity compariso'!C71,"")</f>
        <v>0.93595</v>
      </c>
      <c r="H71" s="11">
        <f>'Model inputs'!B102+IF(IF(IF(IF(ISERROR('Model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controls'!F8)/'Model inputs'!B21,0),1),IF(IF(IF(ISERROR(11&gt;'DealScope sensitivity controls'!F8),11&gt;'DealScope sensitivity controls'!F8,IF('DealScope sensitivity controls'!F8="","",11&gt;'DealScope sensitivity controls'!F8))="",FALSE,IF(ISERROR(11&gt;'DealScope sensitivity controls'!F8),11&gt;'DealScope sensitivity controls'!F8,IF('DealScope sensitivity controls'!F8="","",11&gt;'DealScope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controls'!F8)/'Model inputs'!B21,0),1),IF(IF(IF(ISERROR(11&gt;'DealScope sensitivity controls'!F8),11&gt;'DealScope sensitivity controls'!F8,IF('DealScope sensitivity controls'!F8="","",11&gt;'DealScope sensitivity controls'!F8))="",FALSE,IF(ISERROR(11&gt;'DealScope sensitivity controls'!F8),11&gt;'DealScope sensitivity controls'!F8,IF('DealScope sensitivity controls'!F8="","",11&gt;'DealScope sensitivity controls'!F8))),IF('Model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controls'!F8)/'Model inputs'!B21,0),1),IF(IF(IF(ISERROR(12&gt;'DealScope sensitivity controls'!F8),12&gt;'DealScope sensitivity controls'!F8,IF('DealScope sensitivity controls'!F8="","",12&gt;'DealScope sensitivity controls'!F8))="",FALSE,IF(ISERROR(12&gt;'DealScope sensitivity controls'!F8),12&gt;'DealScope sensitivity controls'!F8,IF('DealScope sensitivity controls'!F8="","",12&gt;'DealScope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controls'!F8)/'Model inputs'!B21,0),1),IF(IF(IF(ISERROR(12&gt;'DealScope sensitivity controls'!F8),12&gt;'DealScope sensitivity controls'!F8,IF('DealScope sensitivity controls'!F8="","",12&gt;'DealScope sensitivity controls'!F8))="",FALSE,IF(ISERROR(12&gt;'DealScope sensitivity controls'!F8),12&gt;'DealScope sensitivity controls'!F8,IF('DealScope sensitivity controls'!F8="","",12&gt;'DealScope sensitivity controls'!F8))),IF('Model inputs'!B43="","",'Model inputs'!B43),0)))</f>
        <v>97.5</v>
      </c>
      <c r="I71" s="10">
        <f>'DealScope sensitivity compariso'!H71*'DealScope sensitivity compariso'!C71</f>
        <v>1170000</v>
      </c>
      <c r="J71" s="10">
        <f>'DealScope sensitivity compariso'!I71*(1-'Model inputs'!B38)-'DealScope sensitivity compariso'!H71*('DealScope sensitivity compariso'!B71*'DealScope sensitivity compariso'!D71+'Model inputs'!B42*'Model inputs'!B41)-SUM('Model inputs'!B76,'Model inputs'!B77)</f>
        <v>1082561.5</v>
      </c>
    </row>
    <row r="72" outlineLevel="1">
      <c r="A72" t="inlineStr" s="13">
        <is>
          <t xml:space="preserve">Baseline</t>
        </is>
      </c>
      <c r="B72" s="11">
        <f>IF(IF(IF(ISERROR('DealScope sensitivity controls'!H5=1),'DealScope sensitivity controls'!H5=1,IF('DealScope sensitivity controls'!H5="","",'DealScope sensitivity controls'!H5=1))="",FALSE,IF(ISERROR('DealScope sensitivity controls'!H5=1),'DealScope sensitivity controls'!H5=1,IF('DealScope sensitivity controls'!H5="","",'DealScope sensitivity controls'!H5=1))),'Model inputs'!B6/12*'DealScope sensitivity controls'!G5,IF('DealScope sensitivity controls'!B5="","",'DealScope sensitivity controls'!B5))</f>
        <v>4</v>
      </c>
      <c r="C72" s="10">
        <f>IF(EXACT("Per audit — high","Annual deal-team"),('Model inputs'!B48/12+MAX('DealScope sensitivity compariso'!B72-'Model inputs'!B27/12,0)*'Model inputs'!B35)*(1-'DealScope sensitivity controls'!C5),('Model inputs'!B48/12+'Model inputs'!B12*'DealScope sensitivity compariso'!B72)*(1-'DealScope sensitivity controls'!C5))</f>
        <v>12000</v>
      </c>
      <c r="D72" s="10">
        <f>'Model inputs'!B15*'DealScope sensitivity controls'!E5*'DealScope sensitivity controls'!D5*'Model inputs'!B17+'Model inputs'!B30+'Model inputs'!B39+'Model inputs'!B19</f>
        <v>94.65</v>
      </c>
      <c r="E72" s="10">
        <f>IFERROR('DealScope sensitivity compariso'!C72/'DealScope sensitivity compariso'!B72,"")</f>
        <v>3000</v>
      </c>
      <c r="F72" s="12">
        <f>IFERROR(('DealScope sensitivity compariso'!E72-'DealScope sensitivity compariso'!D72)/'DealScope sensitivity compariso'!E72,"")</f>
        <v>0.9684499999999999</v>
      </c>
      <c r="G72" s="12">
        <f>IFERROR(('DealScope sensitivity compariso'!C72*(1-'Model inputs'!B38)-'DealScope sensitivity compariso'!B72*'DealScope sensitivity compariso'!D72-'Model inputs'!B42*'Model inputs'!B41)/'DealScope sensitivity compariso'!C72,"")</f>
        <v>0.93595</v>
      </c>
      <c r="H72" s="11">
        <f>'Model inputs'!B107+IF(IF(IF(IF(ISERROR('Model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controls'!F5)/'Model inputs'!B21,0),1),IF(IF(IF(ISERROR(11&gt;'DealScope sensitivity controls'!F5),11&gt;'DealScope sensitivity controls'!F5,IF('DealScope sensitivity controls'!F5="","",11&gt;'DealScope sensitivity controls'!F5))="",FALSE,IF(ISERROR(11&gt;'DealScope sensitivity controls'!F5),11&gt;'DealScope sensitivity controls'!F5,IF('DealScope sensitivity controls'!F5="","",11&gt;'DealScope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controls'!F5)/'Model inputs'!B21,0),1),IF(IF(IF(ISERROR(11&gt;'DealScope sensitivity controls'!F5),11&gt;'DealScope sensitivity controls'!F5,IF('DealScope sensitivity controls'!F5="","",11&gt;'DealScope sensitivity controls'!F5))="",FALSE,IF(ISERROR(11&gt;'DealScope sensitivity controls'!F5),11&gt;'DealScope sensitivity controls'!F5,IF('DealScope sensitivity controls'!F5="","",11&gt;'DealScope sensitivity controls'!F5))),IF('Model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controls'!F5)/'Model inputs'!B21,0),1),IF(IF(IF(ISERROR(12&gt;'DealScope sensitivity controls'!F5),12&gt;'DealScope sensitivity controls'!F5,IF('DealScope sensitivity controls'!F5="","",12&gt;'DealScope sensitivity controls'!F5))="",FALSE,IF(ISERROR(12&gt;'DealScope sensitivity controls'!F5),12&gt;'DealScope sensitivity controls'!F5,IF('DealScope sensitivity controls'!F5="","",12&gt;'DealScope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controls'!F5)/'Model inputs'!B21,0),1),IF(IF(IF(ISERROR(12&gt;'DealScope sensitivity controls'!F5),12&gt;'DealScope sensitivity controls'!F5,IF('DealScope sensitivity controls'!F5="","",12&gt;'DealScope sensitivity controls'!F5))="",FALSE,IF(ISERROR(12&gt;'DealScope sensitivity controls'!F5),12&gt;'DealScope sensitivity controls'!F5,IF('DealScope sensitivity controls'!F5="","",12&gt;'DealScope sensitivity controls'!F5))),IF('Model inputs'!B43="","",'Model inputs'!B43),0)))</f>
        <v>97.5</v>
      </c>
      <c r="I72" s="10">
        <f>'DealScope sensitivity compariso'!H72*'DealScope sensitivity compariso'!C72</f>
        <v>1170000</v>
      </c>
      <c r="J72" s="10">
        <f>'DealScope sensitivity compariso'!I72*(1-'Model inputs'!B38)-'DealScope sensitivity compariso'!H72*('DealScope sensitivity compariso'!B72*'DealScope sensitivity compariso'!D72+'Model inputs'!B42*'Model inputs'!B41)-SUM('Model inputs'!B76,'Model inputs'!B77)</f>
        <v>1082561.5</v>
      </c>
    </row>
    <row r="73" outlineLevel="1">
      <c r="A73" t="inlineStr" s="13">
        <is>
          <t xml:space="preserve">Credit rate $0.05</t>
        </is>
      </c>
      <c r="B73" s="11">
        <f>IF(IF(IF(ISERROR('DealScope sensitivity controls'!H15=1),'DealScope sensitivity controls'!H15=1,IF('DealScope sensitivity controls'!H15="","",'DealScope sensitivity controls'!H15=1))="",FALSE,IF(ISERROR('DealScope sensitivity controls'!H15=1),'DealScope sensitivity controls'!H15=1,IF('DealScope sensitivity controls'!H15="","",'DealScope sensitivity controls'!H15=1))),'Model inputs'!B6/12*'DealScope sensitivity controls'!G15,IF('DealScope sensitivity controls'!B15="","",'DealScope sensitivity controls'!B15))</f>
        <v>4</v>
      </c>
      <c r="C73" s="10">
        <f>IF(EXACT("Per audit — high","Annual deal-team"),('Model inputs'!B48/12+MAX('DealScope sensitivity compariso'!B73-'Model inputs'!B27/12,0)*'Model inputs'!B35)*(1-'DealScope sensitivity controls'!C15),('Model inputs'!B48/12+'Model inputs'!B12*'DealScope sensitivity compariso'!B73)*(1-'DealScope sensitivity controls'!C15))</f>
        <v>12000</v>
      </c>
      <c r="D73" s="10">
        <f>'Model inputs'!B15*'DealScope sensitivity controls'!E15*'DealScope sensitivity controls'!D15*'Model inputs'!B17+'Model inputs'!B30+'Model inputs'!B39+'Model inputs'!B19</f>
        <v>93.35</v>
      </c>
      <c r="E73" s="10">
        <f>IFERROR('DealScope sensitivity compariso'!C73/'DealScope sensitivity compariso'!B73,"")</f>
        <v>3000</v>
      </c>
      <c r="F73" s="12">
        <f>IFERROR(('DealScope sensitivity compariso'!E73-'DealScope sensitivity compariso'!D73)/'DealScope sensitivity compariso'!E73,"")</f>
        <v>0.9688833333333333</v>
      </c>
      <c r="G73" s="12">
        <f>IFERROR(('DealScope sensitivity compariso'!C73*(1-'Model inputs'!B38)-'DealScope sensitivity compariso'!B73*'DealScope sensitivity compariso'!D73-'Model inputs'!B42*'Model inputs'!B41)/'DealScope sensitivity compariso'!C73,"")</f>
        <v>0.9363833333333333</v>
      </c>
      <c r="H73" s="11">
        <f>'Model inputs'!B112+IF(IF(IF(IF(ISERROR('Model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controls'!F15)/'Model inputs'!B21,0),1),IF(IF(IF(ISERROR(11&gt;'DealScope sensitivity controls'!F15),11&gt;'DealScope sensitivity controls'!F15,IF('DealScope sensitivity controls'!F15="","",11&gt;'DealScope sensitivity controls'!F15))="",FALSE,IF(ISERROR(11&gt;'DealScope sensitivity controls'!F15),11&gt;'DealScope sensitivity controls'!F15,IF('DealScope sensitivity controls'!F15="","",11&gt;'DealScope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controls'!F15)/'Model inputs'!B21,0),1),IF(IF(IF(ISERROR(11&gt;'DealScope sensitivity controls'!F15),11&gt;'DealScope sensitivity controls'!F15,IF('DealScope sensitivity controls'!F15="","",11&gt;'DealScope sensitivity controls'!F15))="",FALSE,IF(ISERROR(11&gt;'DealScope sensitivity controls'!F15),11&gt;'DealScope sensitivity controls'!F15,IF('DealScope sensitivity controls'!F15="","",11&gt;'DealScope sensitivity controls'!F15))),IF('Model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controls'!F15)/'Model inputs'!B21,0),1),IF(IF(IF(ISERROR(12&gt;'DealScope sensitivity controls'!F15),12&gt;'DealScope sensitivity controls'!F15,IF('DealScope sensitivity controls'!F15="","",12&gt;'DealScope sensitivity controls'!F15))="",FALSE,IF(ISERROR(12&gt;'DealScope sensitivity controls'!F15),12&gt;'DealScope sensitivity controls'!F15,IF('DealScope sensitivity controls'!F15="","",12&gt;'DealScope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controls'!F15)/'Model inputs'!B21,0),1),IF(IF(IF(ISERROR(12&gt;'DealScope sensitivity controls'!F15),12&gt;'DealScope sensitivity controls'!F15,IF('DealScope sensitivity controls'!F15="","",12&gt;'DealScope sensitivity controls'!F15))="",FALSE,IF(ISERROR(12&gt;'DealScope sensitivity controls'!F15),12&gt;'DealScope sensitivity controls'!F15,IF('DealScope sensitivity controls'!F15="","",12&gt;'DealScope sensitivity controls'!F15))),IF('Model inputs'!B43="","",'Model inputs'!B43),0)))</f>
        <v>97.5</v>
      </c>
      <c r="I73" s="10">
        <f>'DealScope sensitivity compariso'!H73*'DealScope sensitivity compariso'!C73</f>
        <v>1170000</v>
      </c>
      <c r="J73" s="10">
        <f>'DealScope sensitivity compariso'!I73*(1-'Model inputs'!B38)-'DealScope sensitivity compariso'!H73*('DealScope sensitivity compariso'!B73*'DealScope sensitivity compariso'!D73+'Model inputs'!B42*'Model inputs'!B41)-SUM('Model inputs'!B76,'Model inputs'!B77)</f>
        <v>1083068.5</v>
      </c>
    </row>
    <row r="74" outlineLevel="1">
      <c r="A74" t="inlineStr" s="13">
        <is>
          <t xml:space="preserve">Credit rate $0.10</t>
        </is>
      </c>
      <c r="B74" s="11">
        <f>IF(IF(IF(ISERROR('DealScope sensitivity controls'!H16=1),'DealScope sensitivity controls'!H16=1,IF('DealScope sensitivity controls'!H16="","",'DealScope sensitivity controls'!H16=1))="",FALSE,IF(ISERROR('DealScope sensitivity controls'!H16=1),'DealScope sensitivity controls'!H16=1,IF('DealScope sensitivity controls'!H16="","",'DealScope sensitivity controls'!H16=1))),'Model inputs'!B6/12*'DealScope sensitivity controls'!G16,IF('DealScope sensitivity controls'!B16="","",'DealScope sensitivity controls'!B16))</f>
        <v>4</v>
      </c>
      <c r="C74" s="10">
        <f>IF(EXACT("Per audit — high","Annual deal-team"),('Model inputs'!B48/12+MAX('DealScope sensitivity compariso'!B74-'Model inputs'!B27/12,0)*'Model inputs'!B35)*(1-'DealScope sensitivity controls'!C16),('Model inputs'!B48/12+'Model inputs'!B12*'DealScope sensitivity compariso'!B74)*(1-'DealScope sensitivity controls'!C16))</f>
        <v>12000</v>
      </c>
      <c r="D74" s="10">
        <f>'Model inputs'!B15*'DealScope sensitivity controls'!E16*'DealScope sensitivity controls'!D16*'Model inputs'!B17+'Model inputs'!B30+'Model inputs'!B39+'Model inputs'!B19</f>
        <v>94.65</v>
      </c>
      <c r="E74" s="10">
        <f>IFERROR('DealScope sensitivity compariso'!C74/'DealScope sensitivity compariso'!B74,"")</f>
        <v>3000</v>
      </c>
      <c r="F74" s="12">
        <f>IFERROR(('DealScope sensitivity compariso'!E74-'DealScope sensitivity compariso'!D74)/'DealScope sensitivity compariso'!E74,"")</f>
        <v>0.9684499999999999</v>
      </c>
      <c r="G74" s="12">
        <f>IFERROR(('DealScope sensitivity compariso'!C74*(1-'Model inputs'!B38)-'DealScope sensitivity compariso'!B74*'DealScope sensitivity compariso'!D74-'Model inputs'!B42*'Model inputs'!B41)/'DealScope sensitivity compariso'!C74,"")</f>
        <v>0.93595</v>
      </c>
      <c r="H74" s="11">
        <f>'Model inputs'!B117+IF(IF(IF(IF(ISERROR('Model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controls'!F16)/'Model inputs'!B21,0),1),IF(IF(IF(ISERROR(11&gt;'DealScope sensitivity controls'!F16),11&gt;'DealScope sensitivity controls'!F16,IF('DealScope sensitivity controls'!F16="","",11&gt;'DealScope sensitivity controls'!F16))="",FALSE,IF(ISERROR(11&gt;'DealScope sensitivity controls'!F16),11&gt;'DealScope sensitivity controls'!F16,IF('DealScope sensitivity controls'!F16="","",11&gt;'DealScope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controls'!F16)/'Model inputs'!B21,0),1),IF(IF(IF(ISERROR(11&gt;'DealScope sensitivity controls'!F16),11&gt;'DealScope sensitivity controls'!F16,IF('DealScope sensitivity controls'!F16="","",11&gt;'DealScope sensitivity controls'!F16))="",FALSE,IF(ISERROR(11&gt;'DealScope sensitivity controls'!F16),11&gt;'DealScope sensitivity controls'!F16,IF('DealScope sensitivity controls'!F16="","",11&gt;'DealScope sensitivity controls'!F16))),IF('Model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controls'!F16)/'Model inputs'!B21,0),1),IF(IF(IF(ISERROR(12&gt;'DealScope sensitivity controls'!F16),12&gt;'DealScope sensitivity controls'!F16,IF('DealScope sensitivity controls'!F16="","",12&gt;'DealScope sensitivity controls'!F16))="",FALSE,IF(ISERROR(12&gt;'DealScope sensitivity controls'!F16),12&gt;'DealScope sensitivity controls'!F16,IF('DealScope sensitivity controls'!F16="","",12&gt;'DealScope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controls'!F16)/'Model inputs'!B21,0),1),IF(IF(IF(ISERROR(12&gt;'DealScope sensitivity controls'!F16),12&gt;'DealScope sensitivity controls'!F16,IF('DealScope sensitivity controls'!F16="","",12&gt;'DealScope sensitivity controls'!F16))="",FALSE,IF(ISERROR(12&gt;'DealScope sensitivity controls'!F16),12&gt;'DealScope sensitivity controls'!F16,IF('DealScope sensitivity controls'!F16="","",12&gt;'DealScope sensitivity controls'!F16))),IF('Model inputs'!B43="","",'Model inputs'!B43),0)))</f>
        <v>97.5</v>
      </c>
      <c r="I74" s="10">
        <f>'DealScope sensitivity compariso'!H74*'DealScope sensitivity compariso'!C74</f>
        <v>1170000</v>
      </c>
      <c r="J74" s="10">
        <f>'DealScope sensitivity compariso'!I74*(1-'Model inputs'!B38)-'DealScope sensitivity compariso'!H74*('DealScope sensitivity compariso'!B74*'DealScope sensitivity compariso'!D74+'Model inputs'!B42*'Model inputs'!B41)-SUM('Model inputs'!B76,'Model inputs'!B77)</f>
        <v>1082561.5</v>
      </c>
    </row>
    <row r="75" outlineLevel="1">
      <c r="A75" t="inlineStr" s="13">
        <is>
          <t xml:space="preserve">Credit rate $0.25</t>
        </is>
      </c>
      <c r="B75" s="11">
        <f>IF(IF(IF(ISERROR('DealScope sensitivity controls'!H17=1),'DealScope sensitivity controls'!H17=1,IF('DealScope sensitivity controls'!H17="","",'DealScope sensitivity controls'!H17=1))="",FALSE,IF(ISERROR('DealScope sensitivity controls'!H17=1),'DealScope sensitivity controls'!H17=1,IF('DealScope sensitivity controls'!H17="","",'DealScope sensitivity controls'!H17=1))),'Model inputs'!B6/12*'DealScope sensitivity controls'!G17,IF('DealScope sensitivity controls'!B17="","",'DealScope sensitivity controls'!B17))</f>
        <v>4</v>
      </c>
      <c r="C75" s="10">
        <f>IF(EXACT("Per audit — high","Annual deal-team"),('Model inputs'!B48/12+MAX('DealScope sensitivity compariso'!B75-'Model inputs'!B27/12,0)*'Model inputs'!B35)*(1-'DealScope sensitivity controls'!C17),('Model inputs'!B48/12+'Model inputs'!B12*'DealScope sensitivity compariso'!B75)*(1-'DealScope sensitivity controls'!C17))</f>
        <v>12000</v>
      </c>
      <c r="D75" s="10">
        <f>'Model inputs'!B15*'DealScope sensitivity controls'!E17*'DealScope sensitivity controls'!D17*'Model inputs'!B17+'Model inputs'!B30+'Model inputs'!B39+'Model inputs'!B19</f>
        <v>98.55</v>
      </c>
      <c r="E75" s="10">
        <f>IFERROR('DealScope sensitivity compariso'!C75/'DealScope sensitivity compariso'!B75,"")</f>
        <v>3000</v>
      </c>
      <c r="F75" s="12">
        <f>IFERROR(('DealScope sensitivity compariso'!E75-'DealScope sensitivity compariso'!D75)/'DealScope sensitivity compariso'!E75,"")</f>
        <v>0.96715</v>
      </c>
      <c r="G75" s="12">
        <f>IFERROR(('DealScope sensitivity compariso'!C75*(1-'Model inputs'!B38)-'DealScope sensitivity compariso'!B75*'DealScope sensitivity compariso'!D75-'Model inputs'!B42*'Model inputs'!B41)/'DealScope sensitivity compariso'!C75,"")</f>
        <v>0.93465</v>
      </c>
      <c r="H75" s="11">
        <f>'Model inputs'!B122+IF(IF(IF(IF(ISERROR('Model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controls'!F17)/'Model inputs'!B21,0),1),IF(IF(IF(ISERROR(11&gt;'DealScope sensitivity controls'!F17),11&gt;'DealScope sensitivity controls'!F17,IF('DealScope sensitivity controls'!F17="","",11&gt;'DealScope sensitivity controls'!F17))="",FALSE,IF(ISERROR(11&gt;'DealScope sensitivity controls'!F17),11&gt;'DealScope sensitivity controls'!F17,IF('DealScope sensitivity controls'!F17="","",11&gt;'DealScope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controls'!F17)/'Model inputs'!B21,0),1),IF(IF(IF(ISERROR(11&gt;'DealScope sensitivity controls'!F17),11&gt;'DealScope sensitivity controls'!F17,IF('DealScope sensitivity controls'!F17="","",11&gt;'DealScope sensitivity controls'!F17))="",FALSE,IF(ISERROR(11&gt;'DealScope sensitivity controls'!F17),11&gt;'DealScope sensitivity controls'!F17,IF('DealScope sensitivity controls'!F17="","",11&gt;'DealScope sensitivity controls'!F17))),IF('Model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controls'!F17)/'Model inputs'!B21,0),1),IF(IF(IF(ISERROR(12&gt;'DealScope sensitivity controls'!F17),12&gt;'DealScope sensitivity controls'!F17,IF('DealScope sensitivity controls'!F17="","",12&gt;'DealScope sensitivity controls'!F17))="",FALSE,IF(ISERROR(12&gt;'DealScope sensitivity controls'!F17),12&gt;'DealScope sensitivity controls'!F17,IF('DealScope sensitivity controls'!F17="","",12&gt;'DealScope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controls'!F17)/'Model inputs'!B21,0),1),IF(IF(IF(ISERROR(12&gt;'DealScope sensitivity controls'!F17),12&gt;'DealScope sensitivity controls'!F17,IF('DealScope sensitivity controls'!F17="","",12&gt;'DealScope sensitivity controls'!F17))="",FALSE,IF(ISERROR(12&gt;'DealScope sensitivity controls'!F17),12&gt;'DealScope sensitivity controls'!F17,IF('DealScope sensitivity controls'!F17="","",12&gt;'DealScope sensitivity controls'!F17))),IF('Model inputs'!B43="","",'Model inputs'!B43),0)))</f>
        <v>97.5</v>
      </c>
      <c r="I75" s="10">
        <f>'DealScope sensitivity compariso'!H75*'DealScope sensitivity compariso'!C75</f>
        <v>1170000</v>
      </c>
      <c r="J75" s="10">
        <f>'DealScope sensitivity compariso'!I75*(1-'Model inputs'!B38)-'DealScope sensitivity compariso'!H75*('DealScope sensitivity compariso'!B75*'DealScope sensitivity compariso'!D75+'Model inputs'!B42*'Model inputs'!B41)-SUM('Model inputs'!B76,'Model inputs'!B77)</f>
        <v>1081040.5</v>
      </c>
    </row>
    <row r="76" outlineLevel="1">
      <c r="A76" t="inlineStr" s="13">
        <is>
          <t xml:space="preserve">Data cost x1</t>
        </is>
      </c>
      <c r="B76" s="11">
        <f>IF(IF(IF(ISERROR('DealScope sensitivity controls'!H12=1),'DealScope sensitivity controls'!H12=1,IF('DealScope sensitivity controls'!H12="","",'DealScope sensitivity controls'!H12=1))="",FALSE,IF(ISERROR('DealScope sensitivity controls'!H12=1),'DealScope sensitivity controls'!H12=1,IF('DealScope sensitivity controls'!H12="","",'DealScope sensitivity controls'!H12=1))),'Model inputs'!B6/12*'DealScope sensitivity controls'!G12,IF('DealScope sensitivity controls'!B12="","",'DealScope sensitivity controls'!B12))</f>
        <v>4</v>
      </c>
      <c r="C76" s="10">
        <f>IF(EXACT("Per audit — high","Annual deal-team"),('Model inputs'!B48/12+MAX('DealScope sensitivity compariso'!B76-'Model inputs'!B27/12,0)*'Model inputs'!B35)*(1-'DealScope sensitivity controls'!C12),('Model inputs'!B48/12+'Model inputs'!B12*'DealScope sensitivity compariso'!B76)*(1-'DealScope sensitivity controls'!C12))</f>
        <v>12000</v>
      </c>
      <c r="D76" s="10">
        <f>'Model inputs'!B15*'DealScope sensitivity controls'!E12*'DealScope sensitivity controls'!D12*'Model inputs'!B17+'Model inputs'!B30+'Model inputs'!B39+'Model inputs'!B19</f>
        <v>94.65</v>
      </c>
      <c r="E76" s="10">
        <f>IFERROR('DealScope sensitivity compariso'!C76/'DealScope sensitivity compariso'!B76,"")</f>
        <v>3000</v>
      </c>
      <c r="F76" s="12">
        <f>IFERROR(('DealScope sensitivity compariso'!E76-'DealScope sensitivity compariso'!D76)/'DealScope sensitivity compariso'!E76,"")</f>
        <v>0.9684499999999999</v>
      </c>
      <c r="G76" s="12">
        <f>IFERROR(('DealScope sensitivity compariso'!C76*(1-'Model inputs'!B38)-'DealScope sensitivity compariso'!B76*'DealScope sensitivity compariso'!D76-'Model inputs'!B42*'Model inputs'!B41)/'DealScope sensitivity compariso'!C76,"")</f>
        <v>0.93595</v>
      </c>
      <c r="H76" s="11">
        <f>'Model inputs'!B127+IF(IF(IF(IF(ISERROR('Model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controls'!F12)/'Model inputs'!B21,0),1),IF(IF(IF(ISERROR(11&gt;'DealScope sensitivity controls'!F12),11&gt;'DealScope sensitivity controls'!F12,IF('DealScope sensitivity controls'!F12="","",11&gt;'DealScope sensitivity controls'!F12))="",FALSE,IF(ISERROR(11&gt;'DealScope sensitivity controls'!F12),11&gt;'DealScope sensitivity controls'!F12,IF('DealScope sensitivity controls'!F12="","",11&gt;'DealScope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controls'!F12)/'Model inputs'!B21,0),1),IF(IF(IF(ISERROR(11&gt;'DealScope sensitivity controls'!F12),11&gt;'DealScope sensitivity controls'!F12,IF('DealScope sensitivity controls'!F12="","",11&gt;'DealScope sensitivity controls'!F12))="",FALSE,IF(ISERROR(11&gt;'DealScope sensitivity controls'!F12),11&gt;'DealScope sensitivity controls'!F12,IF('DealScope sensitivity controls'!F12="","",11&gt;'DealScope sensitivity controls'!F12))),IF('Model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controls'!F12)/'Model inputs'!B21,0),1),IF(IF(IF(ISERROR(12&gt;'DealScope sensitivity controls'!F12),12&gt;'DealScope sensitivity controls'!F12,IF('DealScope sensitivity controls'!F12="","",12&gt;'DealScope sensitivity controls'!F12))="",FALSE,IF(ISERROR(12&gt;'DealScope sensitivity controls'!F12),12&gt;'DealScope sensitivity controls'!F12,IF('DealScope sensitivity controls'!F12="","",12&gt;'DealScope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controls'!F12)/'Model inputs'!B21,0),1),IF(IF(IF(ISERROR(12&gt;'DealScope sensitivity controls'!F12),12&gt;'DealScope sensitivity controls'!F12,IF('DealScope sensitivity controls'!F12="","",12&gt;'DealScope sensitivity controls'!F12))="",FALSE,IF(ISERROR(12&gt;'DealScope sensitivity controls'!F12),12&gt;'DealScope sensitivity controls'!F12,IF('DealScope sensitivity controls'!F12="","",12&gt;'DealScope sensitivity controls'!F12))),IF('Model inputs'!B43="","",'Model inputs'!B43),0)))</f>
        <v>97.5</v>
      </c>
      <c r="I76" s="10">
        <f>'DealScope sensitivity compariso'!H76*'DealScope sensitivity compariso'!C76</f>
        <v>1170000</v>
      </c>
      <c r="J76" s="10">
        <f>'DealScope sensitivity compariso'!I76*(1-'Model inputs'!B38)-'DealScope sensitivity compariso'!H76*('DealScope sensitivity compariso'!B76*'DealScope sensitivity compariso'!D76+'Model inputs'!B42*'Model inputs'!B41)-SUM('Model inputs'!B76,'Model inputs'!B77)</f>
        <v>1082561.5</v>
      </c>
    </row>
    <row r="77" outlineLevel="1">
      <c r="A77" t="inlineStr" s="13">
        <is>
          <t xml:space="preserve">Data cost x2</t>
        </is>
      </c>
      <c r="B77" s="11">
        <f>IF(IF(IF(ISERROR('DealScope sensitivity controls'!H13=1),'DealScope sensitivity controls'!H13=1,IF('DealScope sensitivity controls'!H13="","",'DealScope sensitivity controls'!H13=1))="",FALSE,IF(ISERROR('DealScope sensitivity controls'!H13=1),'DealScope sensitivity controls'!H13=1,IF('DealScope sensitivity controls'!H13="","",'DealScope sensitivity controls'!H13=1))),'Model inputs'!B6/12*'DealScope sensitivity controls'!G13,IF('DealScope sensitivity controls'!B13="","",'DealScope sensitivity controls'!B13))</f>
        <v>4</v>
      </c>
      <c r="C77" s="10">
        <f>IF(EXACT("Per audit — high","Annual deal-team"),('Model inputs'!B48/12+MAX('DealScope sensitivity compariso'!B77-'Model inputs'!B27/12,0)*'Model inputs'!B35)*(1-'DealScope sensitivity controls'!C13),('Model inputs'!B48/12+'Model inputs'!B12*'DealScope sensitivity compariso'!B77)*(1-'DealScope sensitivity controls'!C13))</f>
        <v>12000</v>
      </c>
      <c r="D77" s="10">
        <f>'Model inputs'!B15*'DealScope sensitivity controls'!E13*'DealScope sensitivity controls'!D13*'Model inputs'!B17+'Model inputs'!B30+'Model inputs'!B39+'Model inputs'!B19</f>
        <v>97.25</v>
      </c>
      <c r="E77" s="10">
        <f>IFERROR('DealScope sensitivity compariso'!C77/'DealScope sensitivity compariso'!B77,"")</f>
        <v>3000</v>
      </c>
      <c r="F77" s="12">
        <f>IFERROR(('DealScope sensitivity compariso'!E77-'DealScope sensitivity compariso'!D77)/'DealScope sensitivity compariso'!E77,"")</f>
        <v>0.9675833333333334</v>
      </c>
      <c r="G77" s="12">
        <f>IFERROR(('DealScope sensitivity compariso'!C77*(1-'Model inputs'!B38)-'DealScope sensitivity compariso'!B77*'DealScope sensitivity compariso'!D77-'Model inputs'!B42*'Model inputs'!B41)/'DealScope sensitivity compariso'!C77,"")</f>
        <v>0.9350833333333334</v>
      </c>
      <c r="H77" s="11">
        <f>'Model inputs'!B132+IF(IF(IF(IF(ISERROR('Model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controls'!F13)/'Model inputs'!B21,0),1),IF(IF(IF(ISERROR(11&gt;'DealScope sensitivity controls'!F13),11&gt;'DealScope sensitivity controls'!F13,IF('DealScope sensitivity controls'!F13="","",11&gt;'DealScope sensitivity controls'!F13))="",FALSE,IF(ISERROR(11&gt;'DealScope sensitivity controls'!F13),11&gt;'DealScope sensitivity controls'!F13,IF('DealScope sensitivity controls'!F13="","",11&gt;'DealScope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controls'!F13)/'Model inputs'!B21,0),1),IF(IF(IF(ISERROR(11&gt;'DealScope sensitivity controls'!F13),11&gt;'DealScope sensitivity controls'!F13,IF('DealScope sensitivity controls'!F13="","",11&gt;'DealScope sensitivity controls'!F13))="",FALSE,IF(ISERROR(11&gt;'DealScope sensitivity controls'!F13),11&gt;'DealScope sensitivity controls'!F13,IF('DealScope sensitivity controls'!F13="","",11&gt;'DealScope sensitivity controls'!F13))),IF('Model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controls'!F13)/'Model inputs'!B21,0),1),IF(IF(IF(ISERROR(12&gt;'DealScope sensitivity controls'!F13),12&gt;'DealScope sensitivity controls'!F13,IF('DealScope sensitivity controls'!F13="","",12&gt;'DealScope sensitivity controls'!F13))="",FALSE,IF(ISERROR(12&gt;'DealScope sensitivity controls'!F13),12&gt;'DealScope sensitivity controls'!F13,IF('DealScope sensitivity controls'!F13="","",12&gt;'DealScope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controls'!F13)/'Model inputs'!B21,0),1),IF(IF(IF(ISERROR(12&gt;'DealScope sensitivity controls'!F13),12&gt;'DealScope sensitivity controls'!F13,IF('DealScope sensitivity controls'!F13="","",12&gt;'DealScope sensitivity controls'!F13))="",FALSE,IF(ISERROR(12&gt;'DealScope sensitivity controls'!F13),12&gt;'DealScope sensitivity controls'!F13,IF('DealScope sensitivity controls'!F13="","",12&gt;'DealScope sensitivity controls'!F13))),IF('Model inputs'!B43="","",'Model inputs'!B43),0)))</f>
        <v>97.5</v>
      </c>
      <c r="I77" s="10">
        <f>'DealScope sensitivity compariso'!H77*'DealScope sensitivity compariso'!C77</f>
        <v>1170000</v>
      </c>
      <c r="J77" s="10">
        <f>'DealScope sensitivity compariso'!I77*(1-'Model inputs'!B38)-'DealScope sensitivity compariso'!H77*('DealScope sensitivity compariso'!B77*'DealScope sensitivity compariso'!D77+'Model inputs'!B42*'Model inputs'!B41)-SUM('Model inputs'!B76,'Model inputs'!B77)</f>
        <v>1081547.5</v>
      </c>
    </row>
    <row r="78" outlineLevel="1">
      <c r="A78" t="inlineStr" s="13">
        <is>
          <t xml:space="preserve">Data cost x3</t>
        </is>
      </c>
      <c r="B78" s="11">
        <f>IF(IF(IF(ISERROR('DealScope sensitivity controls'!H14=1),'DealScope sensitivity controls'!H14=1,IF('DealScope sensitivity controls'!H14="","",'DealScope sensitivity controls'!H14=1))="",FALSE,IF(ISERROR('DealScope sensitivity controls'!H14=1),'DealScope sensitivity controls'!H14=1,IF('DealScope sensitivity controls'!H14="","",'DealScope sensitivity controls'!H14=1))),'Model inputs'!B6/12*'DealScope sensitivity controls'!G14,IF('DealScope sensitivity controls'!B14="","",'DealScope sensitivity controls'!B14))</f>
        <v>4</v>
      </c>
      <c r="C78" s="10">
        <f>IF(EXACT("Per audit — high","Annual deal-team"),('Model inputs'!B48/12+MAX('DealScope sensitivity compariso'!B78-'Model inputs'!B27/12,0)*'Model inputs'!B35)*(1-'DealScope sensitivity controls'!C14),('Model inputs'!B48/12+'Model inputs'!B12*'DealScope sensitivity compariso'!B78)*(1-'DealScope sensitivity controls'!C14))</f>
        <v>12000</v>
      </c>
      <c r="D78" s="10">
        <f>'Model inputs'!B15*'DealScope sensitivity controls'!E14*'DealScope sensitivity controls'!D14*'Model inputs'!B17+'Model inputs'!B30+'Model inputs'!B39+'Model inputs'!B19</f>
        <v>99.85</v>
      </c>
      <c r="E78" s="10">
        <f>IFERROR('DealScope sensitivity compariso'!C78/'DealScope sensitivity compariso'!B78,"")</f>
        <v>3000</v>
      </c>
      <c r="F78" s="12">
        <f>IFERROR(('DealScope sensitivity compariso'!E78-'DealScope sensitivity compariso'!D78)/'DealScope sensitivity compariso'!E78,"")</f>
        <v>0.9667166666666667</v>
      </c>
      <c r="G78" s="12">
        <f>IFERROR(('DealScope sensitivity compariso'!C78*(1-'Model inputs'!B38)-'DealScope sensitivity compariso'!B78*'DealScope sensitivity compariso'!D78-'Model inputs'!B42*'Model inputs'!B41)/'DealScope sensitivity compariso'!C78,"")</f>
        <v>0.9342166666666667</v>
      </c>
      <c r="H78" s="11">
        <f>'Model inputs'!B137+IF(IF(IF(IF(ISERROR('Model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controls'!F14)/'Model inputs'!B21,0),1),IF(IF(IF(ISERROR(11&gt;'DealScope sensitivity controls'!F14),11&gt;'DealScope sensitivity controls'!F14,IF('DealScope sensitivity controls'!F14="","",11&gt;'DealScope sensitivity controls'!F14))="",FALSE,IF(ISERROR(11&gt;'DealScope sensitivity controls'!F14),11&gt;'DealScope sensitivity controls'!F14,IF('DealScope sensitivity controls'!F14="","",11&gt;'DealScope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controls'!F14)/'Model inputs'!B21,0),1),IF(IF(IF(ISERROR(11&gt;'DealScope sensitivity controls'!F14),11&gt;'DealScope sensitivity controls'!F14,IF('DealScope sensitivity controls'!F14="","",11&gt;'DealScope sensitivity controls'!F14))="",FALSE,IF(ISERROR(11&gt;'DealScope sensitivity controls'!F14),11&gt;'DealScope sensitivity controls'!F14,IF('DealScope sensitivity controls'!F14="","",11&gt;'DealScope sensitivity controls'!F14))),IF('Model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controls'!F14)/'Model inputs'!B21,0),1),IF(IF(IF(ISERROR(12&gt;'DealScope sensitivity controls'!F14),12&gt;'DealScope sensitivity controls'!F14,IF('DealScope sensitivity controls'!F14="","",12&gt;'DealScope sensitivity controls'!F14))="",FALSE,IF(ISERROR(12&gt;'DealScope sensitivity controls'!F14),12&gt;'DealScope sensitivity controls'!F14,IF('DealScope sensitivity controls'!F14="","",12&gt;'DealScope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controls'!F14)/'Model inputs'!B21,0),1),IF(IF(IF(ISERROR(12&gt;'DealScope sensitivity controls'!F14),12&gt;'DealScope sensitivity controls'!F14,IF('DealScope sensitivity controls'!F14="","",12&gt;'DealScope sensitivity controls'!F14))="",FALSE,IF(ISERROR(12&gt;'DealScope sensitivity controls'!F14),12&gt;'DealScope sensitivity controls'!F14,IF('DealScope sensitivity controls'!F14="","",12&gt;'DealScope sensitivity controls'!F14))),IF('Model inputs'!B43="","",'Model inputs'!B43),0)))</f>
        <v>97.5</v>
      </c>
      <c r="I78" s="10">
        <f>'DealScope sensitivity compariso'!H78*'DealScope sensitivity compariso'!C78</f>
        <v>1170000</v>
      </c>
      <c r="J78" s="10">
        <f>'DealScope sensitivity compariso'!I78*(1-'Model inputs'!B38)-'DealScope sensitivity compariso'!H78*('DealScope sensitivity compariso'!B78*'DealScope sensitivity compariso'!D78+'Model inputs'!B42*'Model inputs'!B41)-SUM('Model inputs'!B76,'Model inputs'!B77)</f>
        <v>1080533.5</v>
      </c>
    </row>
    <row r="79" outlineLevel="1">
      <c r="A79" t="inlineStr" s="13">
        <is>
          <t xml:space="preserve">Discount 0%</t>
        </is>
      </c>
      <c r="B79" s="11">
        <f>IF(IF(IF(ISERROR('DealScope sensitivity controls'!H9=1),'DealScope sensitivity controls'!H9=1,IF('DealScope sensitivity controls'!H9="","",'DealScope sensitivity controls'!H9=1))="",FALSE,IF(ISERROR('DealScope sensitivity controls'!H9=1),'DealScope sensitivity controls'!H9=1,IF('DealScope sensitivity controls'!H9="","",'DealScope sensitivity controls'!H9=1))),'Model inputs'!B6/12*'DealScope sensitivity controls'!G9,IF('DealScope sensitivity controls'!B9="","",'DealScope sensitivity controls'!B9))</f>
        <v>4</v>
      </c>
      <c r="C79" s="10">
        <f>IF(EXACT("Per audit — high","Annual deal-team"),('Model inputs'!B48/12+MAX('DealScope sensitivity compariso'!B79-'Model inputs'!B27/12,0)*'Model inputs'!B35)*(1-'DealScope sensitivity controls'!C9),('Model inputs'!B48/12+'Model inputs'!B12*'DealScope sensitivity compariso'!B79)*(1-'DealScope sensitivity controls'!C9))</f>
        <v>12000</v>
      </c>
      <c r="D79" s="10">
        <f>'Model inputs'!B15*'DealScope sensitivity controls'!E9*'DealScope sensitivity controls'!D9*'Model inputs'!B17+'Model inputs'!B30+'Model inputs'!B39+'Model inputs'!B19</f>
        <v>94.65</v>
      </c>
      <c r="E79" s="10">
        <f>IFERROR('DealScope sensitivity compariso'!C79/'DealScope sensitivity compariso'!B79,"")</f>
        <v>3000</v>
      </c>
      <c r="F79" s="12">
        <f>IFERROR(('DealScope sensitivity compariso'!E79-'DealScope sensitivity compariso'!D79)/'DealScope sensitivity compariso'!E79,"")</f>
        <v>0.9684499999999999</v>
      </c>
      <c r="G79" s="12">
        <f>IFERROR(('DealScope sensitivity compariso'!C79*(1-'Model inputs'!B38)-'DealScope sensitivity compariso'!B79*'DealScope sensitivity compariso'!D79-'Model inputs'!B42*'Model inputs'!B41)/'DealScope sensitivity compariso'!C79,"")</f>
        <v>0.93595</v>
      </c>
      <c r="H79" s="11">
        <f>'Model inputs'!B142+IF(IF(IF(IF(ISERROR('Model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controls'!F9)/'Model inputs'!B21,0),1),IF(IF(IF(ISERROR(11&gt;'DealScope sensitivity controls'!F9),11&gt;'DealScope sensitivity controls'!F9,IF('DealScope sensitivity controls'!F9="","",11&gt;'DealScope sensitivity controls'!F9))="",FALSE,IF(ISERROR(11&gt;'DealScope sensitivity controls'!F9),11&gt;'DealScope sensitivity controls'!F9,IF('DealScope sensitivity controls'!F9="","",11&gt;'DealScope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controls'!F9)/'Model inputs'!B21,0),1),IF(IF(IF(ISERROR(11&gt;'DealScope sensitivity controls'!F9),11&gt;'DealScope sensitivity controls'!F9,IF('DealScope sensitivity controls'!F9="","",11&gt;'DealScope sensitivity controls'!F9))="",FALSE,IF(ISERROR(11&gt;'DealScope sensitivity controls'!F9),11&gt;'DealScope sensitivity controls'!F9,IF('DealScope sensitivity controls'!F9="","",11&gt;'DealScope sensitivity controls'!F9))),IF('Model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controls'!F9)/'Model inputs'!B21,0),1),IF(IF(IF(ISERROR(12&gt;'DealScope sensitivity controls'!F9),12&gt;'DealScope sensitivity controls'!F9,IF('DealScope sensitivity controls'!F9="","",12&gt;'DealScope sensitivity controls'!F9))="",FALSE,IF(ISERROR(12&gt;'DealScope sensitivity controls'!F9),12&gt;'DealScope sensitivity controls'!F9,IF('DealScope sensitivity controls'!F9="","",12&gt;'DealScope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controls'!F9)/'Model inputs'!B21,0),1),IF(IF(IF(ISERROR(12&gt;'DealScope sensitivity controls'!F9),12&gt;'DealScope sensitivity controls'!F9,IF('DealScope sensitivity controls'!F9="","",12&gt;'DealScope sensitivity controls'!F9))="",FALSE,IF(ISERROR(12&gt;'DealScope sensitivity controls'!F9),12&gt;'DealScope sensitivity controls'!F9,IF('DealScope sensitivity controls'!F9="","",12&gt;'DealScope sensitivity controls'!F9))),IF('Model inputs'!B43="","",'Model inputs'!B43),0)))</f>
        <v>97.5</v>
      </c>
      <c r="I79" s="10">
        <f>'DealScope sensitivity compariso'!H79*'DealScope sensitivity compariso'!C79</f>
        <v>1170000</v>
      </c>
      <c r="J79" s="10">
        <f>'DealScope sensitivity compariso'!I79*(1-'Model inputs'!B38)-'DealScope sensitivity compariso'!H79*('DealScope sensitivity compariso'!B79*'DealScope sensitivity compariso'!D79+'Model inputs'!B42*'Model inputs'!B41)-SUM('Model inputs'!B76,'Model inputs'!B77)</f>
        <v>1082561.5</v>
      </c>
    </row>
    <row r="80" outlineLevel="1">
      <c r="A80" t="inlineStr" s="13">
        <is>
          <t xml:space="preserve">Discount 20%</t>
        </is>
      </c>
      <c r="B80" s="11">
        <f>IF(IF(IF(ISERROR('DealScope sensitivity controls'!H10=1),'DealScope sensitivity controls'!H10=1,IF('DealScope sensitivity controls'!H10="","",'DealScope sensitivity controls'!H10=1))="",FALSE,IF(ISERROR('DealScope sensitivity controls'!H10=1),'DealScope sensitivity controls'!H10=1,IF('DealScope sensitivity controls'!H10="","",'DealScope sensitivity controls'!H10=1))),'Model inputs'!B6/12*'DealScope sensitivity controls'!G10,IF('DealScope sensitivity controls'!B10="","",'DealScope sensitivity controls'!B10))</f>
        <v>4</v>
      </c>
      <c r="C80" s="10">
        <f>IF(EXACT("Per audit — high","Annual deal-team"),('Model inputs'!B48/12+MAX('DealScope sensitivity compariso'!B80-'Model inputs'!B27/12,0)*'Model inputs'!B35)*(1-'DealScope sensitivity controls'!C10),('Model inputs'!B48/12+'Model inputs'!B12*'DealScope sensitivity compariso'!B80)*(1-'DealScope sensitivity controls'!C10))</f>
        <v>9600</v>
      </c>
      <c r="D80" s="10">
        <f>'Model inputs'!B15*'DealScope sensitivity controls'!E10*'DealScope sensitivity controls'!D10*'Model inputs'!B17+'Model inputs'!B30+'Model inputs'!B39+'Model inputs'!B19</f>
        <v>94.65</v>
      </c>
      <c r="E80" s="10">
        <f>IFERROR('DealScope sensitivity compariso'!C80/'DealScope sensitivity compariso'!B80,"")</f>
        <v>2400</v>
      </c>
      <c r="F80" s="12">
        <f>IFERROR(('DealScope sensitivity compariso'!E80-'DealScope sensitivity compariso'!D80)/'DealScope sensitivity compariso'!E80,"")</f>
        <v>0.9605625</v>
      </c>
      <c r="G80" s="12">
        <f>IFERROR(('DealScope sensitivity compariso'!C80*(1-'Model inputs'!B38)-'DealScope sensitivity compariso'!B80*'DealScope sensitivity compariso'!D80-'Model inputs'!B42*'Model inputs'!B41)/'DealScope sensitivity compariso'!C80,"")</f>
        <v>0.9274374999999999</v>
      </c>
      <c r="H80" s="11">
        <f>'Model inputs'!B147+IF(IF(IF(IF(ISERROR('Model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controls'!F10)/'Model inputs'!B21,0),1),IF(IF(IF(ISERROR(11&gt;'DealScope sensitivity controls'!F10),11&gt;'DealScope sensitivity controls'!F10,IF('DealScope sensitivity controls'!F10="","",11&gt;'DealScope sensitivity controls'!F10))="",FALSE,IF(ISERROR(11&gt;'DealScope sensitivity controls'!F10),11&gt;'DealScope sensitivity controls'!F10,IF('DealScope sensitivity controls'!F10="","",11&gt;'DealScope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controls'!F10)/'Model inputs'!B21,0),1),IF(IF(IF(ISERROR(11&gt;'DealScope sensitivity controls'!F10),11&gt;'DealScope sensitivity controls'!F10,IF('DealScope sensitivity controls'!F10="","",11&gt;'DealScope sensitivity controls'!F10))="",FALSE,IF(ISERROR(11&gt;'DealScope sensitivity controls'!F10),11&gt;'DealScope sensitivity controls'!F10,IF('DealScope sensitivity controls'!F10="","",11&gt;'DealScope sensitivity controls'!F10))),IF('Model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controls'!F10)/'Model inputs'!B21,0),1),IF(IF(IF(ISERROR(12&gt;'DealScope sensitivity controls'!F10),12&gt;'DealScope sensitivity controls'!F10,IF('DealScope sensitivity controls'!F10="","",12&gt;'DealScope sensitivity controls'!F10))="",FALSE,IF(ISERROR(12&gt;'DealScope sensitivity controls'!F10),12&gt;'DealScope sensitivity controls'!F10,IF('DealScope sensitivity controls'!F10="","",12&gt;'DealScope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controls'!F10)/'Model inputs'!B21,0),1),IF(IF(IF(ISERROR(12&gt;'DealScope sensitivity controls'!F10),12&gt;'DealScope sensitivity controls'!F10,IF('DealScope sensitivity controls'!F10="","",12&gt;'DealScope sensitivity controls'!F10))="",FALSE,IF(ISERROR(12&gt;'DealScope sensitivity controls'!F10),12&gt;'DealScope sensitivity controls'!F10,IF('DealScope sensitivity controls'!F10="","",12&gt;'DealScope sensitivity controls'!F10))),IF('Model inputs'!B43="","",'Model inputs'!B43),0)))</f>
        <v>97.5</v>
      </c>
      <c r="I80" s="10">
        <f>'DealScope sensitivity compariso'!H80*'DealScope sensitivity compariso'!C80</f>
        <v>936000</v>
      </c>
      <c r="J80" s="10">
        <f>'DealScope sensitivity compariso'!I80*(1-'Model inputs'!B38)-'DealScope sensitivity compariso'!H80*('DealScope sensitivity compariso'!B80*'DealScope sensitivity compariso'!D80+'Model inputs'!B42*'Model inputs'!B41)-SUM('Model inputs'!B76,'Model inputs'!B77)</f>
        <v>855581.5</v>
      </c>
    </row>
    <row r="81" outlineLevel="1">
      <c r="A81" t="inlineStr" s="13">
        <is>
          <t xml:space="preserve">Discount 40%</t>
        </is>
      </c>
      <c r="B81" s="11">
        <f>IF(IF(IF(ISERROR('DealScope sensitivity controls'!H11=1),'DealScope sensitivity controls'!H11=1,IF('DealScope sensitivity controls'!H11="","",'DealScope sensitivity controls'!H11=1))="",FALSE,IF(ISERROR('DealScope sensitivity controls'!H11=1),'DealScope sensitivity controls'!H11=1,IF('DealScope sensitivity controls'!H11="","",'DealScope sensitivity controls'!H11=1))),'Model inputs'!B6/12*'DealScope sensitivity controls'!G11,IF('DealScope sensitivity controls'!B11="","",'DealScope sensitivity controls'!B11))</f>
        <v>4</v>
      </c>
      <c r="C81" s="10">
        <f>IF(EXACT("Per audit — high","Annual deal-team"),('Model inputs'!B48/12+MAX('DealScope sensitivity compariso'!B81-'Model inputs'!B27/12,0)*'Model inputs'!B35)*(1-'DealScope sensitivity controls'!C11),('Model inputs'!B48/12+'Model inputs'!B12*'DealScope sensitivity compariso'!B81)*(1-'DealScope sensitivity controls'!C11))</f>
        <v>7200</v>
      </c>
      <c r="D81" s="10">
        <f>'Model inputs'!B15*'DealScope sensitivity controls'!E11*'DealScope sensitivity controls'!D11*'Model inputs'!B17+'Model inputs'!B30+'Model inputs'!B39+'Model inputs'!B19</f>
        <v>94.65</v>
      </c>
      <c r="E81" s="10">
        <f>IFERROR('DealScope sensitivity compariso'!C81/'DealScope sensitivity compariso'!B81,"")</f>
        <v>1800</v>
      </c>
      <c r="F81" s="12">
        <f>IFERROR(('DealScope sensitivity compariso'!E81-'DealScope sensitivity compariso'!D81)/'DealScope sensitivity compariso'!E81,"")</f>
        <v>0.9474166666666666</v>
      </c>
      <c r="G81" s="12">
        <f>IFERROR(('DealScope sensitivity compariso'!C81*(1-'Model inputs'!B38)-'DealScope sensitivity compariso'!B81*'DealScope sensitivity compariso'!D81-'Model inputs'!B42*'Model inputs'!B41)/'DealScope sensitivity compariso'!C81,"")</f>
        <v>0.9132499999999999</v>
      </c>
      <c r="H81" s="11">
        <f>'Model inputs'!B152+IF(IF(IF(IF(ISERROR('Model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controls'!F11)/'Model inputs'!B21,0),1),IF(IF(IF(ISERROR(11&gt;'DealScope sensitivity controls'!F11),11&gt;'DealScope sensitivity controls'!F11,IF('DealScope sensitivity controls'!F11="","",11&gt;'DealScope sensitivity controls'!F11))="",FALSE,IF(ISERROR(11&gt;'DealScope sensitivity controls'!F11),11&gt;'DealScope sensitivity controls'!F11,IF('DealScope sensitivity controls'!F11="","",11&gt;'DealScope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controls'!F11)/'Model inputs'!B21,0),1),IF(IF(IF(ISERROR(11&gt;'DealScope sensitivity controls'!F11),11&gt;'DealScope sensitivity controls'!F11,IF('DealScope sensitivity controls'!F11="","",11&gt;'DealScope sensitivity controls'!F11))="",FALSE,IF(ISERROR(11&gt;'DealScope sensitivity controls'!F11),11&gt;'DealScope sensitivity controls'!F11,IF('DealScope sensitivity controls'!F11="","",11&gt;'DealScope sensitivity controls'!F11))),IF('Model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controls'!F11)/'Model inputs'!B21,0),1),IF(IF(IF(ISERROR(12&gt;'DealScope sensitivity controls'!F11),12&gt;'DealScope sensitivity controls'!F11,IF('DealScope sensitivity controls'!F11="","",12&gt;'DealScope sensitivity controls'!F11))="",FALSE,IF(ISERROR(12&gt;'DealScope sensitivity controls'!F11),12&gt;'DealScope sensitivity controls'!F11,IF('DealScope sensitivity controls'!F11="","",12&gt;'DealScope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controls'!F11)/'Model inputs'!B21,0),1),IF(IF(IF(ISERROR(12&gt;'DealScope sensitivity controls'!F11),12&gt;'DealScope sensitivity controls'!F11,IF('DealScope sensitivity controls'!F11="","",12&gt;'DealScope sensitivity controls'!F11))="",FALSE,IF(ISERROR(12&gt;'DealScope sensitivity controls'!F11),12&gt;'DealScope sensitivity controls'!F11,IF('DealScope sensitivity controls'!F11="","",12&gt;'DealScope sensitivity controls'!F11))),IF('Model inputs'!B43="","",'Model inputs'!B43),0)))</f>
        <v>97.5</v>
      </c>
      <c r="I81" s="10">
        <f>'DealScope sensitivity compariso'!H81*'DealScope sensitivity compariso'!C81</f>
        <v>702000</v>
      </c>
      <c r="J81" s="10">
        <f>'DealScope sensitivity compariso'!I81*(1-'Model inputs'!B38)-'DealScope sensitivity compariso'!H81*('DealScope sensitivity compariso'!B81*'DealScope sensitivity compariso'!D81+'Model inputs'!B42*'Model inputs'!B41)-SUM('Model inputs'!B76,'Model inputs'!B77)</f>
        <v>628601.5</v>
      </c>
    </row>
    <row r="82" outlineLevel="1">
      <c r="A82" t="inlineStr" s="13">
        <is>
          <t xml:space="preserve">Sales delay 0 months</t>
        </is>
      </c>
      <c r="B82" s="11">
        <f>IF(IF(IF(ISERROR('DealScope sensitivity controls'!H18=1),'DealScope sensitivity controls'!H18=1,IF('DealScope sensitivity controls'!H18="","",'DealScope sensitivity controls'!H18=1))="",FALSE,IF(ISERROR('DealScope sensitivity controls'!H18=1),'DealScope sensitivity controls'!H18=1,IF('DealScope sensitivity controls'!H18="","",'DealScope sensitivity controls'!H18=1))),'Model inputs'!B6/12*'DealScope sensitivity controls'!G18,IF('DealScope sensitivity controls'!B18="","",'DealScope sensitivity controls'!B18))</f>
        <v>4</v>
      </c>
      <c r="C82" s="10">
        <f>IF(EXACT("Per audit — high","Annual deal-team"),('Model inputs'!B48/12+MAX('DealScope sensitivity compariso'!B82-'Model inputs'!B27/12,0)*'Model inputs'!B35)*(1-'DealScope sensitivity controls'!C18),('Model inputs'!B48/12+'Model inputs'!B12*'DealScope sensitivity compariso'!B82)*(1-'DealScope sensitivity controls'!C18))</f>
        <v>12000</v>
      </c>
      <c r="D82" s="10">
        <f>'Model inputs'!B15*'DealScope sensitivity controls'!E18*'DealScope sensitivity controls'!D18*'Model inputs'!B17+'Model inputs'!B30+'Model inputs'!B39+'Model inputs'!B19</f>
        <v>94.65</v>
      </c>
      <c r="E82" s="10">
        <f>IFERROR('DealScope sensitivity compariso'!C82/'DealScope sensitivity compariso'!B82,"")</f>
        <v>3000</v>
      </c>
      <c r="F82" s="12">
        <f>IFERROR(('DealScope sensitivity compariso'!E82-'DealScope sensitivity compariso'!D82)/'DealScope sensitivity compariso'!E82,"")</f>
        <v>0.9684499999999999</v>
      </c>
      <c r="G82" s="12">
        <f>IFERROR(('DealScope sensitivity compariso'!C82*(1-'Model inputs'!B38)-'DealScope sensitivity compariso'!B82*'DealScope sensitivity compariso'!D82-'Model inputs'!B42*'Model inputs'!B41)/'DealScope sensitivity compariso'!C82,"")</f>
        <v>0.93595</v>
      </c>
      <c r="H82" s="11">
        <f>'Model inputs'!B157+IF(IF(IF(IF(ISERROR('Model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controls'!F18)/'Model inputs'!B21,0),1),IF(IF(IF(ISERROR(11&gt;'DealScope sensitivity controls'!F18),11&gt;'DealScope sensitivity controls'!F18,IF('DealScope sensitivity controls'!F18="","",11&gt;'DealScope sensitivity controls'!F18))="",FALSE,IF(ISERROR(11&gt;'DealScope sensitivity controls'!F18),11&gt;'DealScope sensitivity controls'!F18,IF('DealScope sensitivity controls'!F18="","",11&gt;'DealScope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controls'!F18)/'Model inputs'!B21,0),1),IF(IF(IF(ISERROR(11&gt;'DealScope sensitivity controls'!F18),11&gt;'DealScope sensitivity controls'!F18,IF('DealScope sensitivity controls'!F18="","",11&gt;'DealScope sensitivity controls'!F18))="",FALSE,IF(ISERROR(11&gt;'DealScope sensitivity controls'!F18),11&gt;'DealScope sensitivity controls'!F18,IF('DealScope sensitivity controls'!F18="","",11&gt;'DealScope sensitivity controls'!F18))),IF('Model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controls'!F18)/'Model inputs'!B21,0),1),IF(IF(IF(ISERROR(12&gt;'DealScope sensitivity controls'!F18),12&gt;'DealScope sensitivity controls'!F18,IF('DealScope sensitivity controls'!F18="","",12&gt;'DealScope sensitivity controls'!F18))="",FALSE,IF(ISERROR(12&gt;'DealScope sensitivity controls'!F18),12&gt;'DealScope sensitivity controls'!F18,IF('DealScope sensitivity controls'!F18="","",12&gt;'DealScope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controls'!F18)/'Model inputs'!B21,0),1),IF(IF(IF(ISERROR(12&gt;'DealScope sensitivity controls'!F18),12&gt;'DealScope sensitivity controls'!F18,IF('DealScope sensitivity controls'!F18="","",12&gt;'DealScope sensitivity controls'!F18))="",FALSE,IF(ISERROR(12&gt;'DealScope sensitivity controls'!F18),12&gt;'DealScope sensitivity controls'!F18,IF('DealScope sensitivity controls'!F18="","",12&gt;'DealScope sensitivity controls'!F18))),IF('Model inputs'!B43="","",'Model inputs'!B43),0)))</f>
        <v>97.5</v>
      </c>
      <c r="I82" s="10">
        <f>'DealScope sensitivity compariso'!H82*'DealScope sensitivity compariso'!C82</f>
        <v>1170000</v>
      </c>
      <c r="J82" s="10">
        <f>'DealScope sensitivity compariso'!I82*(1-'Model inputs'!B38)-'DealScope sensitivity compariso'!H82*('DealScope sensitivity compariso'!B82*'DealScope sensitivity compariso'!D82+'Model inputs'!B42*'Model inputs'!B41)-SUM('Model inputs'!B76,'Model inputs'!B77)</f>
        <v>1082561.5</v>
      </c>
    </row>
    <row r="83" outlineLevel="1">
      <c r="A83" t="inlineStr" s="13">
        <is>
          <t xml:space="preserve">Sales delay 2 months</t>
        </is>
      </c>
      <c r="B83" s="11">
        <f>IF(IF(IF(ISERROR('DealScope sensitivity controls'!H19=1),'DealScope sensitivity controls'!H19=1,IF('DealScope sensitivity controls'!H19="","",'DealScope sensitivity controls'!H19=1))="",FALSE,IF(ISERROR('DealScope sensitivity controls'!H19=1),'DealScope sensitivity controls'!H19=1,IF('DealScope sensitivity controls'!H19="","",'DealScope sensitivity controls'!H19=1))),'Model inputs'!B6/12*'DealScope sensitivity controls'!G19,IF('DealScope sensitivity controls'!B19="","",'DealScope sensitivity controls'!B19))</f>
        <v>4</v>
      </c>
      <c r="C83" s="10">
        <f>IF(EXACT("Per audit — high","Annual deal-team"),('Model inputs'!B48/12+MAX('DealScope sensitivity compariso'!B83-'Model inputs'!B27/12,0)*'Model inputs'!B35)*(1-'DealScope sensitivity controls'!C19),('Model inputs'!B48/12+'Model inputs'!B12*'DealScope sensitivity compariso'!B83)*(1-'DealScope sensitivity controls'!C19))</f>
        <v>12000</v>
      </c>
      <c r="D83" s="10">
        <f>'Model inputs'!B15*'DealScope sensitivity controls'!E19*'DealScope sensitivity controls'!D19*'Model inputs'!B17+'Model inputs'!B30+'Model inputs'!B39+'Model inputs'!B19</f>
        <v>94.65</v>
      </c>
      <c r="E83" s="10">
        <f>IFERROR('DealScope sensitivity compariso'!C83/'DealScope sensitivity compariso'!B83,"")</f>
        <v>3000</v>
      </c>
      <c r="F83" s="12">
        <f>IFERROR(('DealScope sensitivity compariso'!E83-'DealScope sensitivity compariso'!D83)/'DealScope sensitivity compariso'!E83,"")</f>
        <v>0.9684499999999999</v>
      </c>
      <c r="G83" s="12">
        <f>IFERROR(('DealScope sensitivity compariso'!C83*(1-'Model inputs'!B38)-'DealScope sensitivity compariso'!B83*'DealScope sensitivity compariso'!D83-'Model inputs'!B42*'Model inputs'!B41)/'DealScope sensitivity compariso'!C83,"")</f>
        <v>0.93595</v>
      </c>
      <c r="H83" s="11">
        <f>'Model inputs'!B162+IF(IF(IF(IF(ISERROR('Model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controls'!F19)/'Model inputs'!B21,0),1),IF(IF(IF(ISERROR(11&gt;'DealScope sensitivity controls'!F19),11&gt;'DealScope sensitivity controls'!F19,IF('DealScope sensitivity controls'!F19="","",11&gt;'DealScope sensitivity controls'!F19))="",FALSE,IF(ISERROR(11&gt;'DealScope sensitivity controls'!F19),11&gt;'DealScope sensitivity controls'!F19,IF('DealScope sensitivity controls'!F19="","",11&gt;'DealScope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controls'!F19)/'Model inputs'!B21,0),1),IF(IF(IF(ISERROR(11&gt;'DealScope sensitivity controls'!F19),11&gt;'DealScope sensitivity controls'!F19,IF('DealScope sensitivity controls'!F19="","",11&gt;'DealScope sensitivity controls'!F19))="",FALSE,IF(ISERROR(11&gt;'DealScope sensitivity controls'!F19),11&gt;'DealScope sensitivity controls'!F19,IF('DealScope sensitivity controls'!F19="","",11&gt;'DealScope sensitivity controls'!F19))),IF('Model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controls'!F19)/'Model inputs'!B21,0),1),IF(IF(IF(ISERROR(12&gt;'DealScope sensitivity controls'!F19),12&gt;'DealScope sensitivity controls'!F19,IF('DealScope sensitivity controls'!F19="","",12&gt;'DealScope sensitivity controls'!F19))="",FALSE,IF(ISERROR(12&gt;'DealScope sensitivity controls'!F19),12&gt;'DealScope sensitivity controls'!F19,IF('DealScope sensitivity controls'!F19="","",12&gt;'DealScope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controls'!F19)/'Model inputs'!B21,0),1),IF(IF(IF(ISERROR(12&gt;'DealScope sensitivity controls'!F19),12&gt;'DealScope sensitivity controls'!F19,IF('DealScope sensitivity controls'!F19="","",12&gt;'DealScope sensitivity controls'!F19))="",FALSE,IF(ISERROR(12&gt;'DealScope sensitivity controls'!F19),12&gt;'DealScope sensitivity controls'!F19,IF('DealScope sensitivity controls'!F19="","",12&gt;'DealScope sensitivity controls'!F19))),IF('Model inputs'!B43="","",'Model inputs'!B43),0)))</f>
        <v>68.75</v>
      </c>
      <c r="I83" s="10">
        <f>'DealScope sensitivity compariso'!H83*'DealScope sensitivity compariso'!C83</f>
        <v>825000</v>
      </c>
      <c r="J83" s="10">
        <f>'DealScope sensitivity compariso'!I83*(1-'Model inputs'!B38)-'DealScope sensitivity compariso'!H83*('DealScope sensitivity compariso'!B83*'DealScope sensitivity compariso'!D83+'Model inputs'!B42*'Model inputs'!B41)-SUM('Model inputs'!B76,'Model inputs'!B77)</f>
        <v>759658.75</v>
      </c>
    </row>
    <row r="84" outlineLevel="1">
      <c r="A84" t="inlineStr" s="13">
        <is>
          <t xml:space="preserve">Sales delay 4 months</t>
        </is>
      </c>
      <c r="B84" s="11">
        <f>IF(IF(IF(ISERROR('DealScope sensitivity controls'!H20=1),'DealScope sensitivity controls'!H20=1,IF('DealScope sensitivity controls'!H20="","",'DealScope sensitivity controls'!H20=1))="",FALSE,IF(ISERROR('DealScope sensitivity controls'!H20=1),'DealScope sensitivity controls'!H20=1,IF('DealScope sensitivity controls'!H20="","",'DealScope sensitivity controls'!H20=1))),'Model inputs'!B6/12*'DealScope sensitivity controls'!G20,IF('DealScope sensitivity controls'!B20="","",'DealScope sensitivity controls'!B20))</f>
        <v>4</v>
      </c>
      <c r="C84" s="10">
        <f>IF(EXACT("Per audit — high","Annual deal-team"),('Model inputs'!B48/12+MAX('DealScope sensitivity compariso'!B84-'Model inputs'!B27/12,0)*'Model inputs'!B35)*(1-'DealScope sensitivity controls'!C20),('Model inputs'!B48/12+'Model inputs'!B12*'DealScope sensitivity compariso'!B84)*(1-'DealScope sensitivity controls'!C20))</f>
        <v>12000</v>
      </c>
      <c r="D84" s="10">
        <f>'Model inputs'!B15*'DealScope sensitivity controls'!E20*'DealScope sensitivity controls'!D20*'Model inputs'!B17+'Model inputs'!B30+'Model inputs'!B39+'Model inputs'!B19</f>
        <v>94.65</v>
      </c>
      <c r="E84" s="10">
        <f>IFERROR('DealScope sensitivity compariso'!C84/'DealScope sensitivity compariso'!B84,"")</f>
        <v>3000</v>
      </c>
      <c r="F84" s="12">
        <f>IFERROR(('DealScope sensitivity compariso'!E84-'DealScope sensitivity compariso'!D84)/'DealScope sensitivity compariso'!E84,"")</f>
        <v>0.9684499999999999</v>
      </c>
      <c r="G84" s="12">
        <f>IFERROR(('DealScope sensitivity compariso'!C84*(1-'Model inputs'!B38)-'DealScope sensitivity compariso'!B84*'DealScope sensitivity compariso'!D84-'Model inputs'!B42*'Model inputs'!B41)/'DealScope sensitivity compariso'!C84,"")</f>
        <v>0.93595</v>
      </c>
      <c r="H84" s="11">
        <f>'Model inputs'!B167+IF(IF(IF(IF(ISERROR('Model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controls'!F20)/'Model inputs'!B21,0),1),IF(IF(IF(ISERROR(11&gt;'DealScope sensitivity controls'!F20),11&gt;'DealScope sensitivity controls'!F20,IF('DealScope sensitivity controls'!F20="","",11&gt;'DealScope sensitivity controls'!F20))="",FALSE,IF(ISERROR(11&gt;'DealScope sensitivity controls'!F20),11&gt;'DealScope sensitivity controls'!F20,IF('DealScope sensitivity controls'!F20="","",11&gt;'DealScope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controls'!F20)/'Model inputs'!B21,0),1),IF(IF(IF(ISERROR(11&gt;'DealScope sensitivity controls'!F20),11&gt;'DealScope sensitivity controls'!F20,IF('DealScope sensitivity controls'!F20="","",11&gt;'DealScope sensitivity controls'!F20))="",FALSE,IF(ISERROR(11&gt;'DealScope sensitivity controls'!F20),11&gt;'DealScope sensitivity controls'!F20,IF('DealScope sensitivity controls'!F20="","",11&gt;'DealScope sensitivity controls'!F20))),IF('Model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controls'!F20)/'Model inputs'!B21,0),1),IF(IF(IF(ISERROR(12&gt;'DealScope sensitivity controls'!F20),12&gt;'DealScope sensitivity controls'!F20,IF('DealScope sensitivity controls'!F20="","",12&gt;'DealScope sensitivity controls'!F20))="",FALSE,IF(ISERROR(12&gt;'DealScope sensitivity controls'!F20),12&gt;'DealScope sensitivity controls'!F20,IF('DealScope sensitivity controls'!F20="","",12&gt;'DealScope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controls'!F20)/'Model inputs'!B21,0),1),IF(IF(IF(ISERROR(12&gt;'DealScope sensitivity controls'!F20),12&gt;'DealScope sensitivity controls'!F20,IF('DealScope sensitivity controls'!F20="","",12&gt;'DealScope sensitivity controls'!F20))="",FALSE,IF(ISERROR(12&gt;'DealScope sensitivity controls'!F20),12&gt;'DealScope sensitivity controls'!F20,IF('DealScope sensitivity controls'!F20="","",12&gt;'DealScope sensitivity controls'!F20))),IF('Model inputs'!B43="","",'Model inputs'!B43),0)))</f>
        <v>45</v>
      </c>
      <c r="I84" s="10">
        <f>'DealScope sensitivity compariso'!H84*'DealScope sensitivity compariso'!C84</f>
        <v>540000</v>
      </c>
      <c r="J84" s="10">
        <f>'DealScope sensitivity compariso'!I84*(1-'Model inputs'!B38)-'DealScope sensitivity compariso'!H84*('DealScope sensitivity compariso'!B84*'DealScope sensitivity compariso'!D84+'Model inputs'!B42*'Model inputs'!B41)-SUM('Model inputs'!B76,'Model inputs'!B77)</f>
        <v>492913</v>
      </c>
    </row>
    <row r="85">
      <c r="A85" t="inlineStr" s="5">
        <is>
          <t xml:space="preserve">Per audit — low</t>
        </is>
      </c>
      <c r="B85" t="str" s="7">
        <f>""</f>
        <v/>
      </c>
      <c r="C85" t="str" s="6">
        <f>""</f>
        <v/>
      </c>
      <c r="D85" t="str" s="6">
        <f>""</f>
        <v/>
      </c>
      <c r="E85" t="str" s="6">
        <f>""</f>
        <v/>
      </c>
      <c r="F85" t="str" s="8">
        <f>""</f>
        <v/>
      </c>
      <c r="G85" t="str" s="8">
        <f>""</f>
        <v/>
      </c>
      <c r="H85" t="str" s="7">
        <f>""</f>
        <v/>
      </c>
      <c r="I85" t="str" s="6">
        <f>""</f>
        <v/>
      </c>
      <c r="J85" t="str" s="6">
        <f>""</f>
        <v/>
      </c>
    </row>
    <row r="86" outlineLevel="1">
      <c r="A86" t="inlineStr" s="13">
        <is>
          <t xml:space="preserve">Annual allowance utilization 100%</t>
        </is>
      </c>
      <c r="B86" s="11">
        <f>IF(IF(IF(ISERROR('DealScope sensitivity controls'!H23=1),'DealScope sensitivity controls'!H23=1,IF('DealScope sensitivity controls'!H23="","",'DealScope sensitivity controls'!H23=1))="",FALSE,IF(ISERROR('DealScope sensitivity controls'!H23=1),'DealScope sensitivity controls'!H23=1,IF('DealScope sensitivity controls'!H23="","",'DealScope sensitivity controls'!H23=1))),'Model inputs'!B6/12*'DealScope sensitivity controls'!G23,IF('DealScope sensitivity controls'!B23="","",'DealScope sensitivity controls'!B23))</f>
        <v>2</v>
      </c>
      <c r="C86" s="10">
        <f>IF(EXACT("Per audit — low","Annual deal-team"),('Model inputs'!B49/12+MAX('DealScope sensitivity compariso'!B86-'Model inputs'!B28/12,0)*'Model inputs'!B36)*(1-'DealScope sensitivity controls'!C23),('Model inputs'!B49/12+'Model inputs'!B13*'DealScope sensitivity compariso'!B86)*(1-'DealScope sensitivity controls'!C23))</f>
        <v>1500</v>
      </c>
      <c r="D86" s="10">
        <f>'Model inputs'!B15*'DealScope sensitivity controls'!E23*'DealScope sensitivity controls'!D23*'Model inputs'!B17+'Model inputs'!B30+'Model inputs'!B39+'Model inputs'!B19</f>
        <v>94.65</v>
      </c>
      <c r="E86" s="10">
        <f>IFERROR('DealScope sensitivity compariso'!C86/'DealScope sensitivity compariso'!B86,"")</f>
        <v>750</v>
      </c>
      <c r="F86" s="12">
        <f>IFERROR(('DealScope sensitivity compariso'!E86-'DealScope sensitivity compariso'!D86)/'DealScope sensitivity compariso'!E86,"")</f>
        <v>0.8738</v>
      </c>
      <c r="G86" s="12">
        <f>IFERROR(('DealScope sensitivity compariso'!C86*(1-'Model inputs'!B38)-'DealScope sensitivity compariso'!B86*'DealScope sensitivity compariso'!D86-'Model inputs'!B42*'Model inputs'!B41)/'DealScope sensitivity compariso'!C86,"")</f>
        <v>0.8238</v>
      </c>
      <c r="H86" s="11">
        <f>'Model inputs'!B75+IF(IF(IF(IF(ISERROR('Model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controls'!F23)/'Model inputs'!B21,0),1),IF(IF(IF(ISERROR(11&gt;'DealScope sensitivity controls'!F23),11&gt;'DealScope sensitivity controls'!F23,IF('DealScope sensitivity controls'!F23="","",11&gt;'DealScope sensitivity controls'!F23))="",FALSE,IF(ISERROR(11&gt;'DealScope sensitivity controls'!F23),11&gt;'DealScope sensitivity controls'!F23,IF('DealScope sensitivity controls'!F23="","",11&gt;'DealScope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controls'!F23)/'Model inputs'!B21,0),1),IF(IF(IF(ISERROR(11&gt;'DealScope sensitivity controls'!F23),11&gt;'DealScope sensitivity controls'!F23,IF('DealScope sensitivity controls'!F23="","",11&gt;'DealScope sensitivity controls'!F23))="",FALSE,IF(ISERROR(11&gt;'DealScope sensitivity controls'!F23),11&gt;'DealScope sensitivity controls'!F23,IF('DealScope sensitivity controls'!F23="","",11&gt;'DealScope sensitivity controls'!F23))),IF('Model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controls'!F23)/'Model inputs'!B21,0),1),IF(IF(IF(ISERROR(12&gt;'DealScope sensitivity controls'!F23),12&gt;'DealScope sensitivity controls'!F23,IF('DealScope sensitivity controls'!F23="","",12&gt;'DealScope sensitivity controls'!F23))="",FALSE,IF(ISERROR(12&gt;'DealScope sensitivity controls'!F23),12&gt;'DealScope sensitivity controls'!F23,IF('DealScope sensitivity controls'!F23="","",12&gt;'DealScope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controls'!F23)/'Model inputs'!B21,0),1),IF(IF(IF(ISERROR(12&gt;'DealScope sensitivity controls'!F23),12&gt;'DealScope sensitivity controls'!F23,IF('DealScope sensitivity controls'!F23="","",12&gt;'DealScope sensitivity controls'!F23))="",FALSE,IF(ISERROR(12&gt;'DealScope sensitivity controls'!F23),12&gt;'DealScope sensitivity controls'!F23,IF('DealScope sensitivity controls'!F23="","",12&gt;'DealScope sensitivity controls'!F23))),IF('Model inputs'!B43="","",'Model inputs'!B43),0)))</f>
        <v>97.5</v>
      </c>
      <c r="I86" s="10">
        <f>'DealScope sensitivity compariso'!H86*'DealScope sensitivity compariso'!C86</f>
        <v>146250</v>
      </c>
      <c r="J86" s="10">
        <f>'DealScope sensitivity compariso'!I86*(1-'Model inputs'!B38)-'DealScope sensitivity compariso'!H86*('DealScope sensitivity compariso'!B86*'DealScope sensitivity compariso'!D86+'Model inputs'!B42*'Model inputs'!B41)-SUM('Model inputs'!B76,'Model inputs'!B77)</f>
        <v>107980.75</v>
      </c>
    </row>
    <row r="87" outlineLevel="1">
      <c r="A87" t="inlineStr" s="13">
        <is>
          <t xml:space="preserve">Annual allowance utilization 50%</t>
        </is>
      </c>
      <c r="B87" s="11">
        <f>IF(IF(IF(ISERROR('DealScope sensitivity controls'!H21=1),'DealScope sensitivity controls'!H21=1,IF('DealScope sensitivity controls'!H21="","",'DealScope sensitivity controls'!H21=1))="",FALSE,IF(ISERROR('DealScope sensitivity controls'!H21=1),'DealScope sensitivity controls'!H21=1,IF('DealScope sensitivity controls'!H21="","",'DealScope sensitivity controls'!H21=1))),'Model inputs'!B6/12*'DealScope sensitivity controls'!G21,IF('DealScope sensitivity controls'!B21="","",'DealScope sensitivity controls'!B21))</f>
        <v>1</v>
      </c>
      <c r="C87" s="10">
        <f>IF(EXACT("Per audit — low","Annual deal-team"),('Model inputs'!B49/12+MAX('DealScope sensitivity compariso'!B87-'Model inputs'!B28/12,0)*'Model inputs'!B36)*(1-'DealScope sensitivity controls'!C21),('Model inputs'!B49/12+'Model inputs'!B13*'DealScope sensitivity compariso'!B87)*(1-'DealScope sensitivity controls'!C21))</f>
        <v>750</v>
      </c>
      <c r="D87" s="10">
        <f>'Model inputs'!B15*'DealScope sensitivity controls'!E21*'DealScope sensitivity controls'!D21*'Model inputs'!B17+'Model inputs'!B30+'Model inputs'!B39+'Model inputs'!B19</f>
        <v>94.65</v>
      </c>
      <c r="E87" s="10">
        <f>IFERROR('DealScope sensitivity compariso'!C87/'DealScope sensitivity compariso'!B87,"")</f>
        <v>750</v>
      </c>
      <c r="F87" s="12">
        <f>IFERROR(('DealScope sensitivity compariso'!E87-'DealScope sensitivity compariso'!D87)/'DealScope sensitivity compariso'!E87,"")</f>
        <v>0.8738</v>
      </c>
      <c r="G87" s="12">
        <f>IFERROR(('DealScope sensitivity compariso'!C87*(1-'Model inputs'!B38)-'DealScope sensitivity compariso'!B87*'DealScope sensitivity compariso'!D87-'Model inputs'!B42*'Model inputs'!B41)/'DealScope sensitivity compariso'!C87,"")</f>
        <v>0.8038000000000001</v>
      </c>
      <c r="H87" s="11">
        <f>'Model inputs'!B82+IF(IF(IF(IF(ISERROR('Model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controls'!F21)/'Model inputs'!B21,0),1),IF(IF(IF(ISERROR(11&gt;'DealScope sensitivity controls'!F21),11&gt;'DealScope sensitivity controls'!F21,IF('DealScope sensitivity controls'!F21="","",11&gt;'DealScope sensitivity controls'!F21))="",FALSE,IF(ISERROR(11&gt;'DealScope sensitivity controls'!F21),11&gt;'DealScope sensitivity controls'!F21,IF('DealScope sensitivity controls'!F21="","",11&gt;'DealScope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controls'!F21)/'Model inputs'!B21,0),1),IF(IF(IF(ISERROR(11&gt;'DealScope sensitivity controls'!F21),11&gt;'DealScope sensitivity controls'!F21,IF('DealScope sensitivity controls'!F21="","",11&gt;'DealScope sensitivity controls'!F21))="",FALSE,IF(ISERROR(11&gt;'DealScope sensitivity controls'!F21),11&gt;'DealScope sensitivity controls'!F21,IF('DealScope sensitivity controls'!F21="","",11&gt;'DealScope sensitivity controls'!F21))),IF('Model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controls'!F21)/'Model inputs'!B21,0),1),IF(IF(IF(ISERROR(12&gt;'DealScope sensitivity controls'!F21),12&gt;'DealScope sensitivity controls'!F21,IF('DealScope sensitivity controls'!F21="","",12&gt;'DealScope sensitivity controls'!F21))="",FALSE,IF(ISERROR(12&gt;'DealScope sensitivity controls'!F21),12&gt;'DealScope sensitivity controls'!F21,IF('DealScope sensitivity controls'!F21="","",12&gt;'DealScope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controls'!F21)/'Model inputs'!B21,0),1),IF(IF(IF(ISERROR(12&gt;'DealScope sensitivity controls'!F21),12&gt;'DealScope sensitivity controls'!F21,IF('DealScope sensitivity controls'!F21="","",12&gt;'DealScope sensitivity controls'!F21))="",FALSE,IF(ISERROR(12&gt;'DealScope sensitivity controls'!F21),12&gt;'DealScope sensitivity controls'!F21,IF('DealScope sensitivity controls'!F21="","",12&gt;'DealScope sensitivity controls'!F21))),IF('Model inputs'!B43="","",'Model inputs'!B43),0)))</f>
        <v>97.5</v>
      </c>
      <c r="I87" s="10">
        <f>'DealScope sensitivity compariso'!H87*'DealScope sensitivity compariso'!C87</f>
        <v>73125</v>
      </c>
      <c r="J87" s="10">
        <f>'DealScope sensitivity compariso'!I87*(1-'Model inputs'!B38)-'DealScope sensitivity compariso'!H87*('DealScope sensitivity compariso'!B87*'DealScope sensitivity compariso'!D87+'Model inputs'!B42*'Model inputs'!B41)-SUM('Model inputs'!B76,'Model inputs'!B77)</f>
        <v>46277.875</v>
      </c>
    </row>
    <row r="88" outlineLevel="1">
      <c r="A88" t="inlineStr" s="13">
        <is>
          <t xml:space="preserve">Annual allowance utilization 75%</t>
        </is>
      </c>
      <c r="B88" s="11">
        <f>IF(IF(IF(ISERROR('DealScope sensitivity controls'!H22=1),'DealScope sensitivity controls'!H22=1,IF('DealScope sensitivity controls'!H22="","",'DealScope sensitivity controls'!H22=1))="",FALSE,IF(ISERROR('DealScope sensitivity controls'!H22=1),'DealScope sensitivity controls'!H22=1,IF('DealScope sensitivity controls'!H22="","",'DealScope sensitivity controls'!H22=1))),'Model inputs'!B6/12*'DealScope sensitivity controls'!G22,IF('DealScope sensitivity controls'!B22="","",'DealScope sensitivity controls'!B22))</f>
        <v>1.5</v>
      </c>
      <c r="C88" s="10">
        <f>IF(EXACT("Per audit — low","Annual deal-team"),('Model inputs'!B49/12+MAX('DealScope sensitivity compariso'!B88-'Model inputs'!B28/12,0)*'Model inputs'!B36)*(1-'DealScope sensitivity controls'!C22),('Model inputs'!B49/12+'Model inputs'!B13*'DealScope sensitivity compariso'!B88)*(1-'DealScope sensitivity controls'!C22))</f>
        <v>1125</v>
      </c>
      <c r="D88" s="10">
        <f>'Model inputs'!B15*'DealScope sensitivity controls'!E22*'DealScope sensitivity controls'!D22*'Model inputs'!B17+'Model inputs'!B30+'Model inputs'!B39+'Model inputs'!B19</f>
        <v>94.65</v>
      </c>
      <c r="E88" s="10">
        <f>IFERROR('DealScope sensitivity compariso'!C88/'DealScope sensitivity compariso'!B88,"")</f>
        <v>750</v>
      </c>
      <c r="F88" s="12">
        <f>IFERROR(('DealScope sensitivity compariso'!E88-'DealScope sensitivity compariso'!D88)/'DealScope sensitivity compariso'!E88,"")</f>
        <v>0.8738</v>
      </c>
      <c r="G88" s="12">
        <f>IFERROR(('DealScope sensitivity compariso'!C88*(1-'Model inputs'!B38)-'DealScope sensitivity compariso'!B88*'DealScope sensitivity compariso'!D88-'Model inputs'!B42*'Model inputs'!B41)/'DealScope sensitivity compariso'!C88,"")</f>
        <v>0.8171333333333333</v>
      </c>
      <c r="H88" s="11">
        <f>'Model inputs'!B87+IF(IF(IF(IF(ISERROR('Model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controls'!F22)/'Model inputs'!B21,0),1),IF(IF(IF(ISERROR(11&gt;'DealScope sensitivity controls'!F22),11&gt;'DealScope sensitivity controls'!F22,IF('DealScope sensitivity controls'!F22="","",11&gt;'DealScope sensitivity controls'!F22))="",FALSE,IF(ISERROR(11&gt;'DealScope sensitivity controls'!F22),11&gt;'DealScope sensitivity controls'!F22,IF('DealScope sensitivity controls'!F22="","",11&gt;'DealScope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controls'!F22)/'Model inputs'!B21,0),1),IF(IF(IF(ISERROR(11&gt;'DealScope sensitivity controls'!F22),11&gt;'DealScope sensitivity controls'!F22,IF('DealScope sensitivity controls'!F22="","",11&gt;'DealScope sensitivity controls'!F22))="",FALSE,IF(ISERROR(11&gt;'DealScope sensitivity controls'!F22),11&gt;'DealScope sensitivity controls'!F22,IF('DealScope sensitivity controls'!F22="","",11&gt;'DealScope sensitivity controls'!F22))),IF('Model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controls'!F22)/'Model inputs'!B21,0),1),IF(IF(IF(ISERROR(12&gt;'DealScope sensitivity controls'!F22),12&gt;'DealScope sensitivity controls'!F22,IF('DealScope sensitivity controls'!F22="","",12&gt;'DealScope sensitivity controls'!F22))="",FALSE,IF(ISERROR(12&gt;'DealScope sensitivity controls'!F22),12&gt;'DealScope sensitivity controls'!F22,IF('DealScope sensitivity controls'!F22="","",12&gt;'DealScope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controls'!F22)/'Model inputs'!B21,0),1),IF(IF(IF(ISERROR(12&gt;'DealScope sensitivity controls'!F22),12&gt;'DealScope sensitivity controls'!F22,IF('DealScope sensitivity controls'!F22="","",12&gt;'DealScope sensitivity controls'!F22))="",FALSE,IF(ISERROR(12&gt;'DealScope sensitivity controls'!F22),12&gt;'DealScope sensitivity controls'!F22,IF('DealScope sensitivity controls'!F22="","",12&gt;'DealScope sensitivity controls'!F22))),IF('Model inputs'!B43="","",'Model inputs'!B43),0)))</f>
        <v>97.5</v>
      </c>
      <c r="I88" s="10">
        <f>'DealScope sensitivity compariso'!H88*'DealScope sensitivity compariso'!C88</f>
        <v>109687.5</v>
      </c>
      <c r="J88" s="10">
        <f>'DealScope sensitivity compariso'!I88*(1-'Model inputs'!B38)-'DealScope sensitivity compariso'!H88*('DealScope sensitivity compariso'!B88*'DealScope sensitivity compariso'!D88+'Model inputs'!B42*'Model inputs'!B41)-SUM('Model inputs'!B76,'Model inputs'!B77)</f>
        <v>77129.3125</v>
      </c>
    </row>
    <row r="89" outlineLevel="1">
      <c r="A89" t="inlineStr" s="13">
        <is>
          <t xml:space="preserve">Audits 2/month</t>
        </is>
      </c>
      <c r="B89" s="11">
        <f>IF(IF(IF(ISERROR('DealScope sensitivity controls'!H6=1),'DealScope sensitivity controls'!H6=1,IF('DealScope sensitivity controls'!H6="","",'DealScope sensitivity controls'!H6=1))="",FALSE,IF(ISERROR('DealScope sensitivity controls'!H6=1),'DealScope sensitivity controls'!H6=1,IF('DealScope sensitivity controls'!H6="","",'DealScope sensitivity controls'!H6=1))),'Model inputs'!B6/12*'DealScope sensitivity controls'!G6,IF('DealScope sensitivity controls'!B6="","",'DealScope sensitivity controls'!B6))</f>
        <v>2</v>
      </c>
      <c r="C89" s="10">
        <f>IF(EXACT("Per audit — low","Annual deal-team"),('Model inputs'!B49/12+MAX('DealScope sensitivity compariso'!B89-'Model inputs'!B28/12,0)*'Model inputs'!B36)*(1-'DealScope sensitivity controls'!C6),('Model inputs'!B49/12+'Model inputs'!B13*'DealScope sensitivity compariso'!B89)*(1-'DealScope sensitivity controls'!C6))</f>
        <v>1500</v>
      </c>
      <c r="D89" s="10">
        <f>'Model inputs'!B15*'DealScope sensitivity controls'!E6*'DealScope sensitivity controls'!D6*'Model inputs'!B17+'Model inputs'!B30+'Model inputs'!B39+'Model inputs'!B19</f>
        <v>94.65</v>
      </c>
      <c r="E89" s="10">
        <f>IFERROR('DealScope sensitivity compariso'!C89/'DealScope sensitivity compariso'!B89,"")</f>
        <v>750</v>
      </c>
      <c r="F89" s="12">
        <f>IFERROR(('DealScope sensitivity compariso'!E89-'DealScope sensitivity compariso'!D89)/'DealScope sensitivity compariso'!E89,"")</f>
        <v>0.8738</v>
      </c>
      <c r="G89" s="12">
        <f>IFERROR(('DealScope sensitivity compariso'!C89*(1-'Model inputs'!B38)-'DealScope sensitivity compariso'!B89*'DealScope sensitivity compariso'!D89-'Model inputs'!B42*'Model inputs'!B41)/'DealScope sensitivity compariso'!C89,"")</f>
        <v>0.8238</v>
      </c>
      <c r="H89" s="11">
        <f>'Model inputs'!B92+IF(IF(IF(IF(ISERROR('Model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controls'!F6)/'Model inputs'!B21,0),1),IF(IF(IF(ISERROR(11&gt;'DealScope sensitivity controls'!F6),11&gt;'DealScope sensitivity controls'!F6,IF('DealScope sensitivity controls'!F6="","",11&gt;'DealScope sensitivity controls'!F6))="",FALSE,IF(ISERROR(11&gt;'DealScope sensitivity controls'!F6),11&gt;'DealScope sensitivity controls'!F6,IF('DealScope sensitivity controls'!F6="","",11&gt;'DealScope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controls'!F6)/'Model inputs'!B21,0),1),IF(IF(IF(ISERROR(11&gt;'DealScope sensitivity controls'!F6),11&gt;'DealScope sensitivity controls'!F6,IF('DealScope sensitivity controls'!F6="","",11&gt;'DealScope sensitivity controls'!F6))="",FALSE,IF(ISERROR(11&gt;'DealScope sensitivity controls'!F6),11&gt;'DealScope sensitivity controls'!F6,IF('DealScope sensitivity controls'!F6="","",11&gt;'DealScope sensitivity controls'!F6))),IF('Model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controls'!F6)/'Model inputs'!B21,0),1),IF(IF(IF(ISERROR(12&gt;'DealScope sensitivity controls'!F6),12&gt;'DealScope sensitivity controls'!F6,IF('DealScope sensitivity controls'!F6="","",12&gt;'DealScope sensitivity controls'!F6))="",FALSE,IF(ISERROR(12&gt;'DealScope sensitivity controls'!F6),12&gt;'DealScope sensitivity controls'!F6,IF('DealScope sensitivity controls'!F6="","",12&gt;'DealScope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controls'!F6)/'Model inputs'!B21,0),1),IF(IF(IF(ISERROR(12&gt;'DealScope sensitivity controls'!F6),12&gt;'DealScope sensitivity controls'!F6,IF('DealScope sensitivity controls'!F6="","",12&gt;'DealScope sensitivity controls'!F6))="",FALSE,IF(ISERROR(12&gt;'DealScope sensitivity controls'!F6),12&gt;'DealScope sensitivity controls'!F6,IF('DealScope sensitivity controls'!F6="","",12&gt;'DealScope sensitivity controls'!F6))),IF('Model inputs'!B43="","",'Model inputs'!B43),0)))</f>
        <v>97.5</v>
      </c>
      <c r="I89" s="10">
        <f>'DealScope sensitivity compariso'!H89*'DealScope sensitivity compariso'!C89</f>
        <v>146250</v>
      </c>
      <c r="J89" s="10">
        <f>'DealScope sensitivity compariso'!I89*(1-'Model inputs'!B38)-'DealScope sensitivity compariso'!H89*('DealScope sensitivity compariso'!B89*'DealScope sensitivity compariso'!D89+'Model inputs'!B42*'Model inputs'!B41)-SUM('Model inputs'!B76,'Model inputs'!B77)</f>
        <v>107980.75</v>
      </c>
    </row>
    <row r="90" outlineLevel="1">
      <c r="A90" t="inlineStr" s="13">
        <is>
          <t xml:space="preserve">Audits 3/month</t>
        </is>
      </c>
      <c r="B90" s="11">
        <f>IF(IF(IF(ISERROR('DealScope sensitivity controls'!H7=1),'DealScope sensitivity controls'!H7=1,IF('DealScope sensitivity controls'!H7="","",'DealScope sensitivity controls'!H7=1))="",FALSE,IF(ISERROR('DealScope sensitivity controls'!H7=1),'DealScope sensitivity controls'!H7=1,IF('DealScope sensitivity controls'!H7="","",'DealScope sensitivity controls'!H7=1))),'Model inputs'!B6/12*'DealScope sensitivity controls'!G7,IF('DealScope sensitivity controls'!B7="","",'DealScope sensitivity controls'!B7))</f>
        <v>3</v>
      </c>
      <c r="C90" s="10">
        <f>IF(EXACT("Per audit — low","Annual deal-team"),('Model inputs'!B49/12+MAX('DealScope sensitivity compariso'!B90-'Model inputs'!B28/12,0)*'Model inputs'!B36)*(1-'DealScope sensitivity controls'!C7),('Model inputs'!B49/12+'Model inputs'!B13*'DealScope sensitivity compariso'!B90)*(1-'DealScope sensitivity controls'!C7))</f>
        <v>2250</v>
      </c>
      <c r="D90" s="10">
        <f>'Model inputs'!B15*'DealScope sensitivity controls'!E7*'DealScope sensitivity controls'!D7*'Model inputs'!B17+'Model inputs'!B30+'Model inputs'!B39+'Model inputs'!B19</f>
        <v>94.65</v>
      </c>
      <c r="E90" s="10">
        <f>IFERROR('DealScope sensitivity compariso'!C90/'DealScope sensitivity compariso'!B90,"")</f>
        <v>750</v>
      </c>
      <c r="F90" s="12">
        <f>IFERROR(('DealScope sensitivity compariso'!E90-'DealScope sensitivity compariso'!D90)/'DealScope sensitivity compariso'!E90,"")</f>
        <v>0.8738</v>
      </c>
      <c r="G90" s="12">
        <f>IFERROR(('DealScope sensitivity compariso'!C90*(1-'Model inputs'!B38)-'DealScope sensitivity compariso'!B90*'DealScope sensitivity compariso'!D90-'Model inputs'!B42*'Model inputs'!B41)/'DealScope sensitivity compariso'!C90,"")</f>
        <v>0.8304666666666667</v>
      </c>
      <c r="H90" s="11">
        <f>'Model inputs'!B97+IF(IF(IF(IF(ISERROR('Model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controls'!F7)/'Model inputs'!B21,0),1),IF(IF(IF(ISERROR(11&gt;'DealScope sensitivity controls'!F7),11&gt;'DealScope sensitivity controls'!F7,IF('DealScope sensitivity controls'!F7="","",11&gt;'DealScope sensitivity controls'!F7))="",FALSE,IF(ISERROR(11&gt;'DealScope sensitivity controls'!F7),11&gt;'DealScope sensitivity controls'!F7,IF('DealScope sensitivity controls'!F7="","",11&gt;'DealScope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controls'!F7)/'Model inputs'!B21,0),1),IF(IF(IF(ISERROR(11&gt;'DealScope sensitivity controls'!F7),11&gt;'DealScope sensitivity controls'!F7,IF('DealScope sensitivity controls'!F7="","",11&gt;'DealScope sensitivity controls'!F7))="",FALSE,IF(ISERROR(11&gt;'DealScope sensitivity controls'!F7),11&gt;'DealScope sensitivity controls'!F7,IF('DealScope sensitivity controls'!F7="","",11&gt;'DealScope sensitivity controls'!F7))),IF('Model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controls'!F7)/'Model inputs'!B21,0),1),IF(IF(IF(ISERROR(12&gt;'DealScope sensitivity controls'!F7),12&gt;'DealScope sensitivity controls'!F7,IF('DealScope sensitivity controls'!F7="","",12&gt;'DealScope sensitivity controls'!F7))="",FALSE,IF(ISERROR(12&gt;'DealScope sensitivity controls'!F7),12&gt;'DealScope sensitivity controls'!F7,IF('DealScope sensitivity controls'!F7="","",12&gt;'DealScope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controls'!F7)/'Model inputs'!B21,0),1),IF(IF(IF(ISERROR(12&gt;'DealScope sensitivity controls'!F7),12&gt;'DealScope sensitivity controls'!F7,IF('DealScope sensitivity controls'!F7="","",12&gt;'DealScope sensitivity controls'!F7))="",FALSE,IF(ISERROR(12&gt;'DealScope sensitivity controls'!F7),12&gt;'DealScope sensitivity controls'!F7,IF('DealScope sensitivity controls'!F7="","",12&gt;'DealScope sensitivity controls'!F7))),IF('Model inputs'!B43="","",'Model inputs'!B43),0)))</f>
        <v>97.5</v>
      </c>
      <c r="I90" s="10">
        <f>'DealScope sensitivity compariso'!H90*'DealScope sensitivity compariso'!C90</f>
        <v>219375</v>
      </c>
      <c r="J90" s="10">
        <f>'DealScope sensitivity compariso'!I90*(1-'Model inputs'!B38)-'DealScope sensitivity compariso'!H90*('DealScope sensitivity compariso'!B90*'DealScope sensitivity compariso'!D90+'Model inputs'!B42*'Model inputs'!B41)-SUM('Model inputs'!B76,'Model inputs'!B77)</f>
        <v>169683.625</v>
      </c>
    </row>
    <row r="91" outlineLevel="1">
      <c r="A91" t="inlineStr" s="13">
        <is>
          <t xml:space="preserve">Audits 4/month</t>
        </is>
      </c>
      <c r="B91" s="11">
        <f>IF(IF(IF(ISERROR('DealScope sensitivity controls'!H8=1),'DealScope sensitivity controls'!H8=1,IF('DealScope sensitivity controls'!H8="","",'DealScope sensitivity controls'!H8=1))="",FALSE,IF(ISERROR('DealScope sensitivity controls'!H8=1),'DealScope sensitivity controls'!H8=1,IF('DealScope sensitivity controls'!H8="","",'DealScope sensitivity controls'!H8=1))),'Model inputs'!B6/12*'DealScope sensitivity controls'!G8,IF('DealScope sensitivity controls'!B8="","",'DealScope sensitivity controls'!B8))</f>
        <v>4</v>
      </c>
      <c r="C91" s="10">
        <f>IF(EXACT("Per audit — low","Annual deal-team"),('Model inputs'!B49/12+MAX('DealScope sensitivity compariso'!B91-'Model inputs'!B28/12,0)*'Model inputs'!B36)*(1-'DealScope sensitivity controls'!C8),('Model inputs'!B49/12+'Model inputs'!B13*'DealScope sensitivity compariso'!B91)*(1-'DealScope sensitivity controls'!C8))</f>
        <v>3000</v>
      </c>
      <c r="D91" s="10">
        <f>'Model inputs'!B15*'DealScope sensitivity controls'!E8*'DealScope sensitivity controls'!D8*'Model inputs'!B17+'Model inputs'!B30+'Model inputs'!B39+'Model inputs'!B19</f>
        <v>94.65</v>
      </c>
      <c r="E91" s="10">
        <f>IFERROR('DealScope sensitivity compariso'!C91/'DealScope sensitivity compariso'!B91,"")</f>
        <v>750</v>
      </c>
      <c r="F91" s="12">
        <f>IFERROR(('DealScope sensitivity compariso'!E91-'DealScope sensitivity compariso'!D91)/'DealScope sensitivity compariso'!E91,"")</f>
        <v>0.8738</v>
      </c>
      <c r="G91" s="12">
        <f>IFERROR(('DealScope sensitivity compariso'!C91*(1-'Model inputs'!B38)-'DealScope sensitivity compariso'!B91*'DealScope sensitivity compariso'!D91-'Model inputs'!B42*'Model inputs'!B41)/'DealScope sensitivity compariso'!C91,"")</f>
        <v>0.8338</v>
      </c>
      <c r="H91" s="11">
        <f>'Model inputs'!B102+IF(IF(IF(IF(ISERROR('Model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controls'!F8)/'Model inputs'!B21,0),1),IF(IF(IF(ISERROR(11&gt;'DealScope sensitivity controls'!F8),11&gt;'DealScope sensitivity controls'!F8,IF('DealScope sensitivity controls'!F8="","",11&gt;'DealScope sensitivity controls'!F8))="",FALSE,IF(ISERROR(11&gt;'DealScope sensitivity controls'!F8),11&gt;'DealScope sensitivity controls'!F8,IF('DealScope sensitivity controls'!F8="","",11&gt;'DealScope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controls'!F8)/'Model inputs'!B21,0),1),IF(IF(IF(ISERROR(11&gt;'DealScope sensitivity controls'!F8),11&gt;'DealScope sensitivity controls'!F8,IF('DealScope sensitivity controls'!F8="","",11&gt;'DealScope sensitivity controls'!F8))="",FALSE,IF(ISERROR(11&gt;'DealScope sensitivity controls'!F8),11&gt;'DealScope sensitivity controls'!F8,IF('DealScope sensitivity controls'!F8="","",11&gt;'DealScope sensitivity controls'!F8))),IF('Model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controls'!F8)/'Model inputs'!B21,0),1),IF(IF(IF(ISERROR(12&gt;'DealScope sensitivity controls'!F8),12&gt;'DealScope sensitivity controls'!F8,IF('DealScope sensitivity controls'!F8="","",12&gt;'DealScope sensitivity controls'!F8))="",FALSE,IF(ISERROR(12&gt;'DealScope sensitivity controls'!F8),12&gt;'DealScope sensitivity controls'!F8,IF('DealScope sensitivity controls'!F8="","",12&gt;'DealScope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controls'!F8)/'Model inputs'!B21,0),1),IF(IF(IF(ISERROR(12&gt;'DealScope sensitivity controls'!F8),12&gt;'DealScope sensitivity controls'!F8,IF('DealScope sensitivity controls'!F8="","",12&gt;'DealScope sensitivity controls'!F8))="",FALSE,IF(ISERROR(12&gt;'DealScope sensitivity controls'!F8),12&gt;'DealScope sensitivity controls'!F8,IF('DealScope sensitivity controls'!F8="","",12&gt;'DealScope sensitivity controls'!F8))),IF('Model inputs'!B43="","",'Model inputs'!B43),0)))</f>
        <v>97.5</v>
      </c>
      <c r="I91" s="10">
        <f>'DealScope sensitivity compariso'!H91*'DealScope sensitivity compariso'!C91</f>
        <v>292500</v>
      </c>
      <c r="J91" s="10">
        <f>'DealScope sensitivity compariso'!I91*(1-'Model inputs'!B38)-'DealScope sensitivity compariso'!H91*('DealScope sensitivity compariso'!B91*'DealScope sensitivity compariso'!D91+'Model inputs'!B42*'Model inputs'!B41)-SUM('Model inputs'!B76,'Model inputs'!B77)</f>
        <v>231386.5</v>
      </c>
    </row>
    <row r="92" outlineLevel="1">
      <c r="A92" t="inlineStr" s="13">
        <is>
          <t xml:space="preserve">Baseline</t>
        </is>
      </c>
      <c r="B92" s="11">
        <f>IF(IF(IF(ISERROR('DealScope sensitivity controls'!H5=1),'DealScope sensitivity controls'!H5=1,IF('DealScope sensitivity controls'!H5="","",'DealScope sensitivity controls'!H5=1))="",FALSE,IF(ISERROR('DealScope sensitivity controls'!H5=1),'DealScope sensitivity controls'!H5=1,IF('DealScope sensitivity controls'!H5="","",'DealScope sensitivity controls'!H5=1))),'Model inputs'!B6/12*'DealScope sensitivity controls'!G5,IF('DealScope sensitivity controls'!B5="","",'DealScope sensitivity controls'!B5))</f>
        <v>4</v>
      </c>
      <c r="C92" s="10">
        <f>IF(EXACT("Per audit — low","Annual deal-team"),('Model inputs'!B49/12+MAX('DealScope sensitivity compariso'!B92-'Model inputs'!B28/12,0)*'Model inputs'!B36)*(1-'DealScope sensitivity controls'!C5),('Model inputs'!B49/12+'Model inputs'!B13*'DealScope sensitivity compariso'!B92)*(1-'DealScope sensitivity controls'!C5))</f>
        <v>3000</v>
      </c>
      <c r="D92" s="10">
        <f>'Model inputs'!B15*'DealScope sensitivity controls'!E5*'DealScope sensitivity controls'!D5*'Model inputs'!B17+'Model inputs'!B30+'Model inputs'!B39+'Model inputs'!B19</f>
        <v>94.65</v>
      </c>
      <c r="E92" s="10">
        <f>IFERROR('DealScope sensitivity compariso'!C92/'DealScope sensitivity compariso'!B92,"")</f>
        <v>750</v>
      </c>
      <c r="F92" s="12">
        <f>IFERROR(('DealScope sensitivity compariso'!E92-'DealScope sensitivity compariso'!D92)/'DealScope sensitivity compariso'!E92,"")</f>
        <v>0.8738</v>
      </c>
      <c r="G92" s="12">
        <f>IFERROR(('DealScope sensitivity compariso'!C92*(1-'Model inputs'!B38)-'DealScope sensitivity compariso'!B92*'DealScope sensitivity compariso'!D92-'Model inputs'!B42*'Model inputs'!B41)/'DealScope sensitivity compariso'!C92,"")</f>
        <v>0.8338</v>
      </c>
      <c r="H92" s="11">
        <f>'Model inputs'!B107+IF(IF(IF(IF(ISERROR('Model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controls'!F5)/'Model inputs'!B21,0),1),IF(IF(IF(ISERROR(11&gt;'DealScope sensitivity controls'!F5),11&gt;'DealScope sensitivity controls'!F5,IF('DealScope sensitivity controls'!F5="","",11&gt;'DealScope sensitivity controls'!F5))="",FALSE,IF(ISERROR(11&gt;'DealScope sensitivity controls'!F5),11&gt;'DealScope sensitivity controls'!F5,IF('DealScope sensitivity controls'!F5="","",11&gt;'DealScope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controls'!F5)/'Model inputs'!B21,0),1),IF(IF(IF(ISERROR(11&gt;'DealScope sensitivity controls'!F5),11&gt;'DealScope sensitivity controls'!F5,IF('DealScope sensitivity controls'!F5="","",11&gt;'DealScope sensitivity controls'!F5))="",FALSE,IF(ISERROR(11&gt;'DealScope sensitivity controls'!F5),11&gt;'DealScope sensitivity controls'!F5,IF('DealScope sensitivity controls'!F5="","",11&gt;'DealScope sensitivity controls'!F5))),IF('Model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controls'!F5)/'Model inputs'!B21,0),1),IF(IF(IF(ISERROR(12&gt;'DealScope sensitivity controls'!F5),12&gt;'DealScope sensitivity controls'!F5,IF('DealScope sensitivity controls'!F5="","",12&gt;'DealScope sensitivity controls'!F5))="",FALSE,IF(ISERROR(12&gt;'DealScope sensitivity controls'!F5),12&gt;'DealScope sensitivity controls'!F5,IF('DealScope sensitivity controls'!F5="","",12&gt;'DealScope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controls'!F5)/'Model inputs'!B21,0),1),IF(IF(IF(ISERROR(12&gt;'DealScope sensitivity controls'!F5),12&gt;'DealScope sensitivity controls'!F5,IF('DealScope sensitivity controls'!F5="","",12&gt;'DealScope sensitivity controls'!F5))="",FALSE,IF(ISERROR(12&gt;'DealScope sensitivity controls'!F5),12&gt;'DealScope sensitivity controls'!F5,IF('DealScope sensitivity controls'!F5="","",12&gt;'DealScope sensitivity controls'!F5))),IF('Model inputs'!B43="","",'Model inputs'!B43),0)))</f>
        <v>97.5</v>
      </c>
      <c r="I92" s="10">
        <f>'DealScope sensitivity compariso'!H92*'DealScope sensitivity compariso'!C92</f>
        <v>292500</v>
      </c>
      <c r="J92" s="10">
        <f>'DealScope sensitivity compariso'!I92*(1-'Model inputs'!B38)-'DealScope sensitivity compariso'!H92*('DealScope sensitivity compariso'!B92*'DealScope sensitivity compariso'!D92+'Model inputs'!B42*'Model inputs'!B41)-SUM('Model inputs'!B76,'Model inputs'!B77)</f>
        <v>231386.5</v>
      </c>
    </row>
    <row r="93" outlineLevel="1">
      <c r="A93" t="inlineStr" s="13">
        <is>
          <t xml:space="preserve">Credit rate $0.05</t>
        </is>
      </c>
      <c r="B93" s="11">
        <f>IF(IF(IF(ISERROR('DealScope sensitivity controls'!H15=1),'DealScope sensitivity controls'!H15=1,IF('DealScope sensitivity controls'!H15="","",'DealScope sensitivity controls'!H15=1))="",FALSE,IF(ISERROR('DealScope sensitivity controls'!H15=1),'DealScope sensitivity controls'!H15=1,IF('DealScope sensitivity controls'!H15="","",'DealScope sensitivity controls'!H15=1))),'Model inputs'!B6/12*'DealScope sensitivity controls'!G15,IF('DealScope sensitivity controls'!B15="","",'DealScope sensitivity controls'!B15))</f>
        <v>4</v>
      </c>
      <c r="C93" s="10">
        <f>IF(EXACT("Per audit — low","Annual deal-team"),('Model inputs'!B49/12+MAX('DealScope sensitivity compariso'!B93-'Model inputs'!B28/12,0)*'Model inputs'!B36)*(1-'DealScope sensitivity controls'!C15),('Model inputs'!B49/12+'Model inputs'!B13*'DealScope sensitivity compariso'!B93)*(1-'DealScope sensitivity controls'!C15))</f>
        <v>3000</v>
      </c>
      <c r="D93" s="10">
        <f>'Model inputs'!B15*'DealScope sensitivity controls'!E15*'DealScope sensitivity controls'!D15*'Model inputs'!B17+'Model inputs'!B30+'Model inputs'!B39+'Model inputs'!B19</f>
        <v>93.35</v>
      </c>
      <c r="E93" s="10">
        <f>IFERROR('DealScope sensitivity compariso'!C93/'DealScope sensitivity compariso'!B93,"")</f>
        <v>750</v>
      </c>
      <c r="F93" s="12">
        <f>IFERROR(('DealScope sensitivity compariso'!E93-'DealScope sensitivity compariso'!D93)/'DealScope sensitivity compariso'!E93,"")</f>
        <v>0.8755333333333333</v>
      </c>
      <c r="G93" s="12">
        <f>IFERROR(('DealScope sensitivity compariso'!C93*(1-'Model inputs'!B38)-'DealScope sensitivity compariso'!B93*'DealScope sensitivity compariso'!D93-'Model inputs'!B42*'Model inputs'!B41)/'DealScope sensitivity compariso'!C93,"")</f>
        <v>0.8355333333333334</v>
      </c>
      <c r="H93" s="11">
        <f>'Model inputs'!B112+IF(IF(IF(IF(ISERROR('Model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controls'!F15)/'Model inputs'!B21,0),1),IF(IF(IF(ISERROR(11&gt;'DealScope sensitivity controls'!F15),11&gt;'DealScope sensitivity controls'!F15,IF('DealScope sensitivity controls'!F15="","",11&gt;'DealScope sensitivity controls'!F15))="",FALSE,IF(ISERROR(11&gt;'DealScope sensitivity controls'!F15),11&gt;'DealScope sensitivity controls'!F15,IF('DealScope sensitivity controls'!F15="","",11&gt;'DealScope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controls'!F15)/'Model inputs'!B21,0),1),IF(IF(IF(ISERROR(11&gt;'DealScope sensitivity controls'!F15),11&gt;'DealScope sensitivity controls'!F15,IF('DealScope sensitivity controls'!F15="","",11&gt;'DealScope sensitivity controls'!F15))="",FALSE,IF(ISERROR(11&gt;'DealScope sensitivity controls'!F15),11&gt;'DealScope sensitivity controls'!F15,IF('DealScope sensitivity controls'!F15="","",11&gt;'DealScope sensitivity controls'!F15))),IF('Model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controls'!F15)/'Model inputs'!B21,0),1),IF(IF(IF(ISERROR(12&gt;'DealScope sensitivity controls'!F15),12&gt;'DealScope sensitivity controls'!F15,IF('DealScope sensitivity controls'!F15="","",12&gt;'DealScope sensitivity controls'!F15))="",FALSE,IF(ISERROR(12&gt;'DealScope sensitivity controls'!F15),12&gt;'DealScope sensitivity controls'!F15,IF('DealScope sensitivity controls'!F15="","",12&gt;'DealScope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controls'!F15)/'Model inputs'!B21,0),1),IF(IF(IF(ISERROR(12&gt;'DealScope sensitivity controls'!F15),12&gt;'DealScope sensitivity controls'!F15,IF('DealScope sensitivity controls'!F15="","",12&gt;'DealScope sensitivity controls'!F15))="",FALSE,IF(ISERROR(12&gt;'DealScope sensitivity controls'!F15),12&gt;'DealScope sensitivity controls'!F15,IF('DealScope sensitivity controls'!F15="","",12&gt;'DealScope sensitivity controls'!F15))),IF('Model inputs'!B43="","",'Model inputs'!B43),0)))</f>
        <v>97.5</v>
      </c>
      <c r="I93" s="10">
        <f>'DealScope sensitivity compariso'!H93*'DealScope sensitivity compariso'!C93</f>
        <v>292500</v>
      </c>
      <c r="J93" s="10">
        <f>'DealScope sensitivity compariso'!I93*(1-'Model inputs'!B38)-'DealScope sensitivity compariso'!H93*('DealScope sensitivity compariso'!B93*'DealScope sensitivity compariso'!D93+'Model inputs'!B42*'Model inputs'!B41)-SUM('Model inputs'!B76,'Model inputs'!B77)</f>
        <v>231893.5</v>
      </c>
    </row>
    <row r="94" outlineLevel="1">
      <c r="A94" t="inlineStr" s="13">
        <is>
          <t xml:space="preserve">Credit rate $0.10</t>
        </is>
      </c>
      <c r="B94" s="11">
        <f>IF(IF(IF(ISERROR('DealScope sensitivity controls'!H16=1),'DealScope sensitivity controls'!H16=1,IF('DealScope sensitivity controls'!H16="","",'DealScope sensitivity controls'!H16=1))="",FALSE,IF(ISERROR('DealScope sensitivity controls'!H16=1),'DealScope sensitivity controls'!H16=1,IF('DealScope sensitivity controls'!H16="","",'DealScope sensitivity controls'!H16=1))),'Model inputs'!B6/12*'DealScope sensitivity controls'!G16,IF('DealScope sensitivity controls'!B16="","",'DealScope sensitivity controls'!B16))</f>
        <v>4</v>
      </c>
      <c r="C94" s="10">
        <f>IF(EXACT("Per audit — low","Annual deal-team"),('Model inputs'!B49/12+MAX('DealScope sensitivity compariso'!B94-'Model inputs'!B28/12,0)*'Model inputs'!B36)*(1-'DealScope sensitivity controls'!C16),('Model inputs'!B49/12+'Model inputs'!B13*'DealScope sensitivity compariso'!B94)*(1-'DealScope sensitivity controls'!C16))</f>
        <v>3000</v>
      </c>
      <c r="D94" s="10">
        <f>'Model inputs'!B15*'DealScope sensitivity controls'!E16*'DealScope sensitivity controls'!D16*'Model inputs'!B17+'Model inputs'!B30+'Model inputs'!B39+'Model inputs'!B19</f>
        <v>94.65</v>
      </c>
      <c r="E94" s="10">
        <f>IFERROR('DealScope sensitivity compariso'!C94/'DealScope sensitivity compariso'!B94,"")</f>
        <v>750</v>
      </c>
      <c r="F94" s="12">
        <f>IFERROR(('DealScope sensitivity compariso'!E94-'DealScope sensitivity compariso'!D94)/'DealScope sensitivity compariso'!E94,"")</f>
        <v>0.8738</v>
      </c>
      <c r="G94" s="12">
        <f>IFERROR(('DealScope sensitivity compariso'!C94*(1-'Model inputs'!B38)-'DealScope sensitivity compariso'!B94*'DealScope sensitivity compariso'!D94-'Model inputs'!B42*'Model inputs'!B41)/'DealScope sensitivity compariso'!C94,"")</f>
        <v>0.8338</v>
      </c>
      <c r="H94" s="11">
        <f>'Model inputs'!B117+IF(IF(IF(IF(ISERROR('Model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controls'!F16)/'Model inputs'!B21,0),1),IF(IF(IF(ISERROR(11&gt;'DealScope sensitivity controls'!F16),11&gt;'DealScope sensitivity controls'!F16,IF('DealScope sensitivity controls'!F16="","",11&gt;'DealScope sensitivity controls'!F16))="",FALSE,IF(ISERROR(11&gt;'DealScope sensitivity controls'!F16),11&gt;'DealScope sensitivity controls'!F16,IF('DealScope sensitivity controls'!F16="","",11&gt;'DealScope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controls'!F16)/'Model inputs'!B21,0),1),IF(IF(IF(ISERROR(11&gt;'DealScope sensitivity controls'!F16),11&gt;'DealScope sensitivity controls'!F16,IF('DealScope sensitivity controls'!F16="","",11&gt;'DealScope sensitivity controls'!F16))="",FALSE,IF(ISERROR(11&gt;'DealScope sensitivity controls'!F16),11&gt;'DealScope sensitivity controls'!F16,IF('DealScope sensitivity controls'!F16="","",11&gt;'DealScope sensitivity controls'!F16))),IF('Model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controls'!F16)/'Model inputs'!B21,0),1),IF(IF(IF(ISERROR(12&gt;'DealScope sensitivity controls'!F16),12&gt;'DealScope sensitivity controls'!F16,IF('DealScope sensitivity controls'!F16="","",12&gt;'DealScope sensitivity controls'!F16))="",FALSE,IF(ISERROR(12&gt;'DealScope sensitivity controls'!F16),12&gt;'DealScope sensitivity controls'!F16,IF('DealScope sensitivity controls'!F16="","",12&gt;'DealScope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controls'!F16)/'Model inputs'!B21,0),1),IF(IF(IF(ISERROR(12&gt;'DealScope sensitivity controls'!F16),12&gt;'DealScope sensitivity controls'!F16,IF('DealScope sensitivity controls'!F16="","",12&gt;'DealScope sensitivity controls'!F16))="",FALSE,IF(ISERROR(12&gt;'DealScope sensitivity controls'!F16),12&gt;'DealScope sensitivity controls'!F16,IF('DealScope sensitivity controls'!F16="","",12&gt;'DealScope sensitivity controls'!F16))),IF('Model inputs'!B43="","",'Model inputs'!B43),0)))</f>
        <v>97.5</v>
      </c>
      <c r="I94" s="10">
        <f>'DealScope sensitivity compariso'!H94*'DealScope sensitivity compariso'!C94</f>
        <v>292500</v>
      </c>
      <c r="J94" s="10">
        <f>'DealScope sensitivity compariso'!I94*(1-'Model inputs'!B38)-'DealScope sensitivity compariso'!H94*('DealScope sensitivity compariso'!B94*'DealScope sensitivity compariso'!D94+'Model inputs'!B42*'Model inputs'!B41)-SUM('Model inputs'!B76,'Model inputs'!B77)</f>
        <v>231386.5</v>
      </c>
    </row>
    <row r="95" outlineLevel="1">
      <c r="A95" t="inlineStr" s="13">
        <is>
          <t xml:space="preserve">Credit rate $0.25</t>
        </is>
      </c>
      <c r="B95" s="11">
        <f>IF(IF(IF(ISERROR('DealScope sensitivity controls'!H17=1),'DealScope sensitivity controls'!H17=1,IF('DealScope sensitivity controls'!H17="","",'DealScope sensitivity controls'!H17=1))="",FALSE,IF(ISERROR('DealScope sensitivity controls'!H17=1),'DealScope sensitivity controls'!H17=1,IF('DealScope sensitivity controls'!H17="","",'DealScope sensitivity controls'!H17=1))),'Model inputs'!B6/12*'DealScope sensitivity controls'!G17,IF('DealScope sensitivity controls'!B17="","",'DealScope sensitivity controls'!B17))</f>
        <v>4</v>
      </c>
      <c r="C95" s="10">
        <f>IF(EXACT("Per audit — low","Annual deal-team"),('Model inputs'!B49/12+MAX('DealScope sensitivity compariso'!B95-'Model inputs'!B28/12,0)*'Model inputs'!B36)*(1-'DealScope sensitivity controls'!C17),('Model inputs'!B49/12+'Model inputs'!B13*'DealScope sensitivity compariso'!B95)*(1-'DealScope sensitivity controls'!C17))</f>
        <v>3000</v>
      </c>
      <c r="D95" s="10">
        <f>'Model inputs'!B15*'DealScope sensitivity controls'!E17*'DealScope sensitivity controls'!D17*'Model inputs'!B17+'Model inputs'!B30+'Model inputs'!B39+'Model inputs'!B19</f>
        <v>98.55</v>
      </c>
      <c r="E95" s="10">
        <f>IFERROR('DealScope sensitivity compariso'!C95/'DealScope sensitivity compariso'!B95,"")</f>
        <v>750</v>
      </c>
      <c r="F95" s="12">
        <f>IFERROR(('DealScope sensitivity compariso'!E95-'DealScope sensitivity compariso'!D95)/'DealScope sensitivity compariso'!E95,"")</f>
        <v>0.8686</v>
      </c>
      <c r="G95" s="12">
        <f>IFERROR(('DealScope sensitivity compariso'!C95*(1-'Model inputs'!B38)-'DealScope sensitivity compariso'!B95*'DealScope sensitivity compariso'!D95-'Model inputs'!B42*'Model inputs'!B41)/'DealScope sensitivity compariso'!C95,"")</f>
        <v>0.8286000000000001</v>
      </c>
      <c r="H95" s="11">
        <f>'Model inputs'!B122+IF(IF(IF(IF(ISERROR('Model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controls'!F17)/'Model inputs'!B21,0),1),IF(IF(IF(ISERROR(11&gt;'DealScope sensitivity controls'!F17),11&gt;'DealScope sensitivity controls'!F17,IF('DealScope sensitivity controls'!F17="","",11&gt;'DealScope sensitivity controls'!F17))="",FALSE,IF(ISERROR(11&gt;'DealScope sensitivity controls'!F17),11&gt;'DealScope sensitivity controls'!F17,IF('DealScope sensitivity controls'!F17="","",11&gt;'DealScope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controls'!F17)/'Model inputs'!B21,0),1),IF(IF(IF(ISERROR(11&gt;'DealScope sensitivity controls'!F17),11&gt;'DealScope sensitivity controls'!F17,IF('DealScope sensitivity controls'!F17="","",11&gt;'DealScope sensitivity controls'!F17))="",FALSE,IF(ISERROR(11&gt;'DealScope sensitivity controls'!F17),11&gt;'DealScope sensitivity controls'!F17,IF('DealScope sensitivity controls'!F17="","",11&gt;'DealScope sensitivity controls'!F17))),IF('Model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controls'!F17)/'Model inputs'!B21,0),1),IF(IF(IF(ISERROR(12&gt;'DealScope sensitivity controls'!F17),12&gt;'DealScope sensitivity controls'!F17,IF('DealScope sensitivity controls'!F17="","",12&gt;'DealScope sensitivity controls'!F17))="",FALSE,IF(ISERROR(12&gt;'DealScope sensitivity controls'!F17),12&gt;'DealScope sensitivity controls'!F17,IF('DealScope sensitivity controls'!F17="","",12&gt;'DealScope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controls'!F17)/'Model inputs'!B21,0),1),IF(IF(IF(ISERROR(12&gt;'DealScope sensitivity controls'!F17),12&gt;'DealScope sensitivity controls'!F17,IF('DealScope sensitivity controls'!F17="","",12&gt;'DealScope sensitivity controls'!F17))="",FALSE,IF(ISERROR(12&gt;'DealScope sensitivity controls'!F17),12&gt;'DealScope sensitivity controls'!F17,IF('DealScope sensitivity controls'!F17="","",12&gt;'DealScope sensitivity controls'!F17))),IF('Model inputs'!B43="","",'Model inputs'!B43),0)))</f>
        <v>97.5</v>
      </c>
      <c r="I95" s="10">
        <f>'DealScope sensitivity compariso'!H95*'DealScope sensitivity compariso'!C95</f>
        <v>292500</v>
      </c>
      <c r="J95" s="10">
        <f>'DealScope sensitivity compariso'!I95*(1-'Model inputs'!B38)-'DealScope sensitivity compariso'!H95*('DealScope sensitivity compariso'!B95*'DealScope sensitivity compariso'!D95+'Model inputs'!B42*'Model inputs'!B41)-SUM('Model inputs'!B76,'Model inputs'!B77)</f>
        <v>229865.5</v>
      </c>
    </row>
    <row r="96" outlineLevel="1">
      <c r="A96" t="inlineStr" s="13">
        <is>
          <t xml:space="preserve">Data cost x1</t>
        </is>
      </c>
      <c r="B96" s="11">
        <f>IF(IF(IF(ISERROR('DealScope sensitivity controls'!H12=1),'DealScope sensitivity controls'!H12=1,IF('DealScope sensitivity controls'!H12="","",'DealScope sensitivity controls'!H12=1))="",FALSE,IF(ISERROR('DealScope sensitivity controls'!H12=1),'DealScope sensitivity controls'!H12=1,IF('DealScope sensitivity controls'!H12="","",'DealScope sensitivity controls'!H12=1))),'Model inputs'!B6/12*'DealScope sensitivity controls'!G12,IF('DealScope sensitivity controls'!B12="","",'DealScope sensitivity controls'!B12))</f>
        <v>4</v>
      </c>
      <c r="C96" s="10">
        <f>IF(EXACT("Per audit — low","Annual deal-team"),('Model inputs'!B49/12+MAX('DealScope sensitivity compariso'!B96-'Model inputs'!B28/12,0)*'Model inputs'!B36)*(1-'DealScope sensitivity controls'!C12),('Model inputs'!B49/12+'Model inputs'!B13*'DealScope sensitivity compariso'!B96)*(1-'DealScope sensitivity controls'!C12))</f>
        <v>3000</v>
      </c>
      <c r="D96" s="10">
        <f>'Model inputs'!B15*'DealScope sensitivity controls'!E12*'DealScope sensitivity controls'!D12*'Model inputs'!B17+'Model inputs'!B30+'Model inputs'!B39+'Model inputs'!B19</f>
        <v>94.65</v>
      </c>
      <c r="E96" s="10">
        <f>IFERROR('DealScope sensitivity compariso'!C96/'DealScope sensitivity compariso'!B96,"")</f>
        <v>750</v>
      </c>
      <c r="F96" s="12">
        <f>IFERROR(('DealScope sensitivity compariso'!E96-'DealScope sensitivity compariso'!D96)/'DealScope sensitivity compariso'!E96,"")</f>
        <v>0.8738</v>
      </c>
      <c r="G96" s="12">
        <f>IFERROR(('DealScope sensitivity compariso'!C96*(1-'Model inputs'!B38)-'DealScope sensitivity compariso'!B96*'DealScope sensitivity compariso'!D96-'Model inputs'!B42*'Model inputs'!B41)/'DealScope sensitivity compariso'!C96,"")</f>
        <v>0.8338</v>
      </c>
      <c r="H96" s="11">
        <f>'Model inputs'!B127+IF(IF(IF(IF(ISERROR('Model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controls'!F12)/'Model inputs'!B21,0),1),IF(IF(IF(ISERROR(11&gt;'DealScope sensitivity controls'!F12),11&gt;'DealScope sensitivity controls'!F12,IF('DealScope sensitivity controls'!F12="","",11&gt;'DealScope sensitivity controls'!F12))="",FALSE,IF(ISERROR(11&gt;'DealScope sensitivity controls'!F12),11&gt;'DealScope sensitivity controls'!F12,IF('DealScope sensitivity controls'!F12="","",11&gt;'DealScope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controls'!F12)/'Model inputs'!B21,0),1),IF(IF(IF(ISERROR(11&gt;'DealScope sensitivity controls'!F12),11&gt;'DealScope sensitivity controls'!F12,IF('DealScope sensitivity controls'!F12="","",11&gt;'DealScope sensitivity controls'!F12))="",FALSE,IF(ISERROR(11&gt;'DealScope sensitivity controls'!F12),11&gt;'DealScope sensitivity controls'!F12,IF('DealScope sensitivity controls'!F12="","",11&gt;'DealScope sensitivity controls'!F12))),IF('Model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controls'!F12)/'Model inputs'!B21,0),1),IF(IF(IF(ISERROR(12&gt;'DealScope sensitivity controls'!F12),12&gt;'DealScope sensitivity controls'!F12,IF('DealScope sensitivity controls'!F12="","",12&gt;'DealScope sensitivity controls'!F12))="",FALSE,IF(ISERROR(12&gt;'DealScope sensitivity controls'!F12),12&gt;'DealScope sensitivity controls'!F12,IF('DealScope sensitivity controls'!F12="","",12&gt;'DealScope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controls'!F12)/'Model inputs'!B21,0),1),IF(IF(IF(ISERROR(12&gt;'DealScope sensitivity controls'!F12),12&gt;'DealScope sensitivity controls'!F12,IF('DealScope sensitivity controls'!F12="","",12&gt;'DealScope sensitivity controls'!F12))="",FALSE,IF(ISERROR(12&gt;'DealScope sensitivity controls'!F12),12&gt;'DealScope sensitivity controls'!F12,IF('DealScope sensitivity controls'!F12="","",12&gt;'DealScope sensitivity controls'!F12))),IF('Model inputs'!B43="","",'Model inputs'!B43),0)))</f>
        <v>97.5</v>
      </c>
      <c r="I96" s="10">
        <f>'DealScope sensitivity compariso'!H96*'DealScope sensitivity compariso'!C96</f>
        <v>292500</v>
      </c>
      <c r="J96" s="10">
        <f>'DealScope sensitivity compariso'!I96*(1-'Model inputs'!B38)-'DealScope sensitivity compariso'!H96*('DealScope sensitivity compariso'!B96*'DealScope sensitivity compariso'!D96+'Model inputs'!B42*'Model inputs'!B41)-SUM('Model inputs'!B76,'Model inputs'!B77)</f>
        <v>231386.5</v>
      </c>
    </row>
    <row r="97" outlineLevel="1">
      <c r="A97" t="inlineStr" s="13">
        <is>
          <t xml:space="preserve">Data cost x2</t>
        </is>
      </c>
      <c r="B97" s="11">
        <f>IF(IF(IF(ISERROR('DealScope sensitivity controls'!H13=1),'DealScope sensitivity controls'!H13=1,IF('DealScope sensitivity controls'!H13="","",'DealScope sensitivity controls'!H13=1))="",FALSE,IF(ISERROR('DealScope sensitivity controls'!H13=1),'DealScope sensitivity controls'!H13=1,IF('DealScope sensitivity controls'!H13="","",'DealScope sensitivity controls'!H13=1))),'Model inputs'!B6/12*'DealScope sensitivity controls'!G13,IF('DealScope sensitivity controls'!B13="","",'DealScope sensitivity controls'!B13))</f>
        <v>4</v>
      </c>
      <c r="C97" s="10">
        <f>IF(EXACT("Per audit — low","Annual deal-team"),('Model inputs'!B49/12+MAX('DealScope sensitivity compariso'!B97-'Model inputs'!B28/12,0)*'Model inputs'!B36)*(1-'DealScope sensitivity controls'!C13),('Model inputs'!B49/12+'Model inputs'!B13*'DealScope sensitivity compariso'!B97)*(1-'DealScope sensitivity controls'!C13))</f>
        <v>3000</v>
      </c>
      <c r="D97" s="10">
        <f>'Model inputs'!B15*'DealScope sensitivity controls'!E13*'DealScope sensitivity controls'!D13*'Model inputs'!B17+'Model inputs'!B30+'Model inputs'!B39+'Model inputs'!B19</f>
        <v>97.25</v>
      </c>
      <c r="E97" s="10">
        <f>IFERROR('DealScope sensitivity compariso'!C97/'DealScope sensitivity compariso'!B97,"")</f>
        <v>750</v>
      </c>
      <c r="F97" s="12">
        <f>IFERROR(('DealScope sensitivity compariso'!E97-'DealScope sensitivity compariso'!D97)/'DealScope sensitivity compariso'!E97,"")</f>
        <v>0.8703333333333333</v>
      </c>
      <c r="G97" s="12">
        <f>IFERROR(('DealScope sensitivity compariso'!C97*(1-'Model inputs'!B38)-'DealScope sensitivity compariso'!B97*'DealScope sensitivity compariso'!D97-'Model inputs'!B42*'Model inputs'!B41)/'DealScope sensitivity compariso'!C97,"")</f>
        <v>0.8303333333333334</v>
      </c>
      <c r="H97" s="11">
        <f>'Model inputs'!B132+IF(IF(IF(IF(ISERROR('Model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controls'!F13)/'Model inputs'!B21,0),1),IF(IF(IF(ISERROR(11&gt;'DealScope sensitivity controls'!F13),11&gt;'DealScope sensitivity controls'!F13,IF('DealScope sensitivity controls'!F13="","",11&gt;'DealScope sensitivity controls'!F13))="",FALSE,IF(ISERROR(11&gt;'DealScope sensitivity controls'!F13),11&gt;'DealScope sensitivity controls'!F13,IF('DealScope sensitivity controls'!F13="","",11&gt;'DealScope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controls'!F13)/'Model inputs'!B21,0),1),IF(IF(IF(ISERROR(11&gt;'DealScope sensitivity controls'!F13),11&gt;'DealScope sensitivity controls'!F13,IF('DealScope sensitivity controls'!F13="","",11&gt;'DealScope sensitivity controls'!F13))="",FALSE,IF(ISERROR(11&gt;'DealScope sensitivity controls'!F13),11&gt;'DealScope sensitivity controls'!F13,IF('DealScope sensitivity controls'!F13="","",11&gt;'DealScope sensitivity controls'!F13))),IF('Model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controls'!F13)/'Model inputs'!B21,0),1),IF(IF(IF(ISERROR(12&gt;'DealScope sensitivity controls'!F13),12&gt;'DealScope sensitivity controls'!F13,IF('DealScope sensitivity controls'!F13="","",12&gt;'DealScope sensitivity controls'!F13))="",FALSE,IF(ISERROR(12&gt;'DealScope sensitivity controls'!F13),12&gt;'DealScope sensitivity controls'!F13,IF('DealScope sensitivity controls'!F13="","",12&gt;'DealScope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controls'!F13)/'Model inputs'!B21,0),1),IF(IF(IF(ISERROR(12&gt;'DealScope sensitivity controls'!F13),12&gt;'DealScope sensitivity controls'!F13,IF('DealScope sensitivity controls'!F13="","",12&gt;'DealScope sensitivity controls'!F13))="",FALSE,IF(ISERROR(12&gt;'DealScope sensitivity controls'!F13),12&gt;'DealScope sensitivity controls'!F13,IF('DealScope sensitivity controls'!F13="","",12&gt;'DealScope sensitivity controls'!F13))),IF('Model inputs'!B43="","",'Model inputs'!B43),0)))</f>
        <v>97.5</v>
      </c>
      <c r="I97" s="10">
        <f>'DealScope sensitivity compariso'!H97*'DealScope sensitivity compariso'!C97</f>
        <v>292500</v>
      </c>
      <c r="J97" s="10">
        <f>'DealScope sensitivity compariso'!I97*(1-'Model inputs'!B38)-'DealScope sensitivity compariso'!H97*('DealScope sensitivity compariso'!B97*'DealScope sensitivity compariso'!D97+'Model inputs'!B42*'Model inputs'!B41)-SUM('Model inputs'!B76,'Model inputs'!B77)</f>
        <v>230372.5</v>
      </c>
    </row>
    <row r="98" outlineLevel="1">
      <c r="A98" t="inlineStr" s="13">
        <is>
          <t xml:space="preserve">Data cost x3</t>
        </is>
      </c>
      <c r="B98" s="11">
        <f>IF(IF(IF(ISERROR('DealScope sensitivity controls'!H14=1),'DealScope sensitivity controls'!H14=1,IF('DealScope sensitivity controls'!H14="","",'DealScope sensitivity controls'!H14=1))="",FALSE,IF(ISERROR('DealScope sensitivity controls'!H14=1),'DealScope sensitivity controls'!H14=1,IF('DealScope sensitivity controls'!H14="","",'DealScope sensitivity controls'!H14=1))),'Model inputs'!B6/12*'DealScope sensitivity controls'!G14,IF('DealScope sensitivity controls'!B14="","",'DealScope sensitivity controls'!B14))</f>
        <v>4</v>
      </c>
      <c r="C98" s="10">
        <f>IF(EXACT("Per audit — low","Annual deal-team"),('Model inputs'!B49/12+MAX('DealScope sensitivity compariso'!B98-'Model inputs'!B28/12,0)*'Model inputs'!B36)*(1-'DealScope sensitivity controls'!C14),('Model inputs'!B49/12+'Model inputs'!B13*'DealScope sensitivity compariso'!B98)*(1-'DealScope sensitivity controls'!C14))</f>
        <v>3000</v>
      </c>
      <c r="D98" s="10">
        <f>'Model inputs'!B15*'DealScope sensitivity controls'!E14*'DealScope sensitivity controls'!D14*'Model inputs'!B17+'Model inputs'!B30+'Model inputs'!B39+'Model inputs'!B19</f>
        <v>99.85</v>
      </c>
      <c r="E98" s="10">
        <f>IFERROR('DealScope sensitivity compariso'!C98/'DealScope sensitivity compariso'!B98,"")</f>
        <v>750</v>
      </c>
      <c r="F98" s="12">
        <f>IFERROR(('DealScope sensitivity compariso'!E98-'DealScope sensitivity compariso'!D98)/'DealScope sensitivity compariso'!E98,"")</f>
        <v>0.8668666666666667</v>
      </c>
      <c r="G98" s="12">
        <f>IFERROR(('DealScope sensitivity compariso'!C98*(1-'Model inputs'!B38)-'DealScope sensitivity compariso'!B98*'DealScope sensitivity compariso'!D98-'Model inputs'!B42*'Model inputs'!B41)/'DealScope sensitivity compariso'!C98,"")</f>
        <v>0.8268666666666666</v>
      </c>
      <c r="H98" s="11">
        <f>'Model inputs'!B137+IF(IF(IF(IF(ISERROR('Model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controls'!F14)/'Model inputs'!B21,0),1),IF(IF(IF(ISERROR(11&gt;'DealScope sensitivity controls'!F14),11&gt;'DealScope sensitivity controls'!F14,IF('DealScope sensitivity controls'!F14="","",11&gt;'DealScope sensitivity controls'!F14))="",FALSE,IF(ISERROR(11&gt;'DealScope sensitivity controls'!F14),11&gt;'DealScope sensitivity controls'!F14,IF('DealScope sensitivity controls'!F14="","",11&gt;'DealScope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controls'!F14)/'Model inputs'!B21,0),1),IF(IF(IF(ISERROR(11&gt;'DealScope sensitivity controls'!F14),11&gt;'DealScope sensitivity controls'!F14,IF('DealScope sensitivity controls'!F14="","",11&gt;'DealScope sensitivity controls'!F14))="",FALSE,IF(ISERROR(11&gt;'DealScope sensitivity controls'!F14),11&gt;'DealScope sensitivity controls'!F14,IF('DealScope sensitivity controls'!F14="","",11&gt;'DealScope sensitivity controls'!F14))),IF('Model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controls'!F14)/'Model inputs'!B21,0),1),IF(IF(IF(ISERROR(12&gt;'DealScope sensitivity controls'!F14),12&gt;'DealScope sensitivity controls'!F14,IF('DealScope sensitivity controls'!F14="","",12&gt;'DealScope sensitivity controls'!F14))="",FALSE,IF(ISERROR(12&gt;'DealScope sensitivity controls'!F14),12&gt;'DealScope sensitivity controls'!F14,IF('DealScope sensitivity controls'!F14="","",12&gt;'DealScope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controls'!F14)/'Model inputs'!B21,0),1),IF(IF(IF(ISERROR(12&gt;'DealScope sensitivity controls'!F14),12&gt;'DealScope sensitivity controls'!F14,IF('DealScope sensitivity controls'!F14="","",12&gt;'DealScope sensitivity controls'!F14))="",FALSE,IF(ISERROR(12&gt;'DealScope sensitivity controls'!F14),12&gt;'DealScope sensitivity controls'!F14,IF('DealScope sensitivity controls'!F14="","",12&gt;'DealScope sensitivity controls'!F14))),IF('Model inputs'!B43="","",'Model inputs'!B43),0)))</f>
        <v>97.5</v>
      </c>
      <c r="I98" s="10">
        <f>'DealScope sensitivity compariso'!H98*'DealScope sensitivity compariso'!C98</f>
        <v>292500</v>
      </c>
      <c r="J98" s="10">
        <f>'DealScope sensitivity compariso'!I98*(1-'Model inputs'!B38)-'DealScope sensitivity compariso'!H98*('DealScope sensitivity compariso'!B98*'DealScope sensitivity compariso'!D98+'Model inputs'!B42*'Model inputs'!B41)-SUM('Model inputs'!B76,'Model inputs'!B77)</f>
        <v>229358.5</v>
      </c>
    </row>
    <row r="99" outlineLevel="1">
      <c r="A99" t="inlineStr" s="13">
        <is>
          <t xml:space="preserve">Discount 0%</t>
        </is>
      </c>
      <c r="B99" s="11">
        <f>IF(IF(IF(ISERROR('DealScope sensitivity controls'!H9=1),'DealScope sensitivity controls'!H9=1,IF('DealScope sensitivity controls'!H9="","",'DealScope sensitivity controls'!H9=1))="",FALSE,IF(ISERROR('DealScope sensitivity controls'!H9=1),'DealScope sensitivity controls'!H9=1,IF('DealScope sensitivity controls'!H9="","",'DealScope sensitivity controls'!H9=1))),'Model inputs'!B6/12*'DealScope sensitivity controls'!G9,IF('DealScope sensitivity controls'!B9="","",'DealScope sensitivity controls'!B9))</f>
        <v>4</v>
      </c>
      <c r="C99" s="10">
        <f>IF(EXACT("Per audit — low","Annual deal-team"),('Model inputs'!B49/12+MAX('DealScope sensitivity compariso'!B99-'Model inputs'!B28/12,0)*'Model inputs'!B36)*(1-'DealScope sensitivity controls'!C9),('Model inputs'!B49/12+'Model inputs'!B13*'DealScope sensitivity compariso'!B99)*(1-'DealScope sensitivity controls'!C9))</f>
        <v>3000</v>
      </c>
      <c r="D99" s="10">
        <f>'Model inputs'!B15*'DealScope sensitivity controls'!E9*'DealScope sensitivity controls'!D9*'Model inputs'!B17+'Model inputs'!B30+'Model inputs'!B39+'Model inputs'!B19</f>
        <v>94.65</v>
      </c>
      <c r="E99" s="10">
        <f>IFERROR('DealScope sensitivity compariso'!C99/'DealScope sensitivity compariso'!B99,"")</f>
        <v>750</v>
      </c>
      <c r="F99" s="12">
        <f>IFERROR(('DealScope sensitivity compariso'!E99-'DealScope sensitivity compariso'!D99)/'DealScope sensitivity compariso'!E99,"")</f>
        <v>0.8738</v>
      </c>
      <c r="G99" s="12">
        <f>IFERROR(('DealScope sensitivity compariso'!C99*(1-'Model inputs'!B38)-'DealScope sensitivity compariso'!B99*'DealScope sensitivity compariso'!D99-'Model inputs'!B42*'Model inputs'!B41)/'DealScope sensitivity compariso'!C99,"")</f>
        <v>0.8338</v>
      </c>
      <c r="H99" s="11">
        <f>'Model inputs'!B142+IF(IF(IF(IF(ISERROR('Model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controls'!F9)/'Model inputs'!B21,0),1),IF(IF(IF(ISERROR(11&gt;'DealScope sensitivity controls'!F9),11&gt;'DealScope sensitivity controls'!F9,IF('DealScope sensitivity controls'!F9="","",11&gt;'DealScope sensitivity controls'!F9))="",FALSE,IF(ISERROR(11&gt;'DealScope sensitivity controls'!F9),11&gt;'DealScope sensitivity controls'!F9,IF('DealScope sensitivity controls'!F9="","",11&gt;'DealScope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controls'!F9)/'Model inputs'!B21,0),1),IF(IF(IF(ISERROR(11&gt;'DealScope sensitivity controls'!F9),11&gt;'DealScope sensitivity controls'!F9,IF('DealScope sensitivity controls'!F9="","",11&gt;'DealScope sensitivity controls'!F9))="",FALSE,IF(ISERROR(11&gt;'DealScope sensitivity controls'!F9),11&gt;'DealScope sensitivity controls'!F9,IF('DealScope sensitivity controls'!F9="","",11&gt;'DealScope sensitivity controls'!F9))),IF('Model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controls'!F9)/'Model inputs'!B21,0),1),IF(IF(IF(ISERROR(12&gt;'DealScope sensitivity controls'!F9),12&gt;'DealScope sensitivity controls'!F9,IF('DealScope sensitivity controls'!F9="","",12&gt;'DealScope sensitivity controls'!F9))="",FALSE,IF(ISERROR(12&gt;'DealScope sensitivity controls'!F9),12&gt;'DealScope sensitivity controls'!F9,IF('DealScope sensitivity controls'!F9="","",12&gt;'DealScope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controls'!F9)/'Model inputs'!B21,0),1),IF(IF(IF(ISERROR(12&gt;'DealScope sensitivity controls'!F9),12&gt;'DealScope sensitivity controls'!F9,IF('DealScope sensitivity controls'!F9="","",12&gt;'DealScope sensitivity controls'!F9))="",FALSE,IF(ISERROR(12&gt;'DealScope sensitivity controls'!F9),12&gt;'DealScope sensitivity controls'!F9,IF('DealScope sensitivity controls'!F9="","",12&gt;'DealScope sensitivity controls'!F9))),IF('Model inputs'!B43="","",'Model inputs'!B43),0)))</f>
        <v>97.5</v>
      </c>
      <c r="I99" s="10">
        <f>'DealScope sensitivity compariso'!H99*'DealScope sensitivity compariso'!C99</f>
        <v>292500</v>
      </c>
      <c r="J99" s="10">
        <f>'DealScope sensitivity compariso'!I99*(1-'Model inputs'!B38)-'DealScope sensitivity compariso'!H99*('DealScope sensitivity compariso'!B99*'DealScope sensitivity compariso'!D99+'Model inputs'!B42*'Model inputs'!B41)-SUM('Model inputs'!B76,'Model inputs'!B77)</f>
        <v>231386.5</v>
      </c>
    </row>
    <row r="100" outlineLevel="1">
      <c r="A100" t="inlineStr" s="13">
        <is>
          <t xml:space="preserve">Discount 20%</t>
        </is>
      </c>
      <c r="B100" s="11">
        <f>IF(IF(IF(ISERROR('DealScope sensitivity controls'!H10=1),'DealScope sensitivity controls'!H10=1,IF('DealScope sensitivity controls'!H10="","",'DealScope sensitivity controls'!H10=1))="",FALSE,IF(ISERROR('DealScope sensitivity controls'!H10=1),'DealScope sensitivity controls'!H10=1,IF('DealScope sensitivity controls'!H10="","",'DealScope sensitivity controls'!H10=1))),'Model inputs'!B6/12*'DealScope sensitivity controls'!G10,IF('DealScope sensitivity controls'!B10="","",'DealScope sensitivity controls'!B10))</f>
        <v>4</v>
      </c>
      <c r="C100" s="10">
        <f>IF(EXACT("Per audit — low","Annual deal-team"),('Model inputs'!B49/12+MAX('DealScope sensitivity compariso'!B100-'Model inputs'!B28/12,0)*'Model inputs'!B36)*(1-'DealScope sensitivity controls'!C10),('Model inputs'!B49/12+'Model inputs'!B13*'DealScope sensitivity compariso'!B100)*(1-'DealScope sensitivity controls'!C10))</f>
        <v>2400</v>
      </c>
      <c r="D100" s="10">
        <f>'Model inputs'!B15*'DealScope sensitivity controls'!E10*'DealScope sensitivity controls'!D10*'Model inputs'!B17+'Model inputs'!B30+'Model inputs'!B39+'Model inputs'!B19</f>
        <v>94.65</v>
      </c>
      <c r="E100" s="10">
        <f>IFERROR('DealScope sensitivity compariso'!C100/'DealScope sensitivity compariso'!B100,"")</f>
        <v>600</v>
      </c>
      <c r="F100" s="12">
        <f>IFERROR(('DealScope sensitivity compariso'!E100-'DealScope sensitivity compariso'!D100)/'DealScope sensitivity compariso'!E100,"")</f>
        <v>0.84225</v>
      </c>
      <c r="G100" s="12">
        <f>IFERROR(('DealScope sensitivity compariso'!C100*(1-'Model inputs'!B38)-'DealScope sensitivity compariso'!B100*'DealScope sensitivity compariso'!D100-'Model inputs'!B42*'Model inputs'!B41)/'DealScope sensitivity compariso'!C100,"")</f>
        <v>0.7997500000000001</v>
      </c>
      <c r="H100" s="11">
        <f>'Model inputs'!B147+IF(IF(IF(IF(ISERROR('Model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controls'!F10)/'Model inputs'!B21,0),1),IF(IF(IF(ISERROR(11&gt;'DealScope sensitivity controls'!F10),11&gt;'DealScope sensitivity controls'!F10,IF('DealScope sensitivity controls'!F10="","",11&gt;'DealScope sensitivity controls'!F10))="",FALSE,IF(ISERROR(11&gt;'DealScope sensitivity controls'!F10),11&gt;'DealScope sensitivity controls'!F10,IF('DealScope sensitivity controls'!F10="","",11&gt;'DealScope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controls'!F10)/'Model inputs'!B21,0),1),IF(IF(IF(ISERROR(11&gt;'DealScope sensitivity controls'!F10),11&gt;'DealScope sensitivity controls'!F10,IF('DealScope sensitivity controls'!F10="","",11&gt;'DealScope sensitivity controls'!F10))="",FALSE,IF(ISERROR(11&gt;'DealScope sensitivity controls'!F10),11&gt;'DealScope sensitivity controls'!F10,IF('DealScope sensitivity controls'!F10="","",11&gt;'DealScope sensitivity controls'!F10))),IF('Model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controls'!F10)/'Model inputs'!B21,0),1),IF(IF(IF(ISERROR(12&gt;'DealScope sensitivity controls'!F10),12&gt;'DealScope sensitivity controls'!F10,IF('DealScope sensitivity controls'!F10="","",12&gt;'DealScope sensitivity controls'!F10))="",FALSE,IF(ISERROR(12&gt;'DealScope sensitivity controls'!F10),12&gt;'DealScope sensitivity controls'!F10,IF('DealScope sensitivity controls'!F10="","",12&gt;'DealScope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controls'!F10)/'Model inputs'!B21,0),1),IF(IF(IF(ISERROR(12&gt;'DealScope sensitivity controls'!F10),12&gt;'DealScope sensitivity controls'!F10,IF('DealScope sensitivity controls'!F10="","",12&gt;'DealScope sensitivity controls'!F10))="",FALSE,IF(ISERROR(12&gt;'DealScope sensitivity controls'!F10),12&gt;'DealScope sensitivity controls'!F10,IF('DealScope sensitivity controls'!F10="","",12&gt;'DealScope sensitivity controls'!F10))),IF('Model inputs'!B43="","",'Model inputs'!B43),0)))</f>
        <v>97.5</v>
      </c>
      <c r="I100" s="10">
        <f>'DealScope sensitivity compariso'!H100*'DealScope sensitivity compariso'!C100</f>
        <v>234000</v>
      </c>
      <c r="J100" s="10">
        <f>'DealScope sensitivity compariso'!I100*(1-'Model inputs'!B38)-'DealScope sensitivity compariso'!H100*('DealScope sensitivity compariso'!B100*'DealScope sensitivity compariso'!D100+'Model inputs'!B42*'Model inputs'!B41)-SUM('Model inputs'!B76,'Model inputs'!B77)</f>
        <v>174641.5</v>
      </c>
    </row>
    <row r="101" outlineLevel="1">
      <c r="A101" t="inlineStr" s="13">
        <is>
          <t xml:space="preserve">Discount 40%</t>
        </is>
      </c>
      <c r="B101" s="11">
        <f>IF(IF(IF(ISERROR('DealScope sensitivity controls'!H11=1),'DealScope sensitivity controls'!H11=1,IF('DealScope sensitivity controls'!H11="","",'DealScope sensitivity controls'!H11=1))="",FALSE,IF(ISERROR('DealScope sensitivity controls'!H11=1),'DealScope sensitivity controls'!H11=1,IF('DealScope sensitivity controls'!H11="","",'DealScope sensitivity controls'!H11=1))),'Model inputs'!B6/12*'DealScope sensitivity controls'!G11,IF('DealScope sensitivity controls'!B11="","",'DealScope sensitivity controls'!B11))</f>
        <v>4</v>
      </c>
      <c r="C101" s="10">
        <f>IF(EXACT("Per audit — low","Annual deal-team"),('Model inputs'!B49/12+MAX('DealScope sensitivity compariso'!B101-'Model inputs'!B28/12,0)*'Model inputs'!B36)*(1-'DealScope sensitivity controls'!C11),('Model inputs'!B49/12+'Model inputs'!B13*'DealScope sensitivity compariso'!B101)*(1-'DealScope sensitivity controls'!C11))</f>
        <v>1800</v>
      </c>
      <c r="D101" s="10">
        <f>'Model inputs'!B15*'DealScope sensitivity controls'!E11*'DealScope sensitivity controls'!D11*'Model inputs'!B17+'Model inputs'!B30+'Model inputs'!B39+'Model inputs'!B19</f>
        <v>94.65</v>
      </c>
      <c r="E101" s="10">
        <f>IFERROR('DealScope sensitivity compariso'!C101/'DealScope sensitivity compariso'!B101,"")</f>
        <v>450</v>
      </c>
      <c r="F101" s="12">
        <f>IFERROR(('DealScope sensitivity compariso'!E101-'DealScope sensitivity compariso'!D101)/'DealScope sensitivity compariso'!E101,"")</f>
        <v>0.7896666666666667</v>
      </c>
      <c r="G101" s="12">
        <f>IFERROR(('DealScope sensitivity compariso'!C101*(1-'Model inputs'!B38)-'DealScope sensitivity compariso'!B101*'DealScope sensitivity compariso'!D101-'Model inputs'!B42*'Model inputs'!B41)/'DealScope sensitivity compariso'!C101,"")</f>
        <v>0.7430000000000001</v>
      </c>
      <c r="H101" s="11">
        <f>'Model inputs'!B152+IF(IF(IF(IF(ISERROR('Model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controls'!F11)/'Model inputs'!B21,0),1),IF(IF(IF(ISERROR(11&gt;'DealScope sensitivity controls'!F11),11&gt;'DealScope sensitivity controls'!F11,IF('DealScope sensitivity controls'!F11="","",11&gt;'DealScope sensitivity controls'!F11))="",FALSE,IF(ISERROR(11&gt;'DealScope sensitivity controls'!F11),11&gt;'DealScope sensitivity controls'!F11,IF('DealScope sensitivity controls'!F11="","",11&gt;'DealScope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controls'!F11)/'Model inputs'!B21,0),1),IF(IF(IF(ISERROR(11&gt;'DealScope sensitivity controls'!F11),11&gt;'DealScope sensitivity controls'!F11,IF('DealScope sensitivity controls'!F11="","",11&gt;'DealScope sensitivity controls'!F11))="",FALSE,IF(ISERROR(11&gt;'DealScope sensitivity controls'!F11),11&gt;'DealScope sensitivity controls'!F11,IF('DealScope sensitivity controls'!F11="","",11&gt;'DealScope sensitivity controls'!F11))),IF('Model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controls'!F11)/'Model inputs'!B21,0),1),IF(IF(IF(ISERROR(12&gt;'DealScope sensitivity controls'!F11),12&gt;'DealScope sensitivity controls'!F11,IF('DealScope sensitivity controls'!F11="","",12&gt;'DealScope sensitivity controls'!F11))="",FALSE,IF(ISERROR(12&gt;'DealScope sensitivity controls'!F11),12&gt;'DealScope sensitivity controls'!F11,IF('DealScope sensitivity controls'!F11="","",12&gt;'DealScope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controls'!F11)/'Model inputs'!B21,0),1),IF(IF(IF(ISERROR(12&gt;'DealScope sensitivity controls'!F11),12&gt;'DealScope sensitivity controls'!F11,IF('DealScope sensitivity controls'!F11="","",12&gt;'DealScope sensitivity controls'!F11))="",FALSE,IF(ISERROR(12&gt;'DealScope sensitivity controls'!F11),12&gt;'DealScope sensitivity controls'!F11,IF('DealScope sensitivity controls'!F11="","",12&gt;'DealScope sensitivity controls'!F11))),IF('Model inputs'!B43="","",'Model inputs'!B43),0)))</f>
        <v>97.5</v>
      </c>
      <c r="I101" s="10">
        <f>'DealScope sensitivity compariso'!H101*'DealScope sensitivity compariso'!C101</f>
        <v>175500</v>
      </c>
      <c r="J101" s="10">
        <f>'DealScope sensitivity compariso'!I101*(1-'Model inputs'!B38)-'DealScope sensitivity compariso'!H101*('DealScope sensitivity compariso'!B101*'DealScope sensitivity compariso'!D101+'Model inputs'!B42*'Model inputs'!B41)-SUM('Model inputs'!B76,'Model inputs'!B77)</f>
        <v>117896.5</v>
      </c>
    </row>
    <row r="102" outlineLevel="1">
      <c r="A102" t="inlineStr" s="13">
        <is>
          <t xml:space="preserve">Sales delay 0 months</t>
        </is>
      </c>
      <c r="B102" s="11">
        <f>IF(IF(IF(ISERROR('DealScope sensitivity controls'!H18=1),'DealScope sensitivity controls'!H18=1,IF('DealScope sensitivity controls'!H18="","",'DealScope sensitivity controls'!H18=1))="",FALSE,IF(ISERROR('DealScope sensitivity controls'!H18=1),'DealScope sensitivity controls'!H18=1,IF('DealScope sensitivity controls'!H18="","",'DealScope sensitivity controls'!H18=1))),'Model inputs'!B6/12*'DealScope sensitivity controls'!G18,IF('DealScope sensitivity controls'!B18="","",'DealScope sensitivity controls'!B18))</f>
        <v>4</v>
      </c>
      <c r="C102" s="10">
        <f>IF(EXACT("Per audit — low","Annual deal-team"),('Model inputs'!B49/12+MAX('DealScope sensitivity compariso'!B102-'Model inputs'!B28/12,0)*'Model inputs'!B36)*(1-'DealScope sensitivity controls'!C18),('Model inputs'!B49/12+'Model inputs'!B13*'DealScope sensitivity compariso'!B102)*(1-'DealScope sensitivity controls'!C18))</f>
        <v>3000</v>
      </c>
      <c r="D102" s="10">
        <f>'Model inputs'!B15*'DealScope sensitivity controls'!E18*'DealScope sensitivity controls'!D18*'Model inputs'!B17+'Model inputs'!B30+'Model inputs'!B39+'Model inputs'!B19</f>
        <v>94.65</v>
      </c>
      <c r="E102" s="10">
        <f>IFERROR('DealScope sensitivity compariso'!C102/'DealScope sensitivity compariso'!B102,"")</f>
        <v>750</v>
      </c>
      <c r="F102" s="12">
        <f>IFERROR(('DealScope sensitivity compariso'!E102-'DealScope sensitivity compariso'!D102)/'DealScope sensitivity compariso'!E102,"")</f>
        <v>0.8738</v>
      </c>
      <c r="G102" s="12">
        <f>IFERROR(('DealScope sensitivity compariso'!C102*(1-'Model inputs'!B38)-'DealScope sensitivity compariso'!B102*'DealScope sensitivity compariso'!D102-'Model inputs'!B42*'Model inputs'!B41)/'DealScope sensitivity compariso'!C102,"")</f>
        <v>0.8338</v>
      </c>
      <c r="H102" s="11">
        <f>'Model inputs'!B157+IF(IF(IF(IF(ISERROR('Model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controls'!F18)/'Model inputs'!B21,0),1),IF(IF(IF(ISERROR(11&gt;'DealScope sensitivity controls'!F18),11&gt;'DealScope sensitivity controls'!F18,IF('DealScope sensitivity controls'!F18="","",11&gt;'DealScope sensitivity controls'!F18))="",FALSE,IF(ISERROR(11&gt;'DealScope sensitivity controls'!F18),11&gt;'DealScope sensitivity controls'!F18,IF('DealScope sensitivity controls'!F18="","",11&gt;'DealScope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controls'!F18)/'Model inputs'!B21,0),1),IF(IF(IF(ISERROR(11&gt;'DealScope sensitivity controls'!F18),11&gt;'DealScope sensitivity controls'!F18,IF('DealScope sensitivity controls'!F18="","",11&gt;'DealScope sensitivity controls'!F18))="",FALSE,IF(ISERROR(11&gt;'DealScope sensitivity controls'!F18),11&gt;'DealScope sensitivity controls'!F18,IF('DealScope sensitivity controls'!F18="","",11&gt;'DealScope sensitivity controls'!F18))),IF('Model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controls'!F18)/'Model inputs'!B21,0),1),IF(IF(IF(ISERROR(12&gt;'DealScope sensitivity controls'!F18),12&gt;'DealScope sensitivity controls'!F18,IF('DealScope sensitivity controls'!F18="","",12&gt;'DealScope sensitivity controls'!F18))="",FALSE,IF(ISERROR(12&gt;'DealScope sensitivity controls'!F18),12&gt;'DealScope sensitivity controls'!F18,IF('DealScope sensitivity controls'!F18="","",12&gt;'DealScope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controls'!F18)/'Model inputs'!B21,0),1),IF(IF(IF(ISERROR(12&gt;'DealScope sensitivity controls'!F18),12&gt;'DealScope sensitivity controls'!F18,IF('DealScope sensitivity controls'!F18="","",12&gt;'DealScope sensitivity controls'!F18))="",FALSE,IF(ISERROR(12&gt;'DealScope sensitivity controls'!F18),12&gt;'DealScope sensitivity controls'!F18,IF('DealScope sensitivity controls'!F18="","",12&gt;'DealScope sensitivity controls'!F18))),IF('Model inputs'!B43="","",'Model inputs'!B43),0)))</f>
        <v>97.5</v>
      </c>
      <c r="I102" s="10">
        <f>'DealScope sensitivity compariso'!H102*'DealScope sensitivity compariso'!C102</f>
        <v>292500</v>
      </c>
      <c r="J102" s="10">
        <f>'DealScope sensitivity compariso'!I102*(1-'Model inputs'!B38)-'DealScope sensitivity compariso'!H102*('DealScope sensitivity compariso'!B102*'DealScope sensitivity compariso'!D102+'Model inputs'!B42*'Model inputs'!B41)-SUM('Model inputs'!B76,'Model inputs'!B77)</f>
        <v>231386.5</v>
      </c>
    </row>
    <row r="103" outlineLevel="1">
      <c r="A103" t="inlineStr" s="13">
        <is>
          <t xml:space="preserve">Sales delay 2 months</t>
        </is>
      </c>
      <c r="B103" s="11">
        <f>IF(IF(IF(ISERROR('DealScope sensitivity controls'!H19=1),'DealScope sensitivity controls'!H19=1,IF('DealScope sensitivity controls'!H19="","",'DealScope sensitivity controls'!H19=1))="",FALSE,IF(ISERROR('DealScope sensitivity controls'!H19=1),'DealScope sensitivity controls'!H19=1,IF('DealScope sensitivity controls'!H19="","",'DealScope sensitivity controls'!H19=1))),'Model inputs'!B6/12*'DealScope sensitivity controls'!G19,IF('DealScope sensitivity controls'!B19="","",'DealScope sensitivity controls'!B19))</f>
        <v>4</v>
      </c>
      <c r="C103" s="10">
        <f>IF(EXACT("Per audit — low","Annual deal-team"),('Model inputs'!B49/12+MAX('DealScope sensitivity compariso'!B103-'Model inputs'!B28/12,0)*'Model inputs'!B36)*(1-'DealScope sensitivity controls'!C19),('Model inputs'!B49/12+'Model inputs'!B13*'DealScope sensitivity compariso'!B103)*(1-'DealScope sensitivity controls'!C19))</f>
        <v>3000</v>
      </c>
      <c r="D103" s="10">
        <f>'Model inputs'!B15*'DealScope sensitivity controls'!E19*'DealScope sensitivity controls'!D19*'Model inputs'!B17+'Model inputs'!B30+'Model inputs'!B39+'Model inputs'!B19</f>
        <v>94.65</v>
      </c>
      <c r="E103" s="10">
        <f>IFERROR('DealScope sensitivity compariso'!C103/'DealScope sensitivity compariso'!B103,"")</f>
        <v>750</v>
      </c>
      <c r="F103" s="12">
        <f>IFERROR(('DealScope sensitivity compariso'!E103-'DealScope sensitivity compariso'!D103)/'DealScope sensitivity compariso'!E103,"")</f>
        <v>0.8738</v>
      </c>
      <c r="G103" s="12">
        <f>IFERROR(('DealScope sensitivity compariso'!C103*(1-'Model inputs'!B38)-'DealScope sensitivity compariso'!B103*'DealScope sensitivity compariso'!D103-'Model inputs'!B42*'Model inputs'!B41)/'DealScope sensitivity compariso'!C103,"")</f>
        <v>0.8338</v>
      </c>
      <c r="H103" s="11">
        <f>'Model inputs'!B162+IF(IF(IF(IF(ISERROR('Model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controls'!F19)/'Model inputs'!B21,0),1),IF(IF(IF(ISERROR(11&gt;'DealScope sensitivity controls'!F19),11&gt;'DealScope sensitivity controls'!F19,IF('DealScope sensitivity controls'!F19="","",11&gt;'DealScope sensitivity controls'!F19))="",FALSE,IF(ISERROR(11&gt;'DealScope sensitivity controls'!F19),11&gt;'DealScope sensitivity controls'!F19,IF('DealScope sensitivity controls'!F19="","",11&gt;'DealScope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controls'!F19)/'Model inputs'!B21,0),1),IF(IF(IF(ISERROR(11&gt;'DealScope sensitivity controls'!F19),11&gt;'DealScope sensitivity controls'!F19,IF('DealScope sensitivity controls'!F19="","",11&gt;'DealScope sensitivity controls'!F19))="",FALSE,IF(ISERROR(11&gt;'DealScope sensitivity controls'!F19),11&gt;'DealScope sensitivity controls'!F19,IF('DealScope sensitivity controls'!F19="","",11&gt;'DealScope sensitivity controls'!F19))),IF('Model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controls'!F19)/'Model inputs'!B21,0),1),IF(IF(IF(ISERROR(12&gt;'DealScope sensitivity controls'!F19),12&gt;'DealScope sensitivity controls'!F19,IF('DealScope sensitivity controls'!F19="","",12&gt;'DealScope sensitivity controls'!F19))="",FALSE,IF(ISERROR(12&gt;'DealScope sensitivity controls'!F19),12&gt;'DealScope sensitivity controls'!F19,IF('DealScope sensitivity controls'!F19="","",12&gt;'DealScope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controls'!F19)/'Model inputs'!B21,0),1),IF(IF(IF(ISERROR(12&gt;'DealScope sensitivity controls'!F19),12&gt;'DealScope sensitivity controls'!F19,IF('DealScope sensitivity controls'!F19="","",12&gt;'DealScope sensitivity controls'!F19))="",FALSE,IF(ISERROR(12&gt;'DealScope sensitivity controls'!F19),12&gt;'DealScope sensitivity controls'!F19,IF('DealScope sensitivity controls'!F19="","",12&gt;'DealScope sensitivity controls'!F19))),IF('Model inputs'!B43="","",'Model inputs'!B43),0)))</f>
        <v>68.75</v>
      </c>
      <c r="I103" s="10">
        <f>'DealScope sensitivity compariso'!H103*'DealScope sensitivity compariso'!C103</f>
        <v>206250</v>
      </c>
      <c r="J103" s="10">
        <f>'DealScope sensitivity compariso'!I103*(1-'Model inputs'!B38)-'DealScope sensitivity compariso'!H103*('DealScope sensitivity compariso'!B103*'DealScope sensitivity compariso'!D103+'Model inputs'!B42*'Model inputs'!B41)-SUM('Model inputs'!B76,'Model inputs'!B77)</f>
        <v>159471.25</v>
      </c>
    </row>
    <row r="104" outlineLevel="1">
      <c r="A104" t="inlineStr" s="13">
        <is>
          <t xml:space="preserve">Sales delay 4 months</t>
        </is>
      </c>
      <c r="B104" s="11">
        <f>IF(IF(IF(ISERROR('DealScope sensitivity controls'!H20=1),'DealScope sensitivity controls'!H20=1,IF('DealScope sensitivity controls'!H20="","",'DealScope sensitivity controls'!H20=1))="",FALSE,IF(ISERROR('DealScope sensitivity controls'!H20=1),'DealScope sensitivity controls'!H20=1,IF('DealScope sensitivity controls'!H20="","",'DealScope sensitivity controls'!H20=1))),'Model inputs'!B6/12*'DealScope sensitivity controls'!G20,IF('DealScope sensitivity controls'!B20="","",'DealScope sensitivity controls'!B20))</f>
        <v>4</v>
      </c>
      <c r="C104" s="10">
        <f>IF(EXACT("Per audit — low","Annual deal-team"),('Model inputs'!B49/12+MAX('DealScope sensitivity compariso'!B104-'Model inputs'!B28/12,0)*'Model inputs'!B36)*(1-'DealScope sensitivity controls'!C20),('Model inputs'!B49/12+'Model inputs'!B13*'DealScope sensitivity compariso'!B104)*(1-'DealScope sensitivity controls'!C20))</f>
        <v>3000</v>
      </c>
      <c r="D104" s="10">
        <f>'Model inputs'!B15*'DealScope sensitivity controls'!E20*'DealScope sensitivity controls'!D20*'Model inputs'!B17+'Model inputs'!B30+'Model inputs'!B39+'Model inputs'!B19</f>
        <v>94.65</v>
      </c>
      <c r="E104" s="10">
        <f>IFERROR('DealScope sensitivity compariso'!C104/'DealScope sensitivity compariso'!B104,"")</f>
        <v>750</v>
      </c>
      <c r="F104" s="12">
        <f>IFERROR(('DealScope sensitivity compariso'!E104-'DealScope sensitivity compariso'!D104)/'DealScope sensitivity compariso'!E104,"")</f>
        <v>0.8738</v>
      </c>
      <c r="G104" s="12">
        <f>IFERROR(('DealScope sensitivity compariso'!C104*(1-'Model inputs'!B38)-'DealScope sensitivity compariso'!B104*'DealScope sensitivity compariso'!D104-'Model inputs'!B42*'Model inputs'!B41)/'DealScope sensitivity compariso'!C104,"")</f>
        <v>0.8338</v>
      </c>
      <c r="H104" s="11">
        <f>'Model inputs'!B167+IF(IF(IF(IF(ISERROR('Model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controls'!F20)/'Model inputs'!B21,0),1),IF(IF(IF(ISERROR(11&gt;'DealScope sensitivity controls'!F20),11&gt;'DealScope sensitivity controls'!F20,IF('DealScope sensitivity controls'!F20="","",11&gt;'DealScope sensitivity controls'!F20))="",FALSE,IF(ISERROR(11&gt;'DealScope sensitivity controls'!F20),11&gt;'DealScope sensitivity controls'!F20,IF('DealScope sensitivity controls'!F20="","",11&gt;'DealScope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inputs'!B43*MIN(MAX((11-'DealScope sensitivity controls'!F20)/'Model inputs'!B21,0),1),IF(IF(IF(ISERROR(11&gt;'DealScope sensitivity controls'!F20),11&gt;'DealScope sensitivity controls'!F20,IF('DealScope sensitivity controls'!F20="","",11&gt;'DealScope sensitivity controls'!F20))="",FALSE,IF(ISERROR(11&gt;'DealScope sensitivity controls'!F20),11&gt;'DealScope sensitivity controls'!F20,IF('DealScope sensitivity controls'!F20="","",11&gt;'DealScope sensitivity controls'!F20))),IF('Model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controls'!F20)/'Model inputs'!B21,0),1),IF(IF(IF(ISERROR(12&gt;'DealScope sensitivity controls'!F20),12&gt;'DealScope sensitivity controls'!F20,IF('DealScope sensitivity controls'!F20="","",12&gt;'DealScope sensitivity controls'!F20))="",FALSE,IF(ISERROR(12&gt;'DealScope sensitivity controls'!F20),12&gt;'DealScope sensitivity controls'!F20,IF('DealScope sensitivity controls'!F20="","",12&gt;'DealScope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inputs'!B43*MIN(MAX((12-'DealScope sensitivity controls'!F20)/'Model inputs'!B21,0),1),IF(IF(IF(ISERROR(12&gt;'DealScope sensitivity controls'!F20),12&gt;'DealScope sensitivity controls'!F20,IF('DealScope sensitivity controls'!F20="","",12&gt;'DealScope sensitivity controls'!F20))="",FALSE,IF(ISERROR(12&gt;'DealScope sensitivity controls'!F20),12&gt;'DealScope sensitivity controls'!F20,IF('DealScope sensitivity controls'!F20="","",12&gt;'DealScope sensitivity controls'!F20))),IF('Model inputs'!B43="","",'Model inputs'!B43),0)))</f>
        <v>45</v>
      </c>
      <c r="I104" s="10">
        <f>'DealScope sensitivity compariso'!H104*'DealScope sensitivity compariso'!C104</f>
        <v>135000</v>
      </c>
      <c r="J104" s="10">
        <f>'DealScope sensitivity compariso'!I104*(1-'Model inputs'!B38)-'DealScope sensitivity compariso'!H104*('DealScope sensitivity compariso'!B104*'DealScope sensitivity compariso'!D104+'Model inputs'!B42*'Model inputs'!B41)-SUM('Model inputs'!B76,'Model inputs'!B77)</f>
        <v>100063</v>
      </c>
    </row>
  </sheetData>
  <mergeCells count="1">
    <mergeCell ref="A1:J1"/>
  </mergeCells>
</worksheet>
</file>

<file path=xl/worksheets/sheet4.xml><?xml version="1.0" encoding="utf-8"?>
<worksheet xmlns="http://schemas.openxmlformats.org/spreadsheetml/2006/main">
  <dimension ref="A1:AA167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4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15">
        <is>
          <t xml:space="preserve">2026-01</t>
        </is>
      </c>
      <c r="D5" t="inlineStr" s="4">
        <is>
          <t xml:space="preserve">2026-02</t>
        </is>
      </c>
      <c r="E5" t="inlineStr" s="4">
        <is>
          <t xml:space="preserve">2026-03</t>
        </is>
      </c>
      <c r="F5" t="inlineStr" s="15">
        <is>
          <t xml:space="preserve">2026-04</t>
        </is>
      </c>
      <c r="G5" t="inlineStr" s="4">
        <is>
          <t xml:space="preserve">2026-05</t>
        </is>
      </c>
      <c r="H5" t="inlineStr" s="4">
        <is>
          <t xml:space="preserve">2026-06</t>
        </is>
      </c>
      <c r="I5" t="inlineStr" s="15">
        <is>
          <t xml:space="preserve">2026-07</t>
        </is>
      </c>
      <c r="J5" t="inlineStr" s="4">
        <is>
          <t xml:space="preserve">2026-08</t>
        </is>
      </c>
      <c r="K5" t="inlineStr" s="4">
        <is>
          <t xml:space="preserve">2026-09</t>
        </is>
      </c>
      <c r="L5" t="inlineStr" s="15">
        <is>
          <t xml:space="preserve">2026-10</t>
        </is>
      </c>
      <c r="M5" t="inlineStr" s="4">
        <is>
          <t xml:space="preserve">2026-11</t>
        </is>
      </c>
      <c r="N5" t="inlineStr" s="4">
        <is>
          <t xml:space="preserve">2026-12</t>
        </is>
      </c>
      <c r="O5" t="inlineStr" s="15">
        <is>
          <t xml:space="preserve">2027-01</t>
        </is>
      </c>
      <c r="P5" t="inlineStr" s="4">
        <is>
          <t xml:space="preserve">2027-02</t>
        </is>
      </c>
      <c r="Q5" t="inlineStr" s="4">
        <is>
          <t xml:space="preserve">2027-03</t>
        </is>
      </c>
      <c r="R5" t="inlineStr" s="15">
        <is>
          <t xml:space="preserve">2027-04</t>
        </is>
      </c>
      <c r="S5" t="inlineStr" s="4">
        <is>
          <t xml:space="preserve">2027-05</t>
        </is>
      </c>
      <c r="T5" t="inlineStr" s="4">
        <is>
          <t xml:space="preserve">2027-06</t>
        </is>
      </c>
      <c r="U5" t="inlineStr" s="15">
        <is>
          <t xml:space="preserve">2027-07</t>
        </is>
      </c>
      <c r="V5" t="inlineStr" s="4">
        <is>
          <t xml:space="preserve">2027-08</t>
        </is>
      </c>
      <c r="W5" t="inlineStr" s="4">
        <is>
          <t xml:space="preserve">2027-09</t>
        </is>
      </c>
      <c r="X5" t="inlineStr" s="15">
        <is>
          <t xml:space="preserve">2027-10</t>
        </is>
      </c>
      <c r="Y5" t="inlineStr" s="4">
        <is>
          <t xml:space="preserve">2027-11</t>
        </is>
      </c>
      <c r="Z5" t="inlineStr" s="4">
        <is>
          <t xml:space="preserve">2027-12</t>
        </is>
      </c>
      <c r="AA5" t="inlineStr" s="4">
        <is>
          <t xml:space="preserve">Value</t>
        </is>
      </c>
    </row>
    <row r="6">
      <c r="A6" t="inlineStr" s="16">
        <is>
          <t xml:space="preserve">Annual included audits</t>
        </is>
      </c>
      <c r="B6" s="11">
        <f>24</f>
        <v>24</v>
      </c>
    </row>
    <row r="7">
      <c r="A7" t="inlineStr" s="16">
        <is>
          <t xml:space="preserve">Annual utilization</t>
        </is>
      </c>
      <c r="B7" s="11">
        <f>1</f>
        <v>1</v>
      </c>
    </row>
    <row r="8">
      <c r="A8" t="inlineStr" s="16">
        <is>
          <t xml:space="preserve">Audit list price</t>
        </is>
      </c>
      <c r="B8" s="6">
        <v>0</v>
      </c>
    </row>
    <row r="9" outlineLevel="1">
      <c r="A9" t="inlineStr" s="17">
        <is>
          <t xml:space="preserve">Audit list price &gt; Annual deal-team</t>
        </is>
      </c>
      <c r="B9" s="10">
        <f>0</f>
        <v>0</v>
      </c>
    </row>
    <row r="10" outlineLevel="1">
      <c r="A10" t="inlineStr" s="17">
        <is>
          <t xml:space="preserve">Audit list price &gt; Hybrid</t>
        </is>
      </c>
      <c r="B10" s="10">
        <f>IF('Model inputs'!B61="","",'Model inputs'!B61)</f>
        <v>1000</v>
      </c>
    </row>
    <row r="11" outlineLevel="1">
      <c r="A11" t="inlineStr" s="17">
        <is>
          <t xml:space="preserve">Audit list price &gt; Per audit — base</t>
        </is>
      </c>
      <c r="B11" s="10">
        <f>1500</f>
        <v>1500</v>
      </c>
    </row>
    <row r="12" outlineLevel="1">
      <c r="A12" t="inlineStr" s="17">
        <is>
          <t xml:space="preserve">Audit list price &gt; Per audit — high</t>
        </is>
      </c>
      <c r="B12" s="10">
        <f>3000</f>
        <v>3000</v>
      </c>
    </row>
    <row r="13" outlineLevel="1">
      <c r="A13" t="inlineStr" s="17">
        <is>
          <t xml:space="preserve">Audit list price &gt; Per audit — low</t>
        </is>
      </c>
      <c r="B13" s="10">
        <f>750</f>
        <v>750</v>
      </c>
    </row>
    <row r="14">
      <c r="A14" t="inlineStr" s="16">
        <is>
          <t xml:space="preserve">Audits per customer per month</t>
        </is>
      </c>
      <c r="B14" s="11">
        <f>4</f>
        <v>4</v>
      </c>
    </row>
    <row r="15">
      <c r="A15" t="inlineStr" s="16">
        <is>
          <t xml:space="preserve">Crustdata credits per audit</t>
        </is>
      </c>
      <c r="B15" s="11">
        <f>26</f>
        <v>26</v>
      </c>
    </row>
    <row r="16">
      <c r="A16" t="inlineStr" s="16">
        <is>
          <t xml:space="preserve">Crustdata dollars per credit</t>
        </is>
      </c>
      <c r="B16" s="10">
        <f>0.1</f>
        <v>0.1</v>
      </c>
    </row>
    <row r="17">
      <c r="A17" t="inlineStr" s="16">
        <is>
          <t xml:space="preserve">Data and model cost multiplier</t>
        </is>
      </c>
      <c r="B17" s="11">
        <f>1</f>
        <v>1</v>
      </c>
    </row>
    <row r="18">
      <c r="A18" t="inlineStr" s="16">
        <is>
          <t xml:space="preserve">Delivery cost per audit</t>
        </is>
      </c>
      <c r="B18" s="10">
        <f>'Model inputs'!B54+'Model inputs'!B30+'Model inputs'!B39+'Model inputs'!B19</f>
        <v>94.65</v>
      </c>
    </row>
    <row r="19">
      <c r="A19" t="inlineStr" s="16">
        <is>
          <t xml:space="preserve">Delivery tooling per audit</t>
        </is>
      </c>
      <c r="B19" s="10">
        <f>2</f>
        <v>2</v>
      </c>
    </row>
    <row r="20">
      <c r="A20" t="inlineStr" s="16">
        <is>
          <t xml:space="preserve">Fixed costs</t>
        </is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f>'Model inputs'!AA60+'Model inputs'!AA67+'Model inputs'!AA55+'Model inputs'!AA59+'Model inputs'!AA66+IF(IF(IF(IF(ISERROR('Model inputs'!L63&gt;='Model inputs'!AA53),'Model inputs'!L63&gt;='Model inputs'!AA53,IF(OR('Model inputs'!L63="",'Model inputs'!AA53=""),"",'Model inputs'!L63&gt;='Model inputs'!AA53))="",FALSE,IF(ISERROR('Model inputs'!L63&gt;='Model inputs'!AA53),'Model inputs'!L63&gt;='Model inputs'!AA53,IF(OR('Model inputs'!L63="",'Model inputs'!AA53=""),"",'Model inputs'!L63&gt;='Model inputs'!AA53))),IF('Model inputs'!AA52="","",'Model inputs'!AA52),0)="",0,IF(IF(IF(ISERROR('Model inputs'!L63&gt;='Model inputs'!AA53),'Model inputs'!L63&gt;='Model inputs'!AA53,IF(OR('Model inputs'!L63="",'Model inputs'!AA53=""),"",'Model inputs'!L63&gt;='Model inputs'!AA53))="",FALSE,IF(ISERROR('Model inputs'!L63&gt;='Model inputs'!AA53),'Model inputs'!L63&gt;='Model inputs'!AA53,IF(OR('Model inputs'!L63="",'Model inputs'!AA53=""),"",'Model inputs'!L63&gt;='Model inputs'!AA53))),IF('Model inputs'!AA52="","",'Model inputs'!AA52),0))</f>
        <v>750</v>
      </c>
      <c r="M20" s="10">
        <f>'Model inputs'!AA60+'Model inputs'!AA67+'Model inputs'!AA55+'Model inputs'!AA59+'Model inputs'!AA66+IF(IF(IF(IF(ISERROR('Model inputs'!M63&gt;='Model inputs'!AA53),'Model inputs'!M63&gt;='Model inputs'!AA53,IF(OR('Model inputs'!M63="",'Model inputs'!AA53=""),"",'Model inputs'!M63&gt;='Model inputs'!AA53))="",FALSE,IF(ISERROR('Model inputs'!M63&gt;='Model inputs'!AA53),'Model inputs'!M63&gt;='Model inputs'!AA53,IF(OR('Model inputs'!M63="",'Model inputs'!AA53=""),"",'Model inputs'!M63&gt;='Model inputs'!AA53))),IF('Model inputs'!AA52="","",'Model inputs'!AA52),0)="",0,IF(IF(IF(ISERROR('Model inputs'!M63&gt;='Model inputs'!AA53),'Model inputs'!M63&gt;='Model inputs'!AA53,IF(OR('Model inputs'!M63="",'Model inputs'!AA53=""),"",'Model inputs'!M63&gt;='Model inputs'!AA53))="",FALSE,IF(ISERROR('Model inputs'!M63&gt;='Model inputs'!AA53),'Model inputs'!M63&gt;='Model inputs'!AA53,IF(OR('Model inputs'!M63="",'Model inputs'!AA53=""),"",'Model inputs'!M63&gt;='Model inputs'!AA53))),IF('Model inputs'!AA52="","",'Model inputs'!AA52),0))</f>
        <v>750</v>
      </c>
      <c r="N20" s="10">
        <f>'Model inputs'!AA60+'Model inputs'!AA67+'Model inputs'!AA55+'Model inputs'!AA59+'Model inputs'!AA66+IF(IF(IF(IF(ISERROR('Model inputs'!N63&gt;='Model inputs'!AA53),'Model inputs'!N63&gt;='Model inputs'!AA53,IF(OR('Model inputs'!N63="",'Model inputs'!AA53=""),"",'Model inputs'!N63&gt;='Model inputs'!AA53))="",FALSE,IF(ISERROR('Model inputs'!N63&gt;='Model inputs'!AA53),'Model inputs'!N63&gt;='Model inputs'!AA53,IF(OR('Model inputs'!N63="",'Model inputs'!AA53=""),"",'Model inputs'!N63&gt;='Model inputs'!AA53))),IF('Model inputs'!AA52="","",'Model inputs'!AA52),0)="",0,IF(IF(IF(ISERROR('Model inputs'!N63&gt;='Model inputs'!AA53),'Model inputs'!N63&gt;='Model inputs'!AA53,IF(OR('Model inputs'!N63="",'Model inputs'!AA53=""),"",'Model inputs'!N63&gt;='Model inputs'!AA53))="",FALSE,IF(ISERROR('Model inputs'!N63&gt;='Model inputs'!AA53),'Model inputs'!N63&gt;='Model inputs'!AA53,IF(OR('Model inputs'!N63="",'Model inputs'!AA53=""),"",'Model inputs'!N63&gt;='Model inputs'!AA53))),IF('Model inputs'!AA52="","",'Model inputs'!AA52),0))</f>
        <v>750</v>
      </c>
      <c r="O20" s="10">
        <f>'Model inputs'!AA60+'Model inputs'!AA67+'Model inputs'!AA55+'Model inputs'!AA59+'Model inputs'!AA66+IF(IF(IF(IF(ISERROR('Model inputs'!O63&gt;='Model inputs'!AA53),'Model inputs'!O63&gt;='Model inputs'!AA53,IF(OR('Model inputs'!O63="",'Model inputs'!AA53=""),"",'Model inputs'!O63&gt;='Model inputs'!AA53))="",FALSE,IF(ISERROR('Model inputs'!O63&gt;='Model inputs'!AA53),'Model inputs'!O63&gt;='Model inputs'!AA53,IF(OR('Model inputs'!O63="",'Model inputs'!AA53=""),"",'Model inputs'!O63&gt;='Model inputs'!AA53))),IF('Model inputs'!AA52="","",'Model inputs'!AA52),0)="",0,IF(IF(IF(ISERROR('Model inputs'!O63&gt;='Model inputs'!AA53),'Model inputs'!O63&gt;='Model inputs'!AA53,IF(OR('Model inputs'!O63="",'Model inputs'!AA53=""),"",'Model inputs'!O63&gt;='Model inputs'!AA53))="",FALSE,IF(ISERROR('Model inputs'!O63&gt;='Model inputs'!AA53),'Model inputs'!O63&gt;='Model inputs'!AA53,IF(OR('Model inputs'!O63="",'Model inputs'!AA53=""),"",'Model inputs'!O63&gt;='Model inputs'!AA53))),IF('Model inputs'!AA52="","",'Model inputs'!AA52),0))</f>
        <v>750</v>
      </c>
      <c r="P20" s="10">
        <f>'Model inputs'!AA60+'Model inputs'!AA67+'Model inputs'!AA55+'Model inputs'!AA59+'Model inputs'!AA66+IF(IF(IF(IF(ISERROR('Model inputs'!P63&gt;='Model inputs'!AA53),'Model inputs'!P63&gt;='Model inputs'!AA53,IF(OR('Model inputs'!P63="",'Model inputs'!AA53=""),"",'Model inputs'!P63&gt;='Model inputs'!AA53))="",FALSE,IF(ISERROR('Model inputs'!P63&gt;='Model inputs'!AA53),'Model inputs'!P63&gt;='Model inputs'!AA53,IF(OR('Model inputs'!P63="",'Model inputs'!AA53=""),"",'Model inputs'!P63&gt;='Model inputs'!AA53))),IF('Model inputs'!AA52="","",'Model inputs'!AA52),0)="",0,IF(IF(IF(ISERROR('Model inputs'!P63&gt;='Model inputs'!AA53),'Model inputs'!P63&gt;='Model inputs'!AA53,IF(OR('Model inputs'!P63="",'Model inputs'!AA53=""),"",'Model inputs'!P63&gt;='Model inputs'!AA53))="",FALSE,IF(ISERROR('Model inputs'!P63&gt;='Model inputs'!AA53),'Model inputs'!P63&gt;='Model inputs'!AA53,IF(OR('Model inputs'!P63="",'Model inputs'!AA53=""),"",'Model inputs'!P63&gt;='Model inputs'!AA53))),IF('Model inputs'!AA52="","",'Model inputs'!AA52),0))</f>
        <v>750</v>
      </c>
      <c r="Q20" s="10">
        <f>'Model inputs'!AA60+'Model inputs'!AA67+'Model inputs'!AA55+'Model inputs'!AA59+'Model inputs'!AA66+IF(IF(IF(IF(ISERROR('Model inputs'!Q63&gt;='Model inputs'!AA53),'Model inputs'!Q63&gt;='Model inputs'!AA53,IF(OR('Model inputs'!Q63="",'Model inputs'!AA53=""),"",'Model inputs'!Q63&gt;='Model inputs'!AA53))="",FALSE,IF(ISERROR('Model inputs'!Q63&gt;='Model inputs'!AA53),'Model inputs'!Q63&gt;='Model inputs'!AA53,IF(OR('Model inputs'!Q63="",'Model inputs'!AA53=""),"",'Model inputs'!Q63&gt;='Model inputs'!AA53))),IF('Model inputs'!AA52="","",'Model inputs'!AA52),0)="",0,IF(IF(IF(ISERROR('Model inputs'!Q63&gt;='Model inputs'!AA53),'Model inputs'!Q63&gt;='Model inputs'!AA53,IF(OR('Model inputs'!Q63="",'Model inputs'!AA53=""),"",'Model inputs'!Q63&gt;='Model inputs'!AA53))="",FALSE,IF(ISERROR('Model inputs'!Q63&gt;='Model inputs'!AA53),'Model inputs'!Q63&gt;='Model inputs'!AA53,IF(OR('Model inputs'!Q63="",'Model inputs'!AA53=""),"",'Model inputs'!Q63&gt;='Model inputs'!AA53))),IF('Model inputs'!AA52="","",'Model inputs'!AA52),0))</f>
        <v>1250</v>
      </c>
      <c r="R20" s="10">
        <f>'Model inputs'!AA60+'Model inputs'!AA67+'Model inputs'!AA55+'Model inputs'!AA59+'Model inputs'!AA66+IF(IF(IF(IF(ISERROR('Model inputs'!R63&gt;='Model inputs'!AA53),'Model inputs'!R63&gt;='Model inputs'!AA53,IF(OR('Model inputs'!R63="",'Model inputs'!AA53=""),"",'Model inputs'!R63&gt;='Model inputs'!AA53))="",FALSE,IF(ISERROR('Model inputs'!R63&gt;='Model inputs'!AA53),'Model inputs'!R63&gt;='Model inputs'!AA53,IF(OR('Model inputs'!R63="",'Model inputs'!AA53=""),"",'Model inputs'!R63&gt;='Model inputs'!AA53))),IF('Model inputs'!AA52="","",'Model inputs'!AA52),0)="",0,IF(IF(IF(ISERROR('Model inputs'!R63&gt;='Model inputs'!AA53),'Model inputs'!R63&gt;='Model inputs'!AA53,IF(OR('Model inputs'!R63="",'Model inputs'!AA53=""),"",'Model inputs'!R63&gt;='Model inputs'!AA53))="",FALSE,IF(ISERROR('Model inputs'!R63&gt;='Model inputs'!AA53),'Model inputs'!R63&gt;='Model inputs'!AA53,IF(OR('Model inputs'!R63="",'Model inputs'!AA53=""),"",'Model inputs'!R63&gt;='Model inputs'!AA53))),IF('Model inputs'!AA52="","",'Model inputs'!AA52),0))</f>
        <v>1250</v>
      </c>
      <c r="S20" s="10">
        <f>'Model inputs'!AA60+'Model inputs'!AA67+'Model inputs'!AA55+'Model inputs'!AA59+'Model inputs'!AA66+IF(IF(IF(IF(ISERROR('Model inputs'!S63&gt;='Model inputs'!AA53),'Model inputs'!S63&gt;='Model inputs'!AA53,IF(OR('Model inputs'!S63="",'Model inputs'!AA53=""),"",'Model inputs'!S63&gt;='Model inputs'!AA53))="",FALSE,IF(ISERROR('Model inputs'!S63&gt;='Model inputs'!AA53),'Model inputs'!S63&gt;='Model inputs'!AA53,IF(OR('Model inputs'!S63="",'Model inputs'!AA53=""),"",'Model inputs'!S63&gt;='Model inputs'!AA53))),IF('Model inputs'!AA52="","",'Model inputs'!AA52),0)="",0,IF(IF(IF(ISERROR('Model inputs'!S63&gt;='Model inputs'!AA53),'Model inputs'!S63&gt;='Model inputs'!AA53,IF(OR('Model inputs'!S63="",'Model inputs'!AA53=""),"",'Model inputs'!S63&gt;='Model inputs'!AA53))="",FALSE,IF(ISERROR('Model inputs'!S63&gt;='Model inputs'!AA53),'Model inputs'!S63&gt;='Model inputs'!AA53,IF(OR('Model inputs'!S63="",'Model inputs'!AA53=""),"",'Model inputs'!S63&gt;='Model inputs'!AA53))),IF('Model inputs'!AA52="","",'Model inputs'!AA52),0))</f>
        <v>1250</v>
      </c>
      <c r="T20" s="10">
        <f>'Model inputs'!AA60+'Model inputs'!AA67+'Model inputs'!AA55+'Model inputs'!AA59+'Model inputs'!AA66+IF(IF(IF(IF(ISERROR('Model inputs'!T63&gt;='Model inputs'!AA53),'Model inputs'!T63&gt;='Model inputs'!AA53,IF(OR('Model inputs'!T63="",'Model inputs'!AA53=""),"",'Model inputs'!T63&gt;='Model inputs'!AA53))="",FALSE,IF(ISERROR('Model inputs'!T63&gt;='Model inputs'!AA53),'Model inputs'!T63&gt;='Model inputs'!AA53,IF(OR('Model inputs'!T63="",'Model inputs'!AA53=""),"",'Model inputs'!T63&gt;='Model inputs'!AA53))),IF('Model inputs'!AA52="","",'Model inputs'!AA52),0)="",0,IF(IF(IF(ISERROR('Model inputs'!T63&gt;='Model inputs'!AA53),'Model inputs'!T63&gt;='Model inputs'!AA53,IF(OR('Model inputs'!T63="",'Model inputs'!AA53=""),"",'Model inputs'!T63&gt;='Model inputs'!AA53))="",FALSE,IF(ISERROR('Model inputs'!T63&gt;='Model inputs'!AA53),'Model inputs'!T63&gt;='Model inputs'!AA53,IF(OR('Model inputs'!T63="",'Model inputs'!AA53=""),"",'Model inputs'!T63&gt;='Model inputs'!AA53))),IF('Model inputs'!AA52="","",'Model inputs'!AA52),0))</f>
        <v>1250</v>
      </c>
      <c r="U20" s="10">
        <f>'Model inputs'!AA60+'Model inputs'!AA67+'Model inputs'!AA55+'Model inputs'!AA59+'Model inputs'!AA66+IF(IF(IF(IF(ISERROR('Model inputs'!U63&gt;='Model inputs'!AA53),'Model inputs'!U63&gt;='Model inputs'!AA53,IF(OR('Model inputs'!U63="",'Model inputs'!AA53=""),"",'Model inputs'!U63&gt;='Model inputs'!AA53))="",FALSE,IF(ISERROR('Model inputs'!U63&gt;='Model inputs'!AA53),'Model inputs'!U63&gt;='Model inputs'!AA53,IF(OR('Model inputs'!U63="",'Model inputs'!AA53=""),"",'Model inputs'!U63&gt;='Model inputs'!AA53))),IF('Model inputs'!AA52="","",'Model inputs'!AA52),0)="",0,IF(IF(IF(ISERROR('Model inputs'!U63&gt;='Model inputs'!AA53),'Model inputs'!U63&gt;='Model inputs'!AA53,IF(OR('Model inputs'!U63="",'Model inputs'!AA53=""),"",'Model inputs'!U63&gt;='Model inputs'!AA53))="",FALSE,IF(ISERROR('Model inputs'!U63&gt;='Model inputs'!AA53),'Model inputs'!U63&gt;='Model inputs'!AA53,IF(OR('Model inputs'!U63="",'Model inputs'!AA53=""),"",'Model inputs'!U63&gt;='Model inputs'!AA53))),IF('Model inputs'!AA52="","",'Model inputs'!AA52),0))</f>
        <v>1250</v>
      </c>
      <c r="V20" s="10">
        <f>'Model inputs'!AA60+'Model inputs'!AA67+'Model inputs'!AA55+'Model inputs'!AA59+'Model inputs'!AA66+IF(IF(IF(IF(ISERROR('Model inputs'!V63&gt;='Model inputs'!AA53),'Model inputs'!V63&gt;='Model inputs'!AA53,IF(OR('Model inputs'!V63="",'Model inputs'!AA53=""),"",'Model inputs'!V63&gt;='Model inputs'!AA53))="",FALSE,IF(ISERROR('Model inputs'!V63&gt;='Model inputs'!AA53),'Model inputs'!V63&gt;='Model inputs'!AA53,IF(OR('Model inputs'!V63="",'Model inputs'!AA53=""),"",'Model inputs'!V63&gt;='Model inputs'!AA53))),IF('Model inputs'!AA52="","",'Model inputs'!AA52),0)="",0,IF(IF(IF(ISERROR('Model inputs'!V63&gt;='Model inputs'!AA53),'Model inputs'!V63&gt;='Model inputs'!AA53,IF(OR('Model inputs'!V63="",'Model inputs'!AA53=""),"",'Model inputs'!V63&gt;='Model inputs'!AA53))="",FALSE,IF(ISERROR('Model inputs'!V63&gt;='Model inputs'!AA53),'Model inputs'!V63&gt;='Model inputs'!AA53,IF(OR('Model inputs'!V63="",'Model inputs'!AA53=""),"",'Model inputs'!V63&gt;='Model inputs'!AA53))),IF('Model inputs'!AA52="","",'Model inputs'!AA52),0))</f>
        <v>1250</v>
      </c>
      <c r="W20" s="10">
        <f>'Model inputs'!AA60+'Model inputs'!AA67+'Model inputs'!AA55+'Model inputs'!AA59+'Model inputs'!AA66+IF(IF(IF(IF(ISERROR('Model inputs'!W63&gt;='Model inputs'!AA53),'Model inputs'!W63&gt;='Model inputs'!AA53,IF(OR('Model inputs'!W63="",'Model inputs'!AA53=""),"",'Model inputs'!W63&gt;='Model inputs'!AA53))="",FALSE,IF(ISERROR('Model inputs'!W63&gt;='Model inputs'!AA53),'Model inputs'!W63&gt;='Model inputs'!AA53,IF(OR('Model inputs'!W63="",'Model inputs'!AA53=""),"",'Model inputs'!W63&gt;='Model inputs'!AA53))),IF('Model inputs'!AA52="","",'Model inputs'!AA52),0)="",0,IF(IF(IF(ISERROR('Model inputs'!W63&gt;='Model inputs'!AA53),'Model inputs'!W63&gt;='Model inputs'!AA53,IF(OR('Model inputs'!W63="",'Model inputs'!AA53=""),"",'Model inputs'!W63&gt;='Model inputs'!AA53))="",FALSE,IF(ISERROR('Model inputs'!W63&gt;='Model inputs'!AA53),'Model inputs'!W63&gt;='Model inputs'!AA53,IF(OR('Model inputs'!W63="",'Model inputs'!AA53=""),"",'Model inputs'!W63&gt;='Model inputs'!AA53))),IF('Model inputs'!AA52="","",'Model inputs'!AA52),0))</f>
        <v>1250</v>
      </c>
      <c r="X20" s="10">
        <f>'Model inputs'!AA60+'Model inputs'!AA67+'Model inputs'!AA55+'Model inputs'!AA59+'Model inputs'!AA66+IF(IF(IF(IF(ISERROR('Model inputs'!X63&gt;='Model inputs'!AA53),'Model inputs'!X63&gt;='Model inputs'!AA53,IF(OR('Model inputs'!X63="",'Model inputs'!AA53=""),"",'Model inputs'!X63&gt;='Model inputs'!AA53))="",FALSE,IF(ISERROR('Model inputs'!X63&gt;='Model inputs'!AA53),'Model inputs'!X63&gt;='Model inputs'!AA53,IF(OR('Model inputs'!X63="",'Model inputs'!AA53=""),"",'Model inputs'!X63&gt;='Model inputs'!AA53))),IF('Model inputs'!AA52="","",'Model inputs'!AA52),0)="",0,IF(IF(IF(ISERROR('Model inputs'!X63&gt;='Model inputs'!AA53),'Model inputs'!X63&gt;='Model inputs'!AA53,IF(OR('Model inputs'!X63="",'Model inputs'!AA53=""),"",'Model inputs'!X63&gt;='Model inputs'!AA53))="",FALSE,IF(ISERROR('Model inputs'!X63&gt;='Model inputs'!AA53),'Model inputs'!X63&gt;='Model inputs'!AA53,IF(OR('Model inputs'!X63="",'Model inputs'!AA53=""),"",'Model inputs'!X63&gt;='Model inputs'!AA53))),IF('Model inputs'!AA52="","",'Model inputs'!AA52),0))</f>
        <v>1250</v>
      </c>
      <c r="Y20" s="10">
        <f>'Model inputs'!AA60+'Model inputs'!AA67+'Model inputs'!AA55+'Model inputs'!AA59+'Model inputs'!AA66+IF(IF(IF(IF(ISERROR('Model inputs'!Y63&gt;='Model inputs'!AA53),'Model inputs'!Y63&gt;='Model inputs'!AA53,IF(OR('Model inputs'!Y63="",'Model inputs'!AA53=""),"",'Model inputs'!Y63&gt;='Model inputs'!AA53))="",FALSE,IF(ISERROR('Model inputs'!Y63&gt;='Model inputs'!AA53),'Model inputs'!Y63&gt;='Model inputs'!AA53,IF(OR('Model inputs'!Y63="",'Model inputs'!AA53=""),"",'Model inputs'!Y63&gt;='Model inputs'!AA53))),IF('Model inputs'!AA52="","",'Model inputs'!AA52),0)="",0,IF(IF(IF(ISERROR('Model inputs'!Y63&gt;='Model inputs'!AA53),'Model inputs'!Y63&gt;='Model inputs'!AA53,IF(OR('Model inputs'!Y63="",'Model inputs'!AA53=""),"",'Model inputs'!Y63&gt;='Model inputs'!AA53))="",FALSE,IF(ISERROR('Model inputs'!Y63&gt;='Model inputs'!AA53),'Model inputs'!Y63&gt;='Model inputs'!AA53,IF(OR('Model inputs'!Y63="",'Model inputs'!AA53=""),"",'Model inputs'!Y63&gt;='Model inputs'!AA53))),IF('Model inputs'!AA52="","",'Model inputs'!AA52),0))</f>
        <v>1250</v>
      </c>
      <c r="Z20" s="10">
        <f>'Model inputs'!AA60+'Model inputs'!AA67+'Model inputs'!AA55+'Model inputs'!AA59+'Model inputs'!AA66+IF(IF(IF(IF(ISERROR('Model inputs'!Z63&gt;='Model inputs'!AA53),'Model inputs'!Z63&gt;='Model inputs'!AA53,IF(OR('Model inputs'!Z63="",'Model inputs'!AA53=""),"",'Model inputs'!Z63&gt;='Model inputs'!AA53))="",FALSE,IF(ISERROR('Model inputs'!Z63&gt;='Model inputs'!AA53),'Model inputs'!Z63&gt;='Model inputs'!AA53,IF(OR('Model inputs'!Z63="",'Model inputs'!AA53=""),"",'Model inputs'!Z63&gt;='Model inputs'!AA53))),IF('Model inputs'!AA52="","",'Model inputs'!AA52),0)="",0,IF(IF(IF(ISERROR('Model inputs'!Z63&gt;='Model inputs'!AA53),'Model inputs'!Z63&gt;='Model inputs'!AA53,IF(OR('Model inputs'!Z63="",'Model inputs'!AA53=""),"",'Model inputs'!Z63&gt;='Model inputs'!AA53))="",FALSE,IF(ISERROR('Model inputs'!Z63&gt;='Model inputs'!AA53),'Model inputs'!Z63&gt;='Model inputs'!AA53,IF(OR('Model inputs'!Z63="",'Model inputs'!AA53=""),"",'Model inputs'!Z63&gt;='Model inputs'!AA53))),IF('Model inputs'!AA52="","",'Model inputs'!AA52),0))</f>
        <v>1250</v>
      </c>
    </row>
    <row r="21">
      <c r="A21" t="inlineStr" s="16">
        <is>
          <t xml:space="preserve">Forecast months</t>
        </is>
      </c>
      <c r="B21" s="11">
        <f>12</f>
        <v>12</v>
      </c>
    </row>
    <row r="22">
      <c r="A22" t="inlineStr" s="16">
        <is>
          <t xml:space="preserve">Forecast start date</t>
        </is>
      </c>
      <c r="B22" s="18">
        <f>DATE(2026,10,1)</f>
        <v>46296</v>
      </c>
    </row>
    <row r="23">
      <c r="A23" t="inlineStr" s="16">
        <is>
          <t xml:space="preserve">Included annual audits</t>
        </is>
      </c>
      <c r="B23" s="7">
        <v>0</v>
      </c>
    </row>
    <row r="24" outlineLevel="1">
      <c r="A24" t="inlineStr" s="17">
        <is>
          <t xml:space="preserve">Included annual audits &gt; Annual deal-team</t>
        </is>
      </c>
      <c r="B24" s="11">
        <f>IF('Model inputs'!B6="","",'Model inputs'!B6)</f>
        <v>24</v>
      </c>
    </row>
    <row r="25" outlineLevel="1">
      <c r="A25" t="inlineStr" s="17">
        <is>
          <t xml:space="preserve">Included annual audits &gt; Hybrid</t>
        </is>
      </c>
      <c r="B25" s="11">
        <f>0</f>
        <v>0</v>
      </c>
    </row>
    <row r="26" outlineLevel="1">
      <c r="A26" t="inlineStr" s="17">
        <is>
          <t xml:space="preserve">Included annual audits &gt; Per audit — base</t>
        </is>
      </c>
      <c r="B26" s="11">
        <f>0</f>
        <v>0</v>
      </c>
    </row>
    <row r="27" outlineLevel="1">
      <c r="A27" t="inlineStr" s="17">
        <is>
          <t xml:space="preserve">Included annual audits &gt; Per audit — high</t>
        </is>
      </c>
      <c r="B27" s="11">
        <f>0</f>
        <v>0</v>
      </c>
    </row>
    <row r="28" outlineLevel="1">
      <c r="A28" t="inlineStr" s="17">
        <is>
          <t xml:space="preserve">Included annual audits &gt; Per audit — low</t>
        </is>
      </c>
      <c r="B28" s="11">
        <f>0</f>
        <v>0</v>
      </c>
    </row>
    <row r="29">
      <c r="A29" t="inlineStr" s="16">
        <is>
          <t xml:space="preserve">Linear customer ramp switch</t>
        </is>
      </c>
      <c r="B29" s="11">
        <f>1</f>
        <v>1</v>
      </c>
    </row>
    <row r="30">
      <c r="A30" t="inlineStr" s="16">
        <is>
          <t xml:space="preserve">LLM cost per audit</t>
        </is>
      </c>
      <c r="B30" s="10">
        <f>'Model inputs'!B58*(1+'Model inputs'!B57*('Model inputs'!B56-1))*'Model inputs'!B17</f>
        <v>0.05</v>
      </c>
    </row>
    <row r="31">
      <c r="A31" t="inlineStr" s="16">
        <is>
          <t xml:space="preserve">Overage audit price</t>
        </is>
      </c>
      <c r="B31" s="6">
        <v>0</v>
      </c>
    </row>
    <row r="32" outlineLevel="1">
      <c r="A32" t="inlineStr" s="17">
        <is>
          <t xml:space="preserve">Overage audit price &gt; Annual deal-team</t>
        </is>
      </c>
      <c r="B32" s="10">
        <f>IF('Model inputs'!B51="","",'Model inputs'!B51)</f>
        <v>1000</v>
      </c>
    </row>
    <row r="33" outlineLevel="1">
      <c r="A33" t="inlineStr" s="17">
        <is>
          <t xml:space="preserve">Overage audit price &gt; Hybrid</t>
        </is>
      </c>
      <c r="B33" s="10">
        <f>0</f>
        <v>0</v>
      </c>
    </row>
    <row r="34" outlineLevel="1">
      <c r="A34" t="inlineStr" s="17">
        <is>
          <t xml:space="preserve">Overage audit price &gt; Per audit — base</t>
        </is>
      </c>
      <c r="B34" s="10">
        <f>0</f>
        <v>0</v>
      </c>
    </row>
    <row r="35" outlineLevel="1">
      <c r="A35" t="inlineStr" s="17">
        <is>
          <t xml:space="preserve">Overage audit price &gt; Per audit — high</t>
        </is>
      </c>
      <c r="B35" s="10">
        <f>0</f>
        <v>0</v>
      </c>
    </row>
    <row r="36" outlineLevel="1">
      <c r="A36" t="inlineStr" s="17">
        <is>
          <t xml:space="preserve">Overage audit price &gt; Per audit — low</t>
        </is>
      </c>
      <c r="B36" s="10">
        <f>0</f>
        <v>0</v>
      </c>
    </row>
    <row r="37">
      <c r="A37" t="inlineStr" s="16">
        <is>
          <t xml:space="preserve">Price discount</t>
        </is>
      </c>
      <c r="B37" s="11">
        <f>0</f>
        <v>0</v>
      </c>
    </row>
    <row r="38">
      <c r="A38" t="inlineStr" s="16">
        <is>
          <t xml:space="preserve">Processing rate</t>
        </is>
      </c>
      <c r="B38" s="11">
        <f>0.03</f>
        <v>0.03</v>
      </c>
    </row>
    <row r="39">
      <c r="A39" t="inlineStr" s="16">
        <is>
          <t xml:space="preserve">QA cost per audit</t>
        </is>
      </c>
      <c r="B39" s="10">
        <f>'Model inputs'!B65*'Model inputs'!B64</f>
        <v>90</v>
      </c>
    </row>
    <row r="40">
      <c r="A40" t="inlineStr" s="16">
        <is>
          <t xml:space="preserve">Sales delay months</t>
        </is>
      </c>
      <c r="B40" s="11">
        <f>0</f>
        <v>0</v>
      </c>
    </row>
    <row r="41">
      <c r="A41" t="inlineStr" s="16">
        <is>
          <t xml:space="preserve">Support dollars per hour</t>
        </is>
      </c>
      <c r="B41" s="10">
        <f>60</f>
        <v>60</v>
      </c>
    </row>
    <row r="42">
      <c r="A42" t="inlineStr" s="16">
        <is>
          <t xml:space="preserve">Support hours per customer per month</t>
        </is>
      </c>
      <c r="B42" s="11">
        <f>0.5</f>
        <v>0.5</v>
      </c>
    </row>
    <row r="43">
      <c r="A43" t="inlineStr" s="16">
        <is>
          <t xml:space="preserve">Target paying customers</t>
        </is>
      </c>
      <c r="B43" s="11">
        <f>15</f>
        <v>15</v>
      </c>
    </row>
    <row r="44">
      <c r="A44" t="inlineStr" s="16">
        <is>
          <t xml:space="preserve">Upfront subscription fee</t>
        </is>
      </c>
      <c r="B44" s="6">
        <v>0</v>
      </c>
    </row>
    <row r="45" outlineLevel="1">
      <c r="A45" t="inlineStr" s="17">
        <is>
          <t xml:space="preserve">Upfront subscription fee &gt; Annual deal-team</t>
        </is>
      </c>
      <c r="B45" s="10">
        <f>IF('Model inputs'!B50="","",'Model inputs'!B50)</f>
        <v>24000</v>
      </c>
    </row>
    <row r="46" outlineLevel="1">
      <c r="A46" t="inlineStr" s="17">
        <is>
          <t xml:space="preserve">Upfront subscription fee &gt; Hybrid</t>
        </is>
      </c>
      <c r="B46" s="10">
        <f>IF('Model inputs'!B62="","",'Model inputs'!B62)</f>
        <v>6000</v>
      </c>
    </row>
    <row r="47" outlineLevel="1">
      <c r="A47" t="inlineStr" s="17">
        <is>
          <t xml:space="preserve">Upfront subscription fee &gt; Per audit — base</t>
        </is>
      </c>
      <c r="B47" s="10">
        <f>0</f>
        <v>0</v>
      </c>
    </row>
    <row r="48" outlineLevel="1">
      <c r="A48" t="inlineStr" s="17">
        <is>
          <t xml:space="preserve">Upfront subscription fee &gt; Per audit — high</t>
        </is>
      </c>
      <c r="B48" s="10">
        <f>0</f>
        <v>0</v>
      </c>
    </row>
    <row r="49" outlineLevel="1">
      <c r="A49" t="inlineStr" s="17">
        <is>
          <t xml:space="preserve">Upfront subscription fee &gt; Per audit — low</t>
        </is>
      </c>
      <c r="B49" s="10">
        <f>0</f>
        <v>0</v>
      </c>
    </row>
    <row r="50">
      <c r="A50" t="inlineStr" s="16">
        <is>
          <t xml:space="preserve">Annual fee</t>
        </is>
      </c>
      <c r="B50" s="10">
        <f>24000</f>
        <v>24000</v>
      </c>
    </row>
    <row r="51">
      <c r="A51" t="inlineStr" s="16">
        <is>
          <t xml:space="preserve">Annual overage price</t>
        </is>
      </c>
      <c r="B51" s="10">
        <f>1000</f>
        <v>1000</v>
      </c>
    </row>
    <row r="52">
      <c r="A52" t="inlineStr" s="16">
        <is>
          <t xml:space="preserve">Compliance monthly · Fixed costs</t>
        </is>
      </c>
      <c r="AA52" s="10">
        <f>500</f>
        <v>500</v>
      </c>
    </row>
    <row r="53">
      <c r="A53" t="inlineStr" s="16">
        <is>
          <t xml:space="preserve">Compliance start month · Fixed costs</t>
        </is>
      </c>
      <c r="AA53" s="11">
        <f>6</f>
        <v>6</v>
      </c>
    </row>
    <row r="54">
      <c r="A54" t="inlineStr" s="16">
        <is>
          <t xml:space="preserve">Crustdata cost per audit</t>
        </is>
      </c>
      <c r="B54" s="10">
        <f>'Model inputs'!B15*'Model inputs'!B16*'Model inputs'!B17</f>
        <v>2.6</v>
      </c>
    </row>
    <row r="55">
      <c r="A55" t="inlineStr" s="16">
        <is>
          <t xml:space="preserve">Data minimum monthly · Fixed costs</t>
        </is>
      </c>
      <c r="AA55" s="10">
        <f>0</f>
        <v>0</v>
      </c>
    </row>
    <row r="56">
      <c r="A56" t="inlineStr" s="16">
        <is>
          <t xml:space="preserve">Escalation cost multiple</t>
        </is>
      </c>
      <c r="B56" s="11">
        <f>5</f>
        <v>5</v>
      </c>
    </row>
    <row r="57">
      <c r="A57" t="inlineStr" s="16">
        <is>
          <t xml:space="preserve">Escalation share</t>
        </is>
      </c>
      <c r="B57" s="11">
        <f>0</f>
        <v>0</v>
      </c>
    </row>
    <row r="58">
      <c r="A58" t="inlineStr" s="16">
        <is>
          <t xml:space="preserve">Flash inference per audit</t>
        </is>
      </c>
      <c r="B58" s="10">
        <f>0.05</f>
        <v>0.05</v>
      </c>
    </row>
    <row r="59">
      <c r="A59" t="inlineStr" s="16">
        <is>
          <t xml:space="preserve">Founder salary monthly · Fixed costs</t>
        </is>
      </c>
      <c r="AA59" s="10">
        <f>0</f>
        <v>0</v>
      </c>
    </row>
    <row r="60">
      <c r="A60" t="inlineStr" s="16">
        <is>
          <t xml:space="preserve">Hosting monthly · Fixed costs</t>
        </is>
      </c>
      <c r="AA60" s="10">
        <f>150</f>
        <v>150</v>
      </c>
    </row>
    <row r="61">
      <c r="A61" t="inlineStr" s="16">
        <is>
          <t xml:space="preserve">Hybrid audit price</t>
        </is>
      </c>
      <c r="B61" s="10">
        <f>1000</f>
        <v>1000</v>
      </c>
    </row>
    <row r="62">
      <c r="A62" t="inlineStr" s="16">
        <is>
          <t xml:space="preserve">Hybrid workspace fee</t>
        </is>
      </c>
      <c r="B62" s="10">
        <f>6000</f>
        <v>6000</v>
      </c>
    </row>
    <row r="63">
      <c r="A63" t="inlineStr" s="16">
        <is>
          <t xml:space="preserve">Projection month · Fixed costs</t>
        </is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f>DATEDIF('Model inputs'!B22,DATE(2026,10,1),"M")+1</f>
        <v>1</v>
      </c>
      <c r="M63" s="11">
        <f>DATEDIF('Model inputs'!B22,DATE(2026,11,1),"M")+1</f>
        <v>2</v>
      </c>
      <c r="N63" s="11">
        <f>DATEDIF('Model inputs'!B22,DATE(2026,12,1),"M")+1</f>
        <v>3</v>
      </c>
      <c r="O63" s="11">
        <f>DATEDIF('Model inputs'!B22,DATE(2027,1,1),"M")+1</f>
        <v>4</v>
      </c>
      <c r="P63" s="11">
        <f>DATEDIF('Model inputs'!B22,DATE(2027,2,1),"M")+1</f>
        <v>5</v>
      </c>
      <c r="Q63" s="11">
        <f>DATEDIF('Model inputs'!B22,DATE(2027,3,1),"M")+1</f>
        <v>6</v>
      </c>
      <c r="R63" s="11">
        <f>DATEDIF('Model inputs'!B22,DATE(2027,4,1),"M")+1</f>
        <v>7</v>
      </c>
      <c r="S63" s="11">
        <f>DATEDIF('Model inputs'!B22,DATE(2027,5,1),"M")+1</f>
        <v>8</v>
      </c>
      <c r="T63" s="11">
        <f>DATEDIF('Model inputs'!B22,DATE(2027,6,1),"M")+1</f>
        <v>9</v>
      </c>
      <c r="U63" s="11">
        <f>DATEDIF('Model inputs'!B22,DATE(2027,7,1),"M")+1</f>
        <v>10</v>
      </c>
      <c r="V63" s="11">
        <f>DATEDIF('Model inputs'!B22,DATE(2027,8,1),"M")+1</f>
        <v>11</v>
      </c>
      <c r="W63" s="11">
        <f>DATEDIF('Model inputs'!B22,DATE(2027,9,1),"M")+1</f>
        <v>12</v>
      </c>
      <c r="X63" s="11">
        <f>DATEDIF('Model inputs'!B22,DATE(2027,10,1),"M")+1</f>
        <v>13</v>
      </c>
      <c r="Y63" s="11">
        <f>DATEDIF('Model inputs'!B22,DATE(2027,11,1),"M")+1</f>
        <v>14</v>
      </c>
      <c r="Z63" s="11">
        <f>DATEDIF('Model inputs'!B22,DATE(2027,12,1),"M")+1</f>
        <v>15</v>
      </c>
    </row>
    <row r="64">
      <c r="A64" t="inlineStr" s="16">
        <is>
          <t xml:space="preserve">QA dollars per hour</t>
        </is>
      </c>
      <c r="B64" s="10">
        <f>60</f>
        <v>60</v>
      </c>
    </row>
    <row r="65">
      <c r="A65" t="inlineStr" s="16">
        <is>
          <t xml:space="preserve">QA hours per audit</t>
        </is>
      </c>
      <c r="B65" s="11">
        <f>1.5</f>
        <v>1.5</v>
      </c>
    </row>
    <row r="66">
      <c r="A66" t="inlineStr" s="16">
        <is>
          <t xml:space="preserve">Sales marketing monthly · Fixed costs</t>
        </is>
      </c>
      <c r="AA66" s="10">
        <f>500</f>
        <v>500</v>
      </c>
    </row>
    <row r="67">
      <c r="A67" t="inlineStr" s="16">
        <is>
          <t xml:space="preserve">Software monthly · Fixed costs</t>
        </is>
      </c>
      <c r="AA67" s="10">
        <f>100</f>
        <v>100</v>
      </c>
    </row>
    <row r="68">
      <c r="A68" t="inlineStr" s="16">
        <is>
          <t xml:space="preserve">Forecast start date · Projection month · Fixed costs</t>
        </is>
      </c>
      <c r="AA68" s="18">
        <f>DATE(2026,10,1)</f>
        <v>46296</v>
      </c>
    </row>
    <row r="70">
      <c r="A70" t="inlineStr" s="14">
        <is>
          <t xml:space="preserve">Supporting calculations</t>
        </is>
      </c>
    </row>
    <row r="71">
      <c r="A71" t="inlineStr" s="16">
        <is>
          <t xml:space="preserve">Calculation</t>
        </is>
      </c>
      <c r="B71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controls'!F23)/'Model inputs'!B21,0),1),IF(IF(IF(ISERROR(1&gt;'DealScope sensitivity controls'!F23),1&gt;'DealScope sensitivity controls'!F23,IF('DealScope sensitivity controls'!F23="","",1&gt;'DealScope sensitivity controls'!F23))="",FALSE,IF(ISERROR(1&gt;'DealScope sensitivity controls'!F23),1&gt;'DealScope sensitivity controls'!F23,IF('DealScope sensitivity controls'!F23="","",1&gt;'DealScope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controls'!F23)/'Model inputs'!B21,0),1),IF(IF(IF(ISERROR(1&gt;'DealScope sensitivity controls'!F23),1&gt;'DealScope sensitivity controls'!F23,IF('DealScope sensitivity controls'!F23="","",1&gt;'DealScope sensitivity controls'!F23))="",FALSE,IF(ISERROR(1&gt;'DealScope sensitivity controls'!F23),1&gt;'DealScope sensitivity controls'!F23,IF('DealScope sensitivity controls'!F23="","",1&gt;'DealScope sensitivity controls'!F23))),IF('Model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controls'!F23)/'Model inputs'!B21,0),1),IF(IF(IF(ISERROR(2&gt;'DealScope sensitivity controls'!F23),2&gt;'DealScope sensitivity controls'!F23,IF('DealScope sensitivity controls'!F23="","",2&gt;'DealScope sensitivity controls'!F23))="",FALSE,IF(ISERROR(2&gt;'DealScope sensitivity controls'!F23),2&gt;'DealScope sensitivity controls'!F23,IF('DealScope sensitivity controls'!F23="","",2&gt;'DealScope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controls'!F23)/'Model inputs'!B21,0),1),IF(IF(IF(ISERROR(2&gt;'DealScope sensitivity controls'!F23),2&gt;'DealScope sensitivity controls'!F23,IF('DealScope sensitivity controls'!F23="","",2&gt;'DealScope sensitivity controls'!F23))="",FALSE,IF(ISERROR(2&gt;'DealScope sensitivity controls'!F23),2&gt;'DealScope sensitivity controls'!F23,IF('DealScope sensitivity controls'!F23="","",2&gt;'DealScope sensitivity controls'!F23))),IF('Model inputs'!B43="","",'Model inputs'!B43),0)))</f>
      </c>
    </row>
    <row r="72">
      <c r="A72" t="inlineStr" s="16">
        <is>
          <t xml:space="preserve">Calculation</t>
        </is>
      </c>
      <c r="B72">
        <f>'Model inputs'!B71+IF(IF(IF(IF(ISERROR('Model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controls'!F23)/'Model inputs'!B21,0),1),IF(IF(IF(ISERROR(3&gt;'DealScope sensitivity controls'!F23),3&gt;'DealScope sensitivity controls'!F23,IF('DealScope sensitivity controls'!F23="","",3&gt;'DealScope sensitivity controls'!F23))="",FALSE,IF(ISERROR(3&gt;'DealScope sensitivity controls'!F23),3&gt;'DealScope sensitivity controls'!F23,IF('DealScope sensitivity controls'!F23="","",3&gt;'DealScope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controls'!F23)/'Model inputs'!B21,0),1),IF(IF(IF(ISERROR(3&gt;'DealScope sensitivity controls'!F23),3&gt;'DealScope sensitivity controls'!F23,IF('DealScope sensitivity controls'!F23="","",3&gt;'DealScope sensitivity controls'!F23))="",FALSE,IF(ISERROR(3&gt;'DealScope sensitivity controls'!F23),3&gt;'DealScope sensitivity controls'!F23,IF('DealScope sensitivity controls'!F23="","",3&gt;'DealScope sensitivity controls'!F23))),IF('Model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controls'!F23)/'Model inputs'!B21,0),1),IF(IF(IF(ISERROR(4&gt;'DealScope sensitivity controls'!F23),4&gt;'DealScope sensitivity controls'!F23,IF('DealScope sensitivity controls'!F23="","",4&gt;'DealScope sensitivity controls'!F23))="",FALSE,IF(ISERROR(4&gt;'DealScope sensitivity controls'!F23),4&gt;'DealScope sensitivity controls'!F23,IF('DealScope sensitivity controls'!F23="","",4&gt;'DealScope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controls'!F23)/'Model inputs'!B21,0),1),IF(IF(IF(ISERROR(4&gt;'DealScope sensitivity controls'!F23),4&gt;'DealScope sensitivity controls'!F23,IF('DealScope sensitivity controls'!F23="","",4&gt;'DealScope sensitivity controls'!F23))="",FALSE,IF(ISERROR(4&gt;'DealScope sensitivity controls'!F23),4&gt;'DealScope sensitivity controls'!F23,IF('DealScope sensitivity controls'!F23="","",4&gt;'DealScope sensitivity controls'!F23))),IF('Model inputs'!B43="","",'Model inputs'!B43),0)))</f>
      </c>
    </row>
    <row r="73">
      <c r="A73" t="inlineStr" s="16">
        <is>
          <t xml:space="preserve">Calculation</t>
        </is>
      </c>
      <c r="B73">
        <f>'Model inputs'!B72+IF(IF(IF(IF(ISERROR('Model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controls'!F23)/'Model inputs'!B21,0),1),IF(IF(IF(ISERROR(5&gt;'DealScope sensitivity controls'!F23),5&gt;'DealScope sensitivity controls'!F23,IF('DealScope sensitivity controls'!F23="","",5&gt;'DealScope sensitivity controls'!F23))="",FALSE,IF(ISERROR(5&gt;'DealScope sensitivity controls'!F23),5&gt;'DealScope sensitivity controls'!F23,IF('DealScope sensitivity controls'!F23="","",5&gt;'DealScope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controls'!F23)/'Model inputs'!B21,0),1),IF(IF(IF(ISERROR(5&gt;'DealScope sensitivity controls'!F23),5&gt;'DealScope sensitivity controls'!F23,IF('DealScope sensitivity controls'!F23="","",5&gt;'DealScope sensitivity controls'!F23))="",FALSE,IF(ISERROR(5&gt;'DealScope sensitivity controls'!F23),5&gt;'DealScope sensitivity controls'!F23,IF('DealScope sensitivity controls'!F23="","",5&gt;'DealScope sensitivity controls'!F23))),IF('Model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controls'!F23)/'Model inputs'!B21,0),1),IF(IF(IF(ISERROR(6&gt;'DealScope sensitivity controls'!F23),6&gt;'DealScope sensitivity controls'!F23,IF('DealScope sensitivity controls'!F23="","",6&gt;'DealScope sensitivity controls'!F23))="",FALSE,IF(ISERROR(6&gt;'DealScope sensitivity controls'!F23),6&gt;'DealScope sensitivity controls'!F23,IF('DealScope sensitivity controls'!F23="","",6&gt;'DealScope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controls'!F23)/'Model inputs'!B21,0),1),IF(IF(IF(ISERROR(6&gt;'DealScope sensitivity controls'!F23),6&gt;'DealScope sensitivity controls'!F23,IF('DealScope sensitivity controls'!F23="","",6&gt;'DealScope sensitivity controls'!F23))="",FALSE,IF(ISERROR(6&gt;'DealScope sensitivity controls'!F23),6&gt;'DealScope sensitivity controls'!F23,IF('DealScope sensitivity controls'!F23="","",6&gt;'DealScope sensitivity controls'!F23))),IF('Model inputs'!B43="","",'Model inputs'!B43),0)))</f>
      </c>
    </row>
    <row r="74">
      <c r="A74" t="inlineStr" s="16">
        <is>
          <t xml:space="preserve">Calculation</t>
        </is>
      </c>
      <c r="B74">
        <f>'Model inputs'!B73+IF(IF(IF(IF(ISERROR('Model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controls'!F23)/'Model inputs'!B21,0),1),IF(IF(IF(ISERROR(7&gt;'DealScope sensitivity controls'!F23),7&gt;'DealScope sensitivity controls'!F23,IF('DealScope sensitivity controls'!F23="","",7&gt;'DealScope sensitivity controls'!F23))="",FALSE,IF(ISERROR(7&gt;'DealScope sensitivity controls'!F23),7&gt;'DealScope sensitivity controls'!F23,IF('DealScope sensitivity controls'!F23="","",7&gt;'DealScope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controls'!F23)/'Model inputs'!B21,0),1),IF(IF(IF(ISERROR(7&gt;'DealScope sensitivity controls'!F23),7&gt;'DealScope sensitivity controls'!F23,IF('DealScope sensitivity controls'!F23="","",7&gt;'DealScope sensitivity controls'!F23))="",FALSE,IF(ISERROR(7&gt;'DealScope sensitivity controls'!F23),7&gt;'DealScope sensitivity controls'!F23,IF('DealScope sensitivity controls'!F23="","",7&gt;'DealScope sensitivity controls'!F23))),IF('Model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controls'!F23)/'Model inputs'!B21,0),1),IF(IF(IF(ISERROR(8&gt;'DealScope sensitivity controls'!F23),8&gt;'DealScope sensitivity controls'!F23,IF('DealScope sensitivity controls'!F23="","",8&gt;'DealScope sensitivity controls'!F23))="",FALSE,IF(ISERROR(8&gt;'DealScope sensitivity controls'!F23),8&gt;'DealScope sensitivity controls'!F23,IF('DealScope sensitivity controls'!F23="","",8&gt;'DealScope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controls'!F23)/'Model inputs'!B21,0),1),IF(IF(IF(ISERROR(8&gt;'DealScope sensitivity controls'!F23),8&gt;'DealScope sensitivity controls'!F23,IF('DealScope sensitivity controls'!F23="","",8&gt;'DealScope sensitivity controls'!F23))="",FALSE,IF(ISERROR(8&gt;'DealScope sensitivity controls'!F23),8&gt;'DealScope sensitivity controls'!F23,IF('DealScope sensitivity controls'!F23="","",8&gt;'DealScope sensitivity controls'!F23))),IF('Model inputs'!B43="","",'Model inputs'!B43),0)))</f>
      </c>
    </row>
    <row r="75">
      <c r="A75" t="inlineStr" s="16">
        <is>
          <t xml:space="preserve">Calculation</t>
        </is>
      </c>
      <c r="B75">
        <f>'Model inputs'!B74+IF(IF(IF(IF(ISERROR('Model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controls'!F23)/'Model inputs'!B21,0),1),IF(IF(IF(ISERROR(9&gt;'DealScope sensitivity controls'!F23),9&gt;'DealScope sensitivity controls'!F23,IF('DealScope sensitivity controls'!F23="","",9&gt;'DealScope sensitivity controls'!F23))="",FALSE,IF(ISERROR(9&gt;'DealScope sensitivity controls'!F23),9&gt;'DealScope sensitivity controls'!F23,IF('DealScope sensitivity controls'!F23="","",9&gt;'DealScope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controls'!F23)/'Model inputs'!B21,0),1),IF(IF(IF(ISERROR(9&gt;'DealScope sensitivity controls'!F23),9&gt;'DealScope sensitivity controls'!F23,IF('DealScope sensitivity controls'!F23="","",9&gt;'DealScope sensitivity controls'!F23))="",FALSE,IF(ISERROR(9&gt;'DealScope sensitivity controls'!F23),9&gt;'DealScope sensitivity controls'!F23,IF('DealScope sensitivity controls'!F23="","",9&gt;'DealScope sensitivity controls'!F23))),IF('Model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controls'!F23)/'Model inputs'!B21,0),1),IF(IF(IF(ISERROR(10&gt;'DealScope sensitivity controls'!F23),10&gt;'DealScope sensitivity controls'!F23,IF('DealScope sensitivity controls'!F23="","",10&gt;'DealScope sensitivity controls'!F23))="",FALSE,IF(ISERROR(10&gt;'DealScope sensitivity controls'!F23),10&gt;'DealScope sensitivity controls'!F23,IF('DealScope sensitivity controls'!F23="","",10&gt;'DealScope sensitivity controls'!F23))),IF('Model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controls'!F23)/'Model inputs'!B21,0),1),IF(IF(IF(ISERROR(10&gt;'DealScope sensitivity controls'!F23),10&gt;'DealScope sensitivity controls'!F23,IF('DealScope sensitivity controls'!F23="","",10&gt;'DealScope sensitivity controls'!F23))="",FALSE,IF(ISERROR(10&gt;'DealScope sensitivity controls'!F23),10&gt;'DealScope sensitivity controls'!F23,IF('DealScope sensitivity controls'!F23="","",10&gt;'DealScope sensitivity controls'!F23))),IF('Model inputs'!B43="","",'Model inputs'!B43),0)))</f>
      </c>
    </row>
    <row r="76">
      <c r="A76" t="inlineStr" s="16">
        <is>
          <t xml:space="preserve">Calculation</t>
        </is>
      </c>
      <c r="B76" s="10">
        <f>SUM(IF(IF(IF(AND('Model inputs'!B22&lt;=DATE(2026,1,1),DATE(2026,1,1)&lt;=EDATE('Model inputs'!B22,'Model inputs'!B21-1*1))="",FALSE,AND('Model inputs'!B22&lt;=DATE(2026,1,1),DATE(2026,1,1)&lt;=EDATE('Model inputs'!B22,'Model inputs'!B21-1*1))),'Model inputs'!C20,"")="",0,IF(IF(AND('Model inputs'!B22&lt;=DATE(2026,1,1),DATE(2026,1,1)&lt;=EDATE('Model inputs'!B22,'Model inputs'!B21-1*1))="",FALSE,AND('Model inputs'!B22&lt;=DATE(2026,1,1),DATE(2026,1,1)&lt;=EDATE('Model inputs'!B22,'Model inputs'!B21-1*1))),'Model inputs'!C20,"")),IF(IF(IF(AND('Model inputs'!B22&lt;=DATE(2026,2,1),DATE(2026,2,1)&lt;=EDATE('Model inputs'!B22,'Model inputs'!B21-1*1))="",FALSE,AND('Model inputs'!B22&lt;=DATE(2026,2,1),DATE(2026,2,1)&lt;=EDATE('Model inputs'!B22,'Model inputs'!B21-1*1))),'Model inputs'!D20,"")="",0,IF(IF(AND('Model inputs'!B22&lt;=DATE(2026,2,1),DATE(2026,2,1)&lt;=EDATE('Model inputs'!B22,'Model inputs'!B21-1*1))="",FALSE,AND('Model inputs'!B22&lt;=DATE(2026,2,1),DATE(2026,2,1)&lt;=EDATE('Model inputs'!B22,'Model inputs'!B21-1*1))),'Model inputs'!D20,"")),IF(IF(IF(AND('Model inputs'!B22&lt;=DATE(2026,3,1),DATE(2026,3,1)&lt;=EDATE('Model inputs'!B22,'Model inputs'!B21-1*1))="",FALSE,AND('Model inputs'!B22&lt;=DATE(2026,3,1),DATE(2026,3,1)&lt;=EDATE('Model inputs'!B22,'Model inputs'!B21-1*1))),'Model inputs'!E20,"")="",0,IF(IF(AND('Model inputs'!B22&lt;=DATE(2026,3,1),DATE(2026,3,1)&lt;=EDATE('Model inputs'!B22,'Model inputs'!B21-1*1))="",FALSE,AND('Model inputs'!B22&lt;=DATE(2026,3,1),DATE(2026,3,1)&lt;=EDATE('Model inputs'!B22,'Model inputs'!B21-1*1))),'Model inputs'!E20,"")),IF(IF(IF(AND('Model inputs'!B22&lt;=DATE(2026,4,1),DATE(2026,4,1)&lt;=EDATE('Model inputs'!B22,'Model inputs'!B21-1*1))="",FALSE,AND('Model inputs'!B22&lt;=DATE(2026,4,1),DATE(2026,4,1)&lt;=EDATE('Model inputs'!B22,'Model inputs'!B21-1*1))),'Model inputs'!F20,"")="",0,IF(IF(AND('Model inputs'!B22&lt;=DATE(2026,4,1),DATE(2026,4,1)&lt;=EDATE('Model inputs'!B22,'Model inputs'!B21-1*1))="",FALSE,AND('Model inputs'!B22&lt;=DATE(2026,4,1),DATE(2026,4,1)&lt;=EDATE('Model inputs'!B22,'Model inputs'!B21-1*1))),'Model inputs'!F20,"")),IF(IF(IF(AND('Model inputs'!B22&lt;=DATE(2026,5,1),DATE(2026,5,1)&lt;=EDATE('Model inputs'!B22,'Model inputs'!B21-1*1))="",FALSE,AND('Model inputs'!B22&lt;=DATE(2026,5,1),DATE(2026,5,1)&lt;=EDATE('Model inputs'!B22,'Model inputs'!B21-1*1))),'Model inputs'!G20,"")="",0,IF(IF(AND('Model inputs'!B22&lt;=DATE(2026,5,1),DATE(2026,5,1)&lt;=EDATE('Model inputs'!B22,'Model inputs'!B21-1*1))="",FALSE,AND('Model inputs'!B22&lt;=DATE(2026,5,1),DATE(2026,5,1)&lt;=EDATE('Model inputs'!B22,'Model inputs'!B21-1*1))),'Model inputs'!G20,"")),IF(IF(IF(AND('Model inputs'!B22&lt;=DATE(2026,6,1),DATE(2026,6,1)&lt;=EDATE('Model inputs'!B22,'Model inputs'!B21-1*1))="",FALSE,AND('Model inputs'!B22&lt;=DATE(2026,6,1),DATE(2026,6,1)&lt;=EDATE('Model inputs'!B22,'Model inputs'!B21-1*1))),'Model inputs'!H20,"")="",0,IF(IF(AND('Model inputs'!B22&lt;=DATE(2026,6,1),DATE(2026,6,1)&lt;=EDATE('Model inputs'!B22,'Model inputs'!B21-1*1))="",FALSE,AND('Model inputs'!B22&lt;=DATE(2026,6,1),DATE(2026,6,1)&lt;=EDATE('Model inputs'!B22,'Model inputs'!B21-1*1))),'Model inputs'!H20,"")),IF(IF(IF(AND('Model inputs'!B22&lt;=DATE(2026,7,1),DATE(2026,7,1)&lt;=EDATE('Model inputs'!B22,'Model inputs'!B21-1*1))="",FALSE,AND('Model inputs'!B22&lt;=DATE(2026,7,1),DATE(2026,7,1)&lt;=EDATE('Model inputs'!B22,'Model inputs'!B21-1*1))),'Model inputs'!I20,"")="",0,IF(IF(AND('Model inputs'!B22&lt;=DATE(2026,7,1),DATE(2026,7,1)&lt;=EDATE('Model inputs'!B22,'Model inputs'!B21-1*1))="",FALSE,AND('Model inputs'!B22&lt;=DATE(2026,7,1),DATE(2026,7,1)&lt;=EDATE('Model inputs'!B22,'Model inputs'!B21-1*1))),'Model inputs'!I20,"")),IF(IF(IF(AND('Model inputs'!B22&lt;=DATE(2026,8,1),DATE(2026,8,1)&lt;=EDATE('Model inputs'!B22,'Model inputs'!B21-1*1))="",FALSE,AND('Model inputs'!B22&lt;=DATE(2026,8,1),DATE(2026,8,1)&lt;=EDATE('Model inputs'!B22,'Model inputs'!B21-1*1))),'Model inputs'!J20,"")="",0,IF(IF(AND('Model inputs'!B22&lt;=DATE(2026,8,1),DATE(2026,8,1)&lt;=EDATE('Model inputs'!B22,'Model inputs'!B21-1*1))="",FALSE,AND('Model inputs'!B22&lt;=DATE(2026,8,1),DATE(2026,8,1)&lt;=EDATE('Model inputs'!B22,'Model inputs'!B21-1*1))),'Model inputs'!J20,"")),IF(IF(IF(AND('Model inputs'!B22&lt;=DATE(2026,9,1),DATE(2026,9,1)&lt;=EDATE('Model inputs'!B22,'Model inputs'!B21-1*1))="",FALSE,AND('Model inputs'!B22&lt;=DATE(2026,9,1),DATE(2026,9,1)&lt;=EDATE('Model inputs'!B22,'Model inputs'!B21-1*1))),'Model inputs'!K20,"")="",0,IF(IF(AND('Model inputs'!B22&lt;=DATE(2026,9,1),DATE(2026,9,1)&lt;=EDATE('Model inputs'!B22,'Model inputs'!B21-1*1))="",FALSE,AND('Model inputs'!B22&lt;=DATE(2026,9,1),DATE(2026,9,1)&lt;=EDATE('Model inputs'!B22,'Model inputs'!B21-1*1))),'Model inputs'!K20,"")),IF(IF(IF(AND('Model inputs'!B22&lt;=DATE(2026,10,1),DATE(2026,10,1)&lt;=EDATE('Model inputs'!B22,'Model inputs'!B21-1*1))="",FALSE,AND('Model inputs'!B22&lt;=DATE(2026,10,1),DATE(2026,10,1)&lt;=EDATE('Model inputs'!B22,'Model inputs'!B21-1*1))),'Model inputs'!L20,"")="",0,IF(IF(AND('Model inputs'!B22&lt;=DATE(2026,10,1),DATE(2026,10,1)&lt;=EDATE('Model inputs'!B22,'Model inputs'!B21-1*1))="",FALSE,AND('Model inputs'!B22&lt;=DATE(2026,10,1),DATE(2026,10,1)&lt;=EDATE('Model inputs'!B22,'Model inputs'!B21-1*1))),'Model inputs'!L20,"")),IF(IF(IF(AND('Model inputs'!B22&lt;=DATE(2026,11,1),DATE(2026,11,1)&lt;=EDATE('Model inputs'!B22,'Model inputs'!B21-1*1))="",FALSE,AND('Model inputs'!B22&lt;=DATE(2026,11,1),DATE(2026,11,1)&lt;=EDATE('Model inputs'!B22,'Model inputs'!B21-1*1))),'Model inputs'!M20,"")="",0,IF(IF(AND('Model inputs'!B22&lt;=DATE(2026,11,1),DATE(2026,11,1)&lt;=EDATE('Model inputs'!B22,'Model inputs'!B21-1*1))="",FALSE,AND('Model inputs'!B22&lt;=DATE(2026,11,1),DATE(2026,11,1)&lt;=EDATE('Model inputs'!B22,'Model inputs'!B21-1*1))),'Model inputs'!M20,"")),IF(IF(IF(AND('Model inputs'!B22&lt;=DATE(2026,12,1),DATE(2026,12,1)&lt;=EDATE('Model inputs'!B22,'Model inputs'!B21-1*1))="",FALSE,AND('Model inputs'!B22&lt;=DATE(2026,12,1),DATE(2026,12,1)&lt;=EDATE('Model inputs'!B22,'Model inputs'!B21-1*1))),'Model inputs'!N20,"")="",0,IF(IF(AND('Model inputs'!B22&lt;=DATE(2026,12,1),DATE(2026,12,1)&lt;=EDATE('Model inputs'!B22,'Model inputs'!B21-1*1))="",FALSE,AND('Model inputs'!B22&lt;=DATE(2026,12,1),DATE(2026,12,1)&lt;=EDATE('Model inputs'!B22,'Model inputs'!B21-1*1))),'Model inputs'!N20,"")),IF(IF(IF(AND('Model inputs'!B22&lt;=DATE(2027,1,1),DATE(2027,1,1)&lt;=EDATE('Model inputs'!B22,'Model inputs'!B21-1*1))="",FALSE,AND('Model inputs'!B22&lt;=DATE(2027,1,1),DATE(2027,1,1)&lt;=EDATE('Model inputs'!B22,'Model inputs'!B21-1*1))),'Model inputs'!O20,"")="",0,IF(IF(AND('Model inputs'!B22&lt;=DATE(2027,1,1),DATE(2027,1,1)&lt;=EDATE('Model inputs'!B22,'Model inputs'!B21-1*1))="",FALSE,AND('Model inputs'!B22&lt;=DATE(2027,1,1),DATE(2027,1,1)&lt;=EDATE('Model inputs'!B22,'Model inputs'!B21-1*1))),'Model inputs'!O20,"")),IF(IF(IF(AND('Model inputs'!B22&lt;=DATE(2027,2,1),DATE(2027,2,1)&lt;=EDATE('Model inputs'!B22,'Model inputs'!B21-1*1))="",FALSE,AND('Model inputs'!B22&lt;=DATE(2027,2,1),DATE(2027,2,1)&lt;=EDATE('Model inputs'!B22,'Model inputs'!B21-1*1))),'Model inputs'!P20,"")="",0,IF(IF(AND('Model inputs'!B22&lt;=DATE(2027,2,1),DATE(2027,2,1)&lt;=EDATE('Model inputs'!B22,'Model inputs'!B21-1*1))="",FALSE,AND('Model inputs'!B22&lt;=DATE(2027,2,1),DATE(2027,2,1)&lt;=EDATE('Model inputs'!B22,'Model inputs'!B21-1*1))),'Model inputs'!P20,"")),IF(IF(IF(AND('Model inputs'!B22&lt;=DATE(2027,3,1),DATE(2027,3,1)&lt;=EDATE('Model inputs'!B22,'Model inputs'!B21-1*1))="",FALSE,AND('Model inputs'!B22&lt;=DATE(2027,3,1),DATE(2027,3,1)&lt;=EDATE('Model inputs'!B22,'Model inputs'!B21-1*1))),'Model inputs'!Q20,"")="",0,IF(IF(AND('Model inputs'!B22&lt;=DATE(2027,3,1),DATE(2027,3,1)&lt;=EDATE('Model inputs'!B22,'Model inputs'!B21-1*1))="",FALSE,AND('Model inputs'!B22&lt;=DATE(2027,3,1),DATE(2027,3,1)&lt;=EDATE('Model inputs'!B22,'Model inputs'!B21-1*1))),'Model inputs'!Q20,"")),IF(IF(IF(AND('Model inputs'!B22&lt;=DATE(2027,4,1),DATE(2027,4,1)&lt;=EDATE('Model inputs'!B22,'Model inputs'!B21-1*1))="",FALSE,AND('Model inputs'!B22&lt;=DATE(2027,4,1),DATE(2027,4,1)&lt;=EDATE('Model inputs'!B22,'Model inputs'!B21-1*1))),'Model inputs'!R20,"")="",0,IF(IF(AND('Model inputs'!B22&lt;=DATE(2027,4,1),DATE(2027,4,1)&lt;=EDATE('Model inputs'!B22,'Model inputs'!B21-1*1))="",FALSE,AND('Model inputs'!B22&lt;=DATE(2027,4,1),DATE(2027,4,1)&lt;=EDATE('Model inputs'!B22,'Model inputs'!B21-1*1))),'Model inputs'!R20,"")))</f>
      </c>
    </row>
    <row r="77">
      <c r="A77" t="inlineStr" s="16">
        <is>
          <t xml:space="preserve">Calculation</t>
        </is>
      </c>
      <c r="B77" s="10">
        <f>SUM(IF(IF(IF(AND('Model inputs'!B22&lt;=DATE(2027,5,1),DATE(2027,5,1)&lt;=EDATE('Model inputs'!B22,'Model inputs'!B21-1*1))="",FALSE,AND('Model inputs'!B22&lt;=DATE(2027,5,1),DATE(2027,5,1)&lt;=EDATE('Model inputs'!B22,'Model inputs'!B21-1*1))),'Model inputs'!S20,"")="",0,IF(IF(AND('Model inputs'!B22&lt;=DATE(2027,5,1),DATE(2027,5,1)&lt;=EDATE('Model inputs'!B22,'Model inputs'!B21-1*1))="",FALSE,AND('Model inputs'!B22&lt;=DATE(2027,5,1),DATE(2027,5,1)&lt;=EDATE('Model inputs'!B22,'Model inputs'!B21-1*1))),'Model inputs'!S20,"")),IF(IF(IF(AND('Model inputs'!B22&lt;=DATE(2027,6,1),DATE(2027,6,1)&lt;=EDATE('Model inputs'!B22,'Model inputs'!B21-1*1))="",FALSE,AND('Model inputs'!B22&lt;=DATE(2027,6,1),DATE(2027,6,1)&lt;=EDATE('Model inputs'!B22,'Model inputs'!B21-1*1))),'Model inputs'!T20,"")="",0,IF(IF(AND('Model inputs'!B22&lt;=DATE(2027,6,1),DATE(2027,6,1)&lt;=EDATE('Model inputs'!B22,'Model inputs'!B21-1*1))="",FALSE,AND('Model inputs'!B22&lt;=DATE(2027,6,1),DATE(2027,6,1)&lt;=EDATE('Model inputs'!B22,'Model inputs'!B21-1*1))),'Model inputs'!T20,"")),IF(IF(IF(AND('Model inputs'!B22&lt;=DATE(2027,7,1),DATE(2027,7,1)&lt;=EDATE('Model inputs'!B22,'Model inputs'!B21-1*1))="",FALSE,AND('Model inputs'!B22&lt;=DATE(2027,7,1),DATE(2027,7,1)&lt;=EDATE('Model inputs'!B22,'Model inputs'!B21-1*1))),'Model inputs'!U20,"")="",0,IF(IF(AND('Model inputs'!B22&lt;=DATE(2027,7,1),DATE(2027,7,1)&lt;=EDATE('Model inputs'!B22,'Model inputs'!B21-1*1))="",FALSE,AND('Model inputs'!B22&lt;=DATE(2027,7,1),DATE(2027,7,1)&lt;=EDATE('Model inputs'!B22,'Model inputs'!B21-1*1))),'Model inputs'!U20,"")),IF(IF(IF(AND('Model inputs'!B22&lt;=DATE(2027,8,1),DATE(2027,8,1)&lt;=EDATE('Model inputs'!B22,'Model inputs'!B21-1*1))="",FALSE,AND('Model inputs'!B22&lt;=DATE(2027,8,1),DATE(2027,8,1)&lt;=EDATE('Model inputs'!B22,'Model inputs'!B21-1*1))),'Model inputs'!V20,"")="",0,IF(IF(AND('Model inputs'!B22&lt;=DATE(2027,8,1),DATE(2027,8,1)&lt;=EDATE('Model inputs'!B22,'Model inputs'!B21-1*1))="",FALSE,AND('Model inputs'!B22&lt;=DATE(2027,8,1),DATE(2027,8,1)&lt;=EDATE('Model inputs'!B22,'Model inputs'!B21-1*1))),'Model inputs'!V20,"")),IF(IF(IF(AND('Model inputs'!B22&lt;=DATE(2027,9,1),DATE(2027,9,1)&lt;=EDATE('Model inputs'!B22,'Model inputs'!B21-1*1))="",FALSE,AND('Model inputs'!B22&lt;=DATE(2027,9,1),DATE(2027,9,1)&lt;=EDATE('Model inputs'!B22,'Model inputs'!B21-1*1))),'Model inputs'!W20,"")="",0,IF(IF(AND('Model inputs'!B22&lt;=DATE(2027,9,1),DATE(2027,9,1)&lt;=EDATE('Model inputs'!B22,'Model inputs'!B21-1*1))="",FALSE,AND('Model inputs'!B22&lt;=DATE(2027,9,1),DATE(2027,9,1)&lt;=EDATE('Model inputs'!B22,'Model inputs'!B21-1*1))),'Model inputs'!W20,"")),IF(IF(IF(AND('Model inputs'!B22&lt;=DATE(2027,10,1),DATE(2027,10,1)&lt;=EDATE('Model inputs'!B22,'Model inputs'!B21-1*1))="",FALSE,AND('Model inputs'!B22&lt;=DATE(2027,10,1),DATE(2027,10,1)&lt;=EDATE('Model inputs'!B22,'Model inputs'!B21-1*1))),'Model inputs'!X20,"")="",0,IF(IF(AND('Model inputs'!B22&lt;=DATE(2027,10,1),DATE(2027,10,1)&lt;=EDATE('Model inputs'!B22,'Model inputs'!B21-1*1))="",FALSE,AND('Model inputs'!B22&lt;=DATE(2027,10,1),DATE(2027,10,1)&lt;=EDATE('Model inputs'!B22,'Model inputs'!B21-1*1))),'Model inputs'!X20,"")),IF(IF(IF(AND('Model inputs'!B22&lt;=DATE(2027,11,1),DATE(2027,11,1)&lt;=EDATE('Model inputs'!B22,'Model inputs'!B21-1*1))="",FALSE,AND('Model inputs'!B22&lt;=DATE(2027,11,1),DATE(2027,11,1)&lt;=EDATE('Model inputs'!B22,'Model inputs'!B21-1*1))),'Model inputs'!Y20,"")="",0,IF(IF(AND('Model inputs'!B22&lt;=DATE(2027,11,1),DATE(2027,11,1)&lt;=EDATE('Model inputs'!B22,'Model inputs'!B21-1*1))="",FALSE,AND('Model inputs'!B22&lt;=DATE(2027,11,1),DATE(2027,11,1)&lt;=EDATE('Model inputs'!B22,'Model inputs'!B21-1*1))),'Model inputs'!Y20,"")),IF(IF(IF(AND('Model inputs'!B22&lt;=DATE(2027,12,1),DATE(2027,12,1)&lt;=EDATE('Model inputs'!B22,'Model inputs'!B21-1*1))="",FALSE,AND('Model inputs'!B22&lt;=DATE(2027,12,1),DATE(2027,12,1)&lt;=EDATE('Model inputs'!B22,'Model inputs'!B21-1*1))),'Model inputs'!Z20,"")="",0,IF(IF(AND('Model inputs'!B22&lt;=DATE(2027,12,1),DATE(2027,12,1)&lt;=EDATE('Model inputs'!B22,'Model inputs'!B21-1*1))="",FALSE,AND('Model inputs'!B22&lt;=DATE(2027,12,1),DATE(2027,12,1)&lt;=EDATE('Model inputs'!B22,'Model inputs'!B21-1*1))),'Model inputs'!Z20,"")))</f>
      </c>
    </row>
    <row r="78">
      <c r="A78" t="inlineStr" s="16">
        <is>
          <t xml:space="preserve">Calculation</t>
        </is>
      </c>
      <c r="B78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controls'!F21)/'Model inputs'!B21,0),1),IF(IF(IF(ISERROR(1&gt;'DealScope sensitivity controls'!F21),1&gt;'DealScope sensitivity controls'!F21,IF('DealScope sensitivity controls'!F21="","",1&gt;'DealScope sensitivity controls'!F21))="",FALSE,IF(ISERROR(1&gt;'DealScope sensitivity controls'!F21),1&gt;'DealScope sensitivity controls'!F21,IF('DealScope sensitivity controls'!F21="","",1&gt;'DealScope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controls'!F21)/'Model inputs'!B21,0),1),IF(IF(IF(ISERROR(1&gt;'DealScope sensitivity controls'!F21),1&gt;'DealScope sensitivity controls'!F21,IF('DealScope sensitivity controls'!F21="","",1&gt;'DealScope sensitivity controls'!F21))="",FALSE,IF(ISERROR(1&gt;'DealScope sensitivity controls'!F21),1&gt;'DealScope sensitivity controls'!F21,IF('DealScope sensitivity controls'!F21="","",1&gt;'DealScope sensitivity controls'!F21))),IF('Model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controls'!F21)/'Model inputs'!B21,0),1),IF(IF(IF(ISERROR(2&gt;'DealScope sensitivity controls'!F21),2&gt;'DealScope sensitivity controls'!F21,IF('DealScope sensitivity controls'!F21="","",2&gt;'DealScope sensitivity controls'!F21))="",FALSE,IF(ISERROR(2&gt;'DealScope sensitivity controls'!F21),2&gt;'DealScope sensitivity controls'!F21,IF('DealScope sensitivity controls'!F21="","",2&gt;'DealScope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controls'!F21)/'Model inputs'!B21,0),1),IF(IF(IF(ISERROR(2&gt;'DealScope sensitivity controls'!F21),2&gt;'DealScope sensitivity controls'!F21,IF('DealScope sensitivity controls'!F21="","",2&gt;'DealScope sensitivity controls'!F21))="",FALSE,IF(ISERROR(2&gt;'DealScope sensitivity controls'!F21),2&gt;'DealScope sensitivity controls'!F21,IF('DealScope sensitivity controls'!F21="","",2&gt;'DealScope sensitivity controls'!F21))),IF('Model inputs'!B43="","",'Model inputs'!B43),0)))</f>
      </c>
    </row>
    <row r="79">
      <c r="A79" t="inlineStr" s="16">
        <is>
          <t xml:space="preserve">Calculation</t>
        </is>
      </c>
      <c r="B79">
        <f>'Model inputs'!B78+IF(IF(IF(IF(ISERROR('Model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controls'!F21)/'Model inputs'!B21,0),1),IF(IF(IF(ISERROR(3&gt;'DealScope sensitivity controls'!F21),3&gt;'DealScope sensitivity controls'!F21,IF('DealScope sensitivity controls'!F21="","",3&gt;'DealScope sensitivity controls'!F21))="",FALSE,IF(ISERROR(3&gt;'DealScope sensitivity controls'!F21),3&gt;'DealScope sensitivity controls'!F21,IF('DealScope sensitivity controls'!F21="","",3&gt;'DealScope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controls'!F21)/'Model inputs'!B21,0),1),IF(IF(IF(ISERROR(3&gt;'DealScope sensitivity controls'!F21),3&gt;'DealScope sensitivity controls'!F21,IF('DealScope sensitivity controls'!F21="","",3&gt;'DealScope sensitivity controls'!F21))="",FALSE,IF(ISERROR(3&gt;'DealScope sensitivity controls'!F21),3&gt;'DealScope sensitivity controls'!F21,IF('DealScope sensitivity controls'!F21="","",3&gt;'DealScope sensitivity controls'!F21))),IF('Model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controls'!F21)/'Model inputs'!B21,0),1),IF(IF(IF(ISERROR(4&gt;'DealScope sensitivity controls'!F21),4&gt;'DealScope sensitivity controls'!F21,IF('DealScope sensitivity controls'!F21="","",4&gt;'DealScope sensitivity controls'!F21))="",FALSE,IF(ISERROR(4&gt;'DealScope sensitivity controls'!F21),4&gt;'DealScope sensitivity controls'!F21,IF('DealScope sensitivity controls'!F21="","",4&gt;'DealScope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controls'!F21)/'Model inputs'!B21,0),1),IF(IF(IF(ISERROR(4&gt;'DealScope sensitivity controls'!F21),4&gt;'DealScope sensitivity controls'!F21,IF('DealScope sensitivity controls'!F21="","",4&gt;'DealScope sensitivity controls'!F21))="",FALSE,IF(ISERROR(4&gt;'DealScope sensitivity controls'!F21),4&gt;'DealScope sensitivity controls'!F21,IF('DealScope sensitivity controls'!F21="","",4&gt;'DealScope sensitivity controls'!F21))),IF('Model inputs'!B43="","",'Model inputs'!B43),0)))</f>
      </c>
    </row>
    <row r="80">
      <c r="A80" t="inlineStr" s="16">
        <is>
          <t xml:space="preserve">Calculation</t>
        </is>
      </c>
      <c r="B80">
        <f>'Model inputs'!B79+IF(IF(IF(IF(ISERROR('Model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controls'!F21)/'Model inputs'!B21,0),1),IF(IF(IF(ISERROR(5&gt;'DealScope sensitivity controls'!F21),5&gt;'DealScope sensitivity controls'!F21,IF('DealScope sensitivity controls'!F21="","",5&gt;'DealScope sensitivity controls'!F21))="",FALSE,IF(ISERROR(5&gt;'DealScope sensitivity controls'!F21),5&gt;'DealScope sensitivity controls'!F21,IF('DealScope sensitivity controls'!F21="","",5&gt;'DealScope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controls'!F21)/'Model inputs'!B21,0),1),IF(IF(IF(ISERROR(5&gt;'DealScope sensitivity controls'!F21),5&gt;'DealScope sensitivity controls'!F21,IF('DealScope sensitivity controls'!F21="","",5&gt;'DealScope sensitivity controls'!F21))="",FALSE,IF(ISERROR(5&gt;'DealScope sensitivity controls'!F21),5&gt;'DealScope sensitivity controls'!F21,IF('DealScope sensitivity controls'!F21="","",5&gt;'DealScope sensitivity controls'!F21))),IF('Model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controls'!F21)/'Model inputs'!B21,0),1),IF(IF(IF(ISERROR(6&gt;'DealScope sensitivity controls'!F21),6&gt;'DealScope sensitivity controls'!F21,IF('DealScope sensitivity controls'!F21="","",6&gt;'DealScope sensitivity controls'!F21))="",FALSE,IF(ISERROR(6&gt;'DealScope sensitivity controls'!F21),6&gt;'DealScope sensitivity controls'!F21,IF('DealScope sensitivity controls'!F21="","",6&gt;'DealScope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controls'!F21)/'Model inputs'!B21,0),1),IF(IF(IF(ISERROR(6&gt;'DealScope sensitivity controls'!F21),6&gt;'DealScope sensitivity controls'!F21,IF('DealScope sensitivity controls'!F21="","",6&gt;'DealScope sensitivity controls'!F21))="",FALSE,IF(ISERROR(6&gt;'DealScope sensitivity controls'!F21),6&gt;'DealScope sensitivity controls'!F21,IF('DealScope sensitivity controls'!F21="","",6&gt;'DealScope sensitivity controls'!F21))),IF('Model inputs'!B43="","",'Model inputs'!B43),0)))</f>
      </c>
    </row>
    <row r="81">
      <c r="A81" t="inlineStr" s="16">
        <is>
          <t xml:space="preserve">Calculation</t>
        </is>
      </c>
      <c r="B81">
        <f>'Model inputs'!B80+IF(IF(IF(IF(ISERROR('Model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controls'!F21)/'Model inputs'!B21,0),1),IF(IF(IF(ISERROR(7&gt;'DealScope sensitivity controls'!F21),7&gt;'DealScope sensitivity controls'!F21,IF('DealScope sensitivity controls'!F21="","",7&gt;'DealScope sensitivity controls'!F21))="",FALSE,IF(ISERROR(7&gt;'DealScope sensitivity controls'!F21),7&gt;'DealScope sensitivity controls'!F21,IF('DealScope sensitivity controls'!F21="","",7&gt;'DealScope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controls'!F21)/'Model inputs'!B21,0),1),IF(IF(IF(ISERROR(7&gt;'DealScope sensitivity controls'!F21),7&gt;'DealScope sensitivity controls'!F21,IF('DealScope sensitivity controls'!F21="","",7&gt;'DealScope sensitivity controls'!F21))="",FALSE,IF(ISERROR(7&gt;'DealScope sensitivity controls'!F21),7&gt;'DealScope sensitivity controls'!F21,IF('DealScope sensitivity controls'!F21="","",7&gt;'DealScope sensitivity controls'!F21))),IF('Model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controls'!F21)/'Model inputs'!B21,0),1),IF(IF(IF(ISERROR(8&gt;'DealScope sensitivity controls'!F21),8&gt;'DealScope sensitivity controls'!F21,IF('DealScope sensitivity controls'!F21="","",8&gt;'DealScope sensitivity controls'!F21))="",FALSE,IF(ISERROR(8&gt;'DealScope sensitivity controls'!F21),8&gt;'DealScope sensitivity controls'!F21,IF('DealScope sensitivity controls'!F21="","",8&gt;'DealScope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controls'!F21)/'Model inputs'!B21,0),1),IF(IF(IF(ISERROR(8&gt;'DealScope sensitivity controls'!F21),8&gt;'DealScope sensitivity controls'!F21,IF('DealScope sensitivity controls'!F21="","",8&gt;'DealScope sensitivity controls'!F21))="",FALSE,IF(ISERROR(8&gt;'DealScope sensitivity controls'!F21),8&gt;'DealScope sensitivity controls'!F21,IF('DealScope sensitivity controls'!F21="","",8&gt;'DealScope sensitivity controls'!F21))),IF('Model inputs'!B43="","",'Model inputs'!B43),0)))</f>
      </c>
    </row>
    <row r="82">
      <c r="A82" t="inlineStr" s="16">
        <is>
          <t xml:space="preserve">Calculation</t>
        </is>
      </c>
      <c r="B82">
        <f>'Model inputs'!B81+IF(IF(IF(IF(ISERROR('Model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controls'!F21)/'Model inputs'!B21,0),1),IF(IF(IF(ISERROR(9&gt;'DealScope sensitivity controls'!F21),9&gt;'DealScope sensitivity controls'!F21,IF('DealScope sensitivity controls'!F21="","",9&gt;'DealScope sensitivity controls'!F21))="",FALSE,IF(ISERROR(9&gt;'DealScope sensitivity controls'!F21),9&gt;'DealScope sensitivity controls'!F21,IF('DealScope sensitivity controls'!F21="","",9&gt;'DealScope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controls'!F21)/'Model inputs'!B21,0),1),IF(IF(IF(ISERROR(9&gt;'DealScope sensitivity controls'!F21),9&gt;'DealScope sensitivity controls'!F21,IF('DealScope sensitivity controls'!F21="","",9&gt;'DealScope sensitivity controls'!F21))="",FALSE,IF(ISERROR(9&gt;'DealScope sensitivity controls'!F21),9&gt;'DealScope sensitivity controls'!F21,IF('DealScope sensitivity controls'!F21="","",9&gt;'DealScope sensitivity controls'!F21))),IF('Model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controls'!F21)/'Model inputs'!B21,0),1),IF(IF(IF(ISERROR(10&gt;'DealScope sensitivity controls'!F21),10&gt;'DealScope sensitivity controls'!F21,IF('DealScope sensitivity controls'!F21="","",10&gt;'DealScope sensitivity controls'!F21))="",FALSE,IF(ISERROR(10&gt;'DealScope sensitivity controls'!F21),10&gt;'DealScope sensitivity controls'!F21,IF('DealScope sensitivity controls'!F21="","",10&gt;'DealScope sensitivity controls'!F21))),IF('Model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controls'!F21)/'Model inputs'!B21,0),1),IF(IF(IF(ISERROR(10&gt;'DealScope sensitivity controls'!F21),10&gt;'DealScope sensitivity controls'!F21,IF('DealScope sensitivity controls'!F21="","",10&gt;'DealScope sensitivity controls'!F21))="",FALSE,IF(ISERROR(10&gt;'DealScope sensitivity controls'!F21),10&gt;'DealScope sensitivity controls'!F21,IF('DealScope sensitivity controls'!F21="","",10&gt;'DealScope sensitivity controls'!F21))),IF('Model inputs'!B43="","",'Model inputs'!B43),0)))</f>
      </c>
    </row>
    <row r="83">
      <c r="A83" t="inlineStr" s="16">
        <is>
          <t xml:space="preserve">Calculation</t>
        </is>
      </c>
      <c r="B83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controls'!F22)/'Model inputs'!B21,0),1),IF(IF(IF(ISERROR(1&gt;'DealScope sensitivity controls'!F22),1&gt;'DealScope sensitivity controls'!F22,IF('DealScope sensitivity controls'!F22="","",1&gt;'DealScope sensitivity controls'!F22))="",FALSE,IF(ISERROR(1&gt;'DealScope sensitivity controls'!F22),1&gt;'DealScope sensitivity controls'!F22,IF('DealScope sensitivity controls'!F22="","",1&gt;'DealScope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controls'!F22)/'Model inputs'!B21,0),1),IF(IF(IF(ISERROR(1&gt;'DealScope sensitivity controls'!F22),1&gt;'DealScope sensitivity controls'!F22,IF('DealScope sensitivity controls'!F22="","",1&gt;'DealScope sensitivity controls'!F22))="",FALSE,IF(ISERROR(1&gt;'DealScope sensitivity controls'!F22),1&gt;'DealScope sensitivity controls'!F22,IF('DealScope sensitivity controls'!F22="","",1&gt;'DealScope sensitivity controls'!F22))),IF('Model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controls'!F22)/'Model inputs'!B21,0),1),IF(IF(IF(ISERROR(2&gt;'DealScope sensitivity controls'!F22),2&gt;'DealScope sensitivity controls'!F22,IF('DealScope sensitivity controls'!F22="","",2&gt;'DealScope sensitivity controls'!F22))="",FALSE,IF(ISERROR(2&gt;'DealScope sensitivity controls'!F22),2&gt;'DealScope sensitivity controls'!F22,IF('DealScope sensitivity controls'!F22="","",2&gt;'DealScope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controls'!F22)/'Model inputs'!B21,0),1),IF(IF(IF(ISERROR(2&gt;'DealScope sensitivity controls'!F22),2&gt;'DealScope sensitivity controls'!F22,IF('DealScope sensitivity controls'!F22="","",2&gt;'DealScope sensitivity controls'!F22))="",FALSE,IF(ISERROR(2&gt;'DealScope sensitivity controls'!F22),2&gt;'DealScope sensitivity controls'!F22,IF('DealScope sensitivity controls'!F22="","",2&gt;'DealScope sensitivity controls'!F22))),IF('Model inputs'!B43="","",'Model inputs'!B43),0)))</f>
      </c>
    </row>
    <row r="84">
      <c r="A84" t="inlineStr" s="16">
        <is>
          <t xml:space="preserve">Calculation</t>
        </is>
      </c>
      <c r="B84">
        <f>'Model inputs'!B83+IF(IF(IF(IF(ISERROR('Model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controls'!F22)/'Model inputs'!B21,0),1),IF(IF(IF(ISERROR(3&gt;'DealScope sensitivity controls'!F22),3&gt;'DealScope sensitivity controls'!F22,IF('DealScope sensitivity controls'!F22="","",3&gt;'DealScope sensitivity controls'!F22))="",FALSE,IF(ISERROR(3&gt;'DealScope sensitivity controls'!F22),3&gt;'DealScope sensitivity controls'!F22,IF('DealScope sensitivity controls'!F22="","",3&gt;'DealScope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controls'!F22)/'Model inputs'!B21,0),1),IF(IF(IF(ISERROR(3&gt;'DealScope sensitivity controls'!F22),3&gt;'DealScope sensitivity controls'!F22,IF('DealScope sensitivity controls'!F22="","",3&gt;'DealScope sensitivity controls'!F22))="",FALSE,IF(ISERROR(3&gt;'DealScope sensitivity controls'!F22),3&gt;'DealScope sensitivity controls'!F22,IF('DealScope sensitivity controls'!F22="","",3&gt;'DealScope sensitivity controls'!F22))),IF('Model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controls'!F22)/'Model inputs'!B21,0),1),IF(IF(IF(ISERROR(4&gt;'DealScope sensitivity controls'!F22),4&gt;'DealScope sensitivity controls'!F22,IF('DealScope sensitivity controls'!F22="","",4&gt;'DealScope sensitivity controls'!F22))="",FALSE,IF(ISERROR(4&gt;'DealScope sensitivity controls'!F22),4&gt;'DealScope sensitivity controls'!F22,IF('DealScope sensitivity controls'!F22="","",4&gt;'DealScope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controls'!F22)/'Model inputs'!B21,0),1),IF(IF(IF(ISERROR(4&gt;'DealScope sensitivity controls'!F22),4&gt;'DealScope sensitivity controls'!F22,IF('DealScope sensitivity controls'!F22="","",4&gt;'DealScope sensitivity controls'!F22))="",FALSE,IF(ISERROR(4&gt;'DealScope sensitivity controls'!F22),4&gt;'DealScope sensitivity controls'!F22,IF('DealScope sensitivity controls'!F22="","",4&gt;'DealScope sensitivity controls'!F22))),IF('Model inputs'!B43="","",'Model inputs'!B43),0)))</f>
      </c>
    </row>
    <row r="85">
      <c r="A85" t="inlineStr" s="16">
        <is>
          <t xml:space="preserve">Calculation</t>
        </is>
      </c>
      <c r="B85">
        <f>'Model inputs'!B84+IF(IF(IF(IF(ISERROR('Model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controls'!F22)/'Model inputs'!B21,0),1),IF(IF(IF(ISERROR(5&gt;'DealScope sensitivity controls'!F22),5&gt;'DealScope sensitivity controls'!F22,IF('DealScope sensitivity controls'!F22="","",5&gt;'DealScope sensitivity controls'!F22))="",FALSE,IF(ISERROR(5&gt;'DealScope sensitivity controls'!F22),5&gt;'DealScope sensitivity controls'!F22,IF('DealScope sensitivity controls'!F22="","",5&gt;'DealScope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controls'!F22)/'Model inputs'!B21,0),1),IF(IF(IF(ISERROR(5&gt;'DealScope sensitivity controls'!F22),5&gt;'DealScope sensitivity controls'!F22,IF('DealScope sensitivity controls'!F22="","",5&gt;'DealScope sensitivity controls'!F22))="",FALSE,IF(ISERROR(5&gt;'DealScope sensitivity controls'!F22),5&gt;'DealScope sensitivity controls'!F22,IF('DealScope sensitivity controls'!F22="","",5&gt;'DealScope sensitivity controls'!F22))),IF('Model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controls'!F22)/'Model inputs'!B21,0),1),IF(IF(IF(ISERROR(6&gt;'DealScope sensitivity controls'!F22),6&gt;'DealScope sensitivity controls'!F22,IF('DealScope sensitivity controls'!F22="","",6&gt;'DealScope sensitivity controls'!F22))="",FALSE,IF(ISERROR(6&gt;'DealScope sensitivity controls'!F22),6&gt;'DealScope sensitivity controls'!F22,IF('DealScope sensitivity controls'!F22="","",6&gt;'DealScope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controls'!F22)/'Model inputs'!B21,0),1),IF(IF(IF(ISERROR(6&gt;'DealScope sensitivity controls'!F22),6&gt;'DealScope sensitivity controls'!F22,IF('DealScope sensitivity controls'!F22="","",6&gt;'DealScope sensitivity controls'!F22))="",FALSE,IF(ISERROR(6&gt;'DealScope sensitivity controls'!F22),6&gt;'DealScope sensitivity controls'!F22,IF('DealScope sensitivity controls'!F22="","",6&gt;'DealScope sensitivity controls'!F22))),IF('Model inputs'!B43="","",'Model inputs'!B43),0)))</f>
      </c>
    </row>
    <row r="86">
      <c r="A86" t="inlineStr" s="16">
        <is>
          <t xml:space="preserve">Calculation</t>
        </is>
      </c>
      <c r="B86">
        <f>'Model inputs'!B85+IF(IF(IF(IF(ISERROR('Model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controls'!F22)/'Model inputs'!B21,0),1),IF(IF(IF(ISERROR(7&gt;'DealScope sensitivity controls'!F22),7&gt;'DealScope sensitivity controls'!F22,IF('DealScope sensitivity controls'!F22="","",7&gt;'DealScope sensitivity controls'!F22))="",FALSE,IF(ISERROR(7&gt;'DealScope sensitivity controls'!F22),7&gt;'DealScope sensitivity controls'!F22,IF('DealScope sensitivity controls'!F22="","",7&gt;'DealScope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controls'!F22)/'Model inputs'!B21,0),1),IF(IF(IF(ISERROR(7&gt;'DealScope sensitivity controls'!F22),7&gt;'DealScope sensitivity controls'!F22,IF('DealScope sensitivity controls'!F22="","",7&gt;'DealScope sensitivity controls'!F22))="",FALSE,IF(ISERROR(7&gt;'DealScope sensitivity controls'!F22),7&gt;'DealScope sensitivity controls'!F22,IF('DealScope sensitivity controls'!F22="","",7&gt;'DealScope sensitivity controls'!F22))),IF('Model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controls'!F22)/'Model inputs'!B21,0),1),IF(IF(IF(ISERROR(8&gt;'DealScope sensitivity controls'!F22),8&gt;'DealScope sensitivity controls'!F22,IF('DealScope sensitivity controls'!F22="","",8&gt;'DealScope sensitivity controls'!F22))="",FALSE,IF(ISERROR(8&gt;'DealScope sensitivity controls'!F22),8&gt;'DealScope sensitivity controls'!F22,IF('DealScope sensitivity controls'!F22="","",8&gt;'DealScope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controls'!F22)/'Model inputs'!B21,0),1),IF(IF(IF(ISERROR(8&gt;'DealScope sensitivity controls'!F22),8&gt;'DealScope sensitivity controls'!F22,IF('DealScope sensitivity controls'!F22="","",8&gt;'DealScope sensitivity controls'!F22))="",FALSE,IF(ISERROR(8&gt;'DealScope sensitivity controls'!F22),8&gt;'DealScope sensitivity controls'!F22,IF('DealScope sensitivity controls'!F22="","",8&gt;'DealScope sensitivity controls'!F22))),IF('Model inputs'!B43="","",'Model inputs'!B43),0)))</f>
      </c>
    </row>
    <row r="87">
      <c r="A87" t="inlineStr" s="16">
        <is>
          <t xml:space="preserve">Calculation</t>
        </is>
      </c>
      <c r="B87">
        <f>'Model inputs'!B86+IF(IF(IF(IF(ISERROR('Model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controls'!F22)/'Model inputs'!B21,0),1),IF(IF(IF(ISERROR(9&gt;'DealScope sensitivity controls'!F22),9&gt;'DealScope sensitivity controls'!F22,IF('DealScope sensitivity controls'!F22="","",9&gt;'DealScope sensitivity controls'!F22))="",FALSE,IF(ISERROR(9&gt;'DealScope sensitivity controls'!F22),9&gt;'DealScope sensitivity controls'!F22,IF('DealScope sensitivity controls'!F22="","",9&gt;'DealScope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controls'!F22)/'Model inputs'!B21,0),1),IF(IF(IF(ISERROR(9&gt;'DealScope sensitivity controls'!F22),9&gt;'DealScope sensitivity controls'!F22,IF('DealScope sensitivity controls'!F22="","",9&gt;'DealScope sensitivity controls'!F22))="",FALSE,IF(ISERROR(9&gt;'DealScope sensitivity controls'!F22),9&gt;'DealScope sensitivity controls'!F22,IF('DealScope sensitivity controls'!F22="","",9&gt;'DealScope sensitivity controls'!F22))),IF('Model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controls'!F22)/'Model inputs'!B21,0),1),IF(IF(IF(ISERROR(10&gt;'DealScope sensitivity controls'!F22),10&gt;'DealScope sensitivity controls'!F22,IF('DealScope sensitivity controls'!F22="","",10&gt;'DealScope sensitivity controls'!F22))="",FALSE,IF(ISERROR(10&gt;'DealScope sensitivity controls'!F22),10&gt;'DealScope sensitivity controls'!F22,IF('DealScope sensitivity controls'!F22="","",10&gt;'DealScope sensitivity controls'!F22))),IF('Model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controls'!F22)/'Model inputs'!B21,0),1),IF(IF(IF(ISERROR(10&gt;'DealScope sensitivity controls'!F22),10&gt;'DealScope sensitivity controls'!F22,IF('DealScope sensitivity controls'!F22="","",10&gt;'DealScope sensitivity controls'!F22))="",FALSE,IF(ISERROR(10&gt;'DealScope sensitivity controls'!F22),10&gt;'DealScope sensitivity controls'!F22,IF('DealScope sensitivity controls'!F22="","",10&gt;'DealScope sensitivity controls'!F22))),IF('Model inputs'!B43="","",'Model inputs'!B43),0)))</f>
      </c>
    </row>
    <row r="88">
      <c r="A88" t="inlineStr" s="16">
        <is>
          <t xml:space="preserve">Calculation</t>
        </is>
      </c>
      <c r="B88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controls'!F6)/'Model inputs'!B21,0),1),IF(IF(IF(ISERROR(1&gt;'DealScope sensitivity controls'!F6),1&gt;'DealScope sensitivity controls'!F6,IF('DealScope sensitivity controls'!F6="","",1&gt;'DealScope sensitivity controls'!F6))="",FALSE,IF(ISERROR(1&gt;'DealScope sensitivity controls'!F6),1&gt;'DealScope sensitivity controls'!F6,IF('DealScope sensitivity controls'!F6="","",1&gt;'DealScope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controls'!F6)/'Model inputs'!B21,0),1),IF(IF(IF(ISERROR(1&gt;'DealScope sensitivity controls'!F6),1&gt;'DealScope sensitivity controls'!F6,IF('DealScope sensitivity controls'!F6="","",1&gt;'DealScope sensitivity controls'!F6))="",FALSE,IF(ISERROR(1&gt;'DealScope sensitivity controls'!F6),1&gt;'DealScope sensitivity controls'!F6,IF('DealScope sensitivity controls'!F6="","",1&gt;'DealScope sensitivity controls'!F6))),IF('Model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controls'!F6)/'Model inputs'!B21,0),1),IF(IF(IF(ISERROR(2&gt;'DealScope sensitivity controls'!F6),2&gt;'DealScope sensitivity controls'!F6,IF('DealScope sensitivity controls'!F6="","",2&gt;'DealScope sensitivity controls'!F6))="",FALSE,IF(ISERROR(2&gt;'DealScope sensitivity controls'!F6),2&gt;'DealScope sensitivity controls'!F6,IF('DealScope sensitivity controls'!F6="","",2&gt;'DealScope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controls'!F6)/'Model inputs'!B21,0),1),IF(IF(IF(ISERROR(2&gt;'DealScope sensitivity controls'!F6),2&gt;'DealScope sensitivity controls'!F6,IF('DealScope sensitivity controls'!F6="","",2&gt;'DealScope sensitivity controls'!F6))="",FALSE,IF(ISERROR(2&gt;'DealScope sensitivity controls'!F6),2&gt;'DealScope sensitivity controls'!F6,IF('DealScope sensitivity controls'!F6="","",2&gt;'DealScope sensitivity controls'!F6))),IF('Model inputs'!B43="","",'Model inputs'!B43),0)))</f>
      </c>
    </row>
    <row r="89">
      <c r="A89" t="inlineStr" s="16">
        <is>
          <t xml:space="preserve">Calculation</t>
        </is>
      </c>
      <c r="B89">
        <f>'Model inputs'!B88+IF(IF(IF(IF(ISERROR('Model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controls'!F6)/'Model inputs'!B21,0),1),IF(IF(IF(ISERROR(3&gt;'DealScope sensitivity controls'!F6),3&gt;'DealScope sensitivity controls'!F6,IF('DealScope sensitivity controls'!F6="","",3&gt;'DealScope sensitivity controls'!F6))="",FALSE,IF(ISERROR(3&gt;'DealScope sensitivity controls'!F6),3&gt;'DealScope sensitivity controls'!F6,IF('DealScope sensitivity controls'!F6="","",3&gt;'DealScope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controls'!F6)/'Model inputs'!B21,0),1),IF(IF(IF(ISERROR(3&gt;'DealScope sensitivity controls'!F6),3&gt;'DealScope sensitivity controls'!F6,IF('DealScope sensitivity controls'!F6="","",3&gt;'DealScope sensitivity controls'!F6))="",FALSE,IF(ISERROR(3&gt;'DealScope sensitivity controls'!F6),3&gt;'DealScope sensitivity controls'!F6,IF('DealScope sensitivity controls'!F6="","",3&gt;'DealScope sensitivity controls'!F6))),IF('Model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controls'!F6)/'Model inputs'!B21,0),1),IF(IF(IF(ISERROR(4&gt;'DealScope sensitivity controls'!F6),4&gt;'DealScope sensitivity controls'!F6,IF('DealScope sensitivity controls'!F6="","",4&gt;'DealScope sensitivity controls'!F6))="",FALSE,IF(ISERROR(4&gt;'DealScope sensitivity controls'!F6),4&gt;'DealScope sensitivity controls'!F6,IF('DealScope sensitivity controls'!F6="","",4&gt;'DealScope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controls'!F6)/'Model inputs'!B21,0),1),IF(IF(IF(ISERROR(4&gt;'DealScope sensitivity controls'!F6),4&gt;'DealScope sensitivity controls'!F6,IF('DealScope sensitivity controls'!F6="","",4&gt;'DealScope sensitivity controls'!F6))="",FALSE,IF(ISERROR(4&gt;'DealScope sensitivity controls'!F6),4&gt;'DealScope sensitivity controls'!F6,IF('DealScope sensitivity controls'!F6="","",4&gt;'DealScope sensitivity controls'!F6))),IF('Model inputs'!B43="","",'Model inputs'!B43),0)))</f>
      </c>
    </row>
    <row r="90">
      <c r="A90" t="inlineStr" s="16">
        <is>
          <t xml:space="preserve">Calculation</t>
        </is>
      </c>
      <c r="B90">
        <f>'Model inputs'!B89+IF(IF(IF(IF(ISERROR('Model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controls'!F6)/'Model inputs'!B21,0),1),IF(IF(IF(ISERROR(5&gt;'DealScope sensitivity controls'!F6),5&gt;'DealScope sensitivity controls'!F6,IF('DealScope sensitivity controls'!F6="","",5&gt;'DealScope sensitivity controls'!F6))="",FALSE,IF(ISERROR(5&gt;'DealScope sensitivity controls'!F6),5&gt;'DealScope sensitivity controls'!F6,IF('DealScope sensitivity controls'!F6="","",5&gt;'DealScope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controls'!F6)/'Model inputs'!B21,0),1),IF(IF(IF(ISERROR(5&gt;'DealScope sensitivity controls'!F6),5&gt;'DealScope sensitivity controls'!F6,IF('DealScope sensitivity controls'!F6="","",5&gt;'DealScope sensitivity controls'!F6))="",FALSE,IF(ISERROR(5&gt;'DealScope sensitivity controls'!F6),5&gt;'DealScope sensitivity controls'!F6,IF('DealScope sensitivity controls'!F6="","",5&gt;'DealScope sensitivity controls'!F6))),IF('Model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controls'!F6)/'Model inputs'!B21,0),1),IF(IF(IF(ISERROR(6&gt;'DealScope sensitivity controls'!F6),6&gt;'DealScope sensitivity controls'!F6,IF('DealScope sensitivity controls'!F6="","",6&gt;'DealScope sensitivity controls'!F6))="",FALSE,IF(ISERROR(6&gt;'DealScope sensitivity controls'!F6),6&gt;'DealScope sensitivity controls'!F6,IF('DealScope sensitivity controls'!F6="","",6&gt;'DealScope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controls'!F6)/'Model inputs'!B21,0),1),IF(IF(IF(ISERROR(6&gt;'DealScope sensitivity controls'!F6),6&gt;'DealScope sensitivity controls'!F6,IF('DealScope sensitivity controls'!F6="","",6&gt;'DealScope sensitivity controls'!F6))="",FALSE,IF(ISERROR(6&gt;'DealScope sensitivity controls'!F6),6&gt;'DealScope sensitivity controls'!F6,IF('DealScope sensitivity controls'!F6="","",6&gt;'DealScope sensitivity controls'!F6))),IF('Model inputs'!B43="","",'Model inputs'!B43),0)))</f>
      </c>
    </row>
    <row r="91">
      <c r="A91" t="inlineStr" s="16">
        <is>
          <t xml:space="preserve">Calculation</t>
        </is>
      </c>
      <c r="B91">
        <f>'Model inputs'!B90+IF(IF(IF(IF(ISERROR('Model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controls'!F6)/'Model inputs'!B21,0),1),IF(IF(IF(ISERROR(7&gt;'DealScope sensitivity controls'!F6),7&gt;'DealScope sensitivity controls'!F6,IF('DealScope sensitivity controls'!F6="","",7&gt;'DealScope sensitivity controls'!F6))="",FALSE,IF(ISERROR(7&gt;'DealScope sensitivity controls'!F6),7&gt;'DealScope sensitivity controls'!F6,IF('DealScope sensitivity controls'!F6="","",7&gt;'DealScope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controls'!F6)/'Model inputs'!B21,0),1),IF(IF(IF(ISERROR(7&gt;'DealScope sensitivity controls'!F6),7&gt;'DealScope sensitivity controls'!F6,IF('DealScope sensitivity controls'!F6="","",7&gt;'DealScope sensitivity controls'!F6))="",FALSE,IF(ISERROR(7&gt;'DealScope sensitivity controls'!F6),7&gt;'DealScope sensitivity controls'!F6,IF('DealScope sensitivity controls'!F6="","",7&gt;'DealScope sensitivity controls'!F6))),IF('Model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controls'!F6)/'Model inputs'!B21,0),1),IF(IF(IF(ISERROR(8&gt;'DealScope sensitivity controls'!F6),8&gt;'DealScope sensitivity controls'!F6,IF('DealScope sensitivity controls'!F6="","",8&gt;'DealScope sensitivity controls'!F6))="",FALSE,IF(ISERROR(8&gt;'DealScope sensitivity controls'!F6),8&gt;'DealScope sensitivity controls'!F6,IF('DealScope sensitivity controls'!F6="","",8&gt;'DealScope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controls'!F6)/'Model inputs'!B21,0),1),IF(IF(IF(ISERROR(8&gt;'DealScope sensitivity controls'!F6),8&gt;'DealScope sensitivity controls'!F6,IF('DealScope sensitivity controls'!F6="","",8&gt;'DealScope sensitivity controls'!F6))="",FALSE,IF(ISERROR(8&gt;'DealScope sensitivity controls'!F6),8&gt;'DealScope sensitivity controls'!F6,IF('DealScope sensitivity controls'!F6="","",8&gt;'DealScope sensitivity controls'!F6))),IF('Model inputs'!B43="","",'Model inputs'!B43),0)))</f>
      </c>
    </row>
    <row r="92">
      <c r="A92" t="inlineStr" s="16">
        <is>
          <t xml:space="preserve">Calculation</t>
        </is>
      </c>
      <c r="B92">
        <f>'Model inputs'!B91+IF(IF(IF(IF(ISERROR('Model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controls'!F6)/'Model inputs'!B21,0),1),IF(IF(IF(ISERROR(9&gt;'DealScope sensitivity controls'!F6),9&gt;'DealScope sensitivity controls'!F6,IF('DealScope sensitivity controls'!F6="","",9&gt;'DealScope sensitivity controls'!F6))="",FALSE,IF(ISERROR(9&gt;'DealScope sensitivity controls'!F6),9&gt;'DealScope sensitivity controls'!F6,IF('DealScope sensitivity controls'!F6="","",9&gt;'DealScope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controls'!F6)/'Model inputs'!B21,0),1),IF(IF(IF(ISERROR(9&gt;'DealScope sensitivity controls'!F6),9&gt;'DealScope sensitivity controls'!F6,IF('DealScope sensitivity controls'!F6="","",9&gt;'DealScope sensitivity controls'!F6))="",FALSE,IF(ISERROR(9&gt;'DealScope sensitivity controls'!F6),9&gt;'DealScope sensitivity controls'!F6,IF('DealScope sensitivity controls'!F6="","",9&gt;'DealScope sensitivity controls'!F6))),IF('Model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controls'!F6)/'Model inputs'!B21,0),1),IF(IF(IF(ISERROR(10&gt;'DealScope sensitivity controls'!F6),10&gt;'DealScope sensitivity controls'!F6,IF('DealScope sensitivity controls'!F6="","",10&gt;'DealScope sensitivity controls'!F6))="",FALSE,IF(ISERROR(10&gt;'DealScope sensitivity controls'!F6),10&gt;'DealScope sensitivity controls'!F6,IF('DealScope sensitivity controls'!F6="","",10&gt;'DealScope sensitivity controls'!F6))),IF('Model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controls'!F6)/'Model inputs'!B21,0),1),IF(IF(IF(ISERROR(10&gt;'DealScope sensitivity controls'!F6),10&gt;'DealScope sensitivity controls'!F6,IF('DealScope sensitivity controls'!F6="","",10&gt;'DealScope sensitivity controls'!F6))="",FALSE,IF(ISERROR(10&gt;'DealScope sensitivity controls'!F6),10&gt;'DealScope sensitivity controls'!F6,IF('DealScope sensitivity controls'!F6="","",10&gt;'DealScope sensitivity controls'!F6))),IF('Model inputs'!B43="","",'Model inputs'!B43),0)))</f>
      </c>
    </row>
    <row r="93">
      <c r="A93" t="inlineStr" s="16">
        <is>
          <t xml:space="preserve">Calculation</t>
        </is>
      </c>
      <c r="B93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controls'!F7)/'Model inputs'!B21,0),1),IF(IF(IF(ISERROR(1&gt;'DealScope sensitivity controls'!F7),1&gt;'DealScope sensitivity controls'!F7,IF('DealScope sensitivity controls'!F7="","",1&gt;'DealScope sensitivity controls'!F7))="",FALSE,IF(ISERROR(1&gt;'DealScope sensitivity controls'!F7),1&gt;'DealScope sensitivity controls'!F7,IF('DealScope sensitivity controls'!F7="","",1&gt;'DealScope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controls'!F7)/'Model inputs'!B21,0),1),IF(IF(IF(ISERROR(1&gt;'DealScope sensitivity controls'!F7),1&gt;'DealScope sensitivity controls'!F7,IF('DealScope sensitivity controls'!F7="","",1&gt;'DealScope sensitivity controls'!F7))="",FALSE,IF(ISERROR(1&gt;'DealScope sensitivity controls'!F7),1&gt;'DealScope sensitivity controls'!F7,IF('DealScope sensitivity controls'!F7="","",1&gt;'DealScope sensitivity controls'!F7))),IF('Model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controls'!F7)/'Model inputs'!B21,0),1),IF(IF(IF(ISERROR(2&gt;'DealScope sensitivity controls'!F7),2&gt;'DealScope sensitivity controls'!F7,IF('DealScope sensitivity controls'!F7="","",2&gt;'DealScope sensitivity controls'!F7))="",FALSE,IF(ISERROR(2&gt;'DealScope sensitivity controls'!F7),2&gt;'DealScope sensitivity controls'!F7,IF('DealScope sensitivity controls'!F7="","",2&gt;'DealScope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controls'!F7)/'Model inputs'!B21,0),1),IF(IF(IF(ISERROR(2&gt;'DealScope sensitivity controls'!F7),2&gt;'DealScope sensitivity controls'!F7,IF('DealScope sensitivity controls'!F7="","",2&gt;'DealScope sensitivity controls'!F7))="",FALSE,IF(ISERROR(2&gt;'DealScope sensitivity controls'!F7),2&gt;'DealScope sensitivity controls'!F7,IF('DealScope sensitivity controls'!F7="","",2&gt;'DealScope sensitivity controls'!F7))),IF('Model inputs'!B43="","",'Model inputs'!B43),0)))</f>
      </c>
    </row>
    <row r="94">
      <c r="A94" t="inlineStr" s="16">
        <is>
          <t xml:space="preserve">Calculation</t>
        </is>
      </c>
      <c r="B94">
        <f>'Model inputs'!B93+IF(IF(IF(IF(ISERROR('Model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controls'!F7)/'Model inputs'!B21,0),1),IF(IF(IF(ISERROR(3&gt;'DealScope sensitivity controls'!F7),3&gt;'DealScope sensitivity controls'!F7,IF('DealScope sensitivity controls'!F7="","",3&gt;'DealScope sensitivity controls'!F7))="",FALSE,IF(ISERROR(3&gt;'DealScope sensitivity controls'!F7),3&gt;'DealScope sensitivity controls'!F7,IF('DealScope sensitivity controls'!F7="","",3&gt;'DealScope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controls'!F7)/'Model inputs'!B21,0),1),IF(IF(IF(ISERROR(3&gt;'DealScope sensitivity controls'!F7),3&gt;'DealScope sensitivity controls'!F7,IF('DealScope sensitivity controls'!F7="","",3&gt;'DealScope sensitivity controls'!F7))="",FALSE,IF(ISERROR(3&gt;'DealScope sensitivity controls'!F7),3&gt;'DealScope sensitivity controls'!F7,IF('DealScope sensitivity controls'!F7="","",3&gt;'DealScope sensitivity controls'!F7))),IF('Model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controls'!F7)/'Model inputs'!B21,0),1),IF(IF(IF(ISERROR(4&gt;'DealScope sensitivity controls'!F7),4&gt;'DealScope sensitivity controls'!F7,IF('DealScope sensitivity controls'!F7="","",4&gt;'DealScope sensitivity controls'!F7))="",FALSE,IF(ISERROR(4&gt;'DealScope sensitivity controls'!F7),4&gt;'DealScope sensitivity controls'!F7,IF('DealScope sensitivity controls'!F7="","",4&gt;'DealScope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controls'!F7)/'Model inputs'!B21,0),1),IF(IF(IF(ISERROR(4&gt;'DealScope sensitivity controls'!F7),4&gt;'DealScope sensitivity controls'!F7,IF('DealScope sensitivity controls'!F7="","",4&gt;'DealScope sensitivity controls'!F7))="",FALSE,IF(ISERROR(4&gt;'DealScope sensitivity controls'!F7),4&gt;'DealScope sensitivity controls'!F7,IF('DealScope sensitivity controls'!F7="","",4&gt;'DealScope sensitivity controls'!F7))),IF('Model inputs'!B43="","",'Model inputs'!B43),0)))</f>
      </c>
    </row>
    <row r="95">
      <c r="A95" t="inlineStr" s="16">
        <is>
          <t xml:space="preserve">Calculation</t>
        </is>
      </c>
      <c r="B95">
        <f>'Model inputs'!B94+IF(IF(IF(IF(ISERROR('Model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controls'!F7)/'Model inputs'!B21,0),1),IF(IF(IF(ISERROR(5&gt;'DealScope sensitivity controls'!F7),5&gt;'DealScope sensitivity controls'!F7,IF('DealScope sensitivity controls'!F7="","",5&gt;'DealScope sensitivity controls'!F7))="",FALSE,IF(ISERROR(5&gt;'DealScope sensitivity controls'!F7),5&gt;'DealScope sensitivity controls'!F7,IF('DealScope sensitivity controls'!F7="","",5&gt;'DealScope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controls'!F7)/'Model inputs'!B21,0),1),IF(IF(IF(ISERROR(5&gt;'DealScope sensitivity controls'!F7),5&gt;'DealScope sensitivity controls'!F7,IF('DealScope sensitivity controls'!F7="","",5&gt;'DealScope sensitivity controls'!F7))="",FALSE,IF(ISERROR(5&gt;'DealScope sensitivity controls'!F7),5&gt;'DealScope sensitivity controls'!F7,IF('DealScope sensitivity controls'!F7="","",5&gt;'DealScope sensitivity controls'!F7))),IF('Model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controls'!F7)/'Model inputs'!B21,0),1),IF(IF(IF(ISERROR(6&gt;'DealScope sensitivity controls'!F7),6&gt;'DealScope sensitivity controls'!F7,IF('DealScope sensitivity controls'!F7="","",6&gt;'DealScope sensitivity controls'!F7))="",FALSE,IF(ISERROR(6&gt;'DealScope sensitivity controls'!F7),6&gt;'DealScope sensitivity controls'!F7,IF('DealScope sensitivity controls'!F7="","",6&gt;'DealScope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controls'!F7)/'Model inputs'!B21,0),1),IF(IF(IF(ISERROR(6&gt;'DealScope sensitivity controls'!F7),6&gt;'DealScope sensitivity controls'!F7,IF('DealScope sensitivity controls'!F7="","",6&gt;'DealScope sensitivity controls'!F7))="",FALSE,IF(ISERROR(6&gt;'DealScope sensitivity controls'!F7),6&gt;'DealScope sensitivity controls'!F7,IF('DealScope sensitivity controls'!F7="","",6&gt;'DealScope sensitivity controls'!F7))),IF('Model inputs'!B43="","",'Model inputs'!B43),0)))</f>
      </c>
    </row>
    <row r="96">
      <c r="A96" t="inlineStr" s="16">
        <is>
          <t xml:space="preserve">Calculation</t>
        </is>
      </c>
      <c r="B96">
        <f>'Model inputs'!B95+IF(IF(IF(IF(ISERROR('Model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controls'!F7)/'Model inputs'!B21,0),1),IF(IF(IF(ISERROR(7&gt;'DealScope sensitivity controls'!F7),7&gt;'DealScope sensitivity controls'!F7,IF('DealScope sensitivity controls'!F7="","",7&gt;'DealScope sensitivity controls'!F7))="",FALSE,IF(ISERROR(7&gt;'DealScope sensitivity controls'!F7),7&gt;'DealScope sensitivity controls'!F7,IF('DealScope sensitivity controls'!F7="","",7&gt;'DealScope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controls'!F7)/'Model inputs'!B21,0),1),IF(IF(IF(ISERROR(7&gt;'DealScope sensitivity controls'!F7),7&gt;'DealScope sensitivity controls'!F7,IF('DealScope sensitivity controls'!F7="","",7&gt;'DealScope sensitivity controls'!F7))="",FALSE,IF(ISERROR(7&gt;'DealScope sensitivity controls'!F7),7&gt;'DealScope sensitivity controls'!F7,IF('DealScope sensitivity controls'!F7="","",7&gt;'DealScope sensitivity controls'!F7))),IF('Model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controls'!F7)/'Model inputs'!B21,0),1),IF(IF(IF(ISERROR(8&gt;'DealScope sensitivity controls'!F7),8&gt;'DealScope sensitivity controls'!F7,IF('DealScope sensitivity controls'!F7="","",8&gt;'DealScope sensitivity controls'!F7))="",FALSE,IF(ISERROR(8&gt;'DealScope sensitivity controls'!F7),8&gt;'DealScope sensitivity controls'!F7,IF('DealScope sensitivity controls'!F7="","",8&gt;'DealScope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controls'!F7)/'Model inputs'!B21,0),1),IF(IF(IF(ISERROR(8&gt;'DealScope sensitivity controls'!F7),8&gt;'DealScope sensitivity controls'!F7,IF('DealScope sensitivity controls'!F7="","",8&gt;'DealScope sensitivity controls'!F7))="",FALSE,IF(ISERROR(8&gt;'DealScope sensitivity controls'!F7),8&gt;'DealScope sensitivity controls'!F7,IF('DealScope sensitivity controls'!F7="","",8&gt;'DealScope sensitivity controls'!F7))),IF('Model inputs'!B43="","",'Model inputs'!B43),0)))</f>
      </c>
    </row>
    <row r="97">
      <c r="A97" t="inlineStr" s="16">
        <is>
          <t xml:space="preserve">Calculation</t>
        </is>
      </c>
      <c r="B97">
        <f>'Model inputs'!B96+IF(IF(IF(IF(ISERROR('Model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controls'!F7)/'Model inputs'!B21,0),1),IF(IF(IF(ISERROR(9&gt;'DealScope sensitivity controls'!F7),9&gt;'DealScope sensitivity controls'!F7,IF('DealScope sensitivity controls'!F7="","",9&gt;'DealScope sensitivity controls'!F7))="",FALSE,IF(ISERROR(9&gt;'DealScope sensitivity controls'!F7),9&gt;'DealScope sensitivity controls'!F7,IF('DealScope sensitivity controls'!F7="","",9&gt;'DealScope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controls'!F7)/'Model inputs'!B21,0),1),IF(IF(IF(ISERROR(9&gt;'DealScope sensitivity controls'!F7),9&gt;'DealScope sensitivity controls'!F7,IF('DealScope sensitivity controls'!F7="","",9&gt;'DealScope sensitivity controls'!F7))="",FALSE,IF(ISERROR(9&gt;'DealScope sensitivity controls'!F7),9&gt;'DealScope sensitivity controls'!F7,IF('DealScope sensitivity controls'!F7="","",9&gt;'DealScope sensitivity controls'!F7))),IF('Model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controls'!F7)/'Model inputs'!B21,0),1),IF(IF(IF(ISERROR(10&gt;'DealScope sensitivity controls'!F7),10&gt;'DealScope sensitivity controls'!F7,IF('DealScope sensitivity controls'!F7="","",10&gt;'DealScope sensitivity controls'!F7))="",FALSE,IF(ISERROR(10&gt;'DealScope sensitivity controls'!F7),10&gt;'DealScope sensitivity controls'!F7,IF('DealScope sensitivity controls'!F7="","",10&gt;'DealScope sensitivity controls'!F7))),IF('Model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controls'!F7)/'Model inputs'!B21,0),1),IF(IF(IF(ISERROR(10&gt;'DealScope sensitivity controls'!F7),10&gt;'DealScope sensitivity controls'!F7,IF('DealScope sensitivity controls'!F7="","",10&gt;'DealScope sensitivity controls'!F7))="",FALSE,IF(ISERROR(10&gt;'DealScope sensitivity controls'!F7),10&gt;'DealScope sensitivity controls'!F7,IF('DealScope sensitivity controls'!F7="","",10&gt;'DealScope sensitivity controls'!F7))),IF('Model inputs'!B43="","",'Model inputs'!B43),0)))</f>
      </c>
    </row>
    <row r="98">
      <c r="A98" t="inlineStr" s="16">
        <is>
          <t xml:space="preserve">Calculation</t>
        </is>
      </c>
      <c r="B98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controls'!F8)/'Model inputs'!B21,0),1),IF(IF(IF(ISERROR(1&gt;'DealScope sensitivity controls'!F8),1&gt;'DealScope sensitivity controls'!F8,IF('DealScope sensitivity controls'!F8="","",1&gt;'DealScope sensitivity controls'!F8))="",FALSE,IF(ISERROR(1&gt;'DealScope sensitivity controls'!F8),1&gt;'DealScope sensitivity controls'!F8,IF('DealScope sensitivity controls'!F8="","",1&gt;'DealScope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controls'!F8)/'Model inputs'!B21,0),1),IF(IF(IF(ISERROR(1&gt;'DealScope sensitivity controls'!F8),1&gt;'DealScope sensitivity controls'!F8,IF('DealScope sensitivity controls'!F8="","",1&gt;'DealScope sensitivity controls'!F8))="",FALSE,IF(ISERROR(1&gt;'DealScope sensitivity controls'!F8),1&gt;'DealScope sensitivity controls'!F8,IF('DealScope sensitivity controls'!F8="","",1&gt;'DealScope sensitivity controls'!F8))),IF('Model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controls'!F8)/'Model inputs'!B21,0),1),IF(IF(IF(ISERROR(2&gt;'DealScope sensitivity controls'!F8),2&gt;'DealScope sensitivity controls'!F8,IF('DealScope sensitivity controls'!F8="","",2&gt;'DealScope sensitivity controls'!F8))="",FALSE,IF(ISERROR(2&gt;'DealScope sensitivity controls'!F8),2&gt;'DealScope sensitivity controls'!F8,IF('DealScope sensitivity controls'!F8="","",2&gt;'DealScope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controls'!F8)/'Model inputs'!B21,0),1),IF(IF(IF(ISERROR(2&gt;'DealScope sensitivity controls'!F8),2&gt;'DealScope sensitivity controls'!F8,IF('DealScope sensitivity controls'!F8="","",2&gt;'DealScope sensitivity controls'!F8))="",FALSE,IF(ISERROR(2&gt;'DealScope sensitivity controls'!F8),2&gt;'DealScope sensitivity controls'!F8,IF('DealScope sensitivity controls'!F8="","",2&gt;'DealScope sensitivity controls'!F8))),IF('Model inputs'!B43="","",'Model inputs'!B43),0)))</f>
      </c>
    </row>
    <row r="99">
      <c r="A99" t="inlineStr" s="16">
        <is>
          <t xml:space="preserve">Calculation</t>
        </is>
      </c>
      <c r="B99">
        <f>'Model inputs'!B98+IF(IF(IF(IF(ISERROR('Model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controls'!F8)/'Model inputs'!B21,0),1),IF(IF(IF(ISERROR(3&gt;'DealScope sensitivity controls'!F8),3&gt;'DealScope sensitivity controls'!F8,IF('DealScope sensitivity controls'!F8="","",3&gt;'DealScope sensitivity controls'!F8))="",FALSE,IF(ISERROR(3&gt;'DealScope sensitivity controls'!F8),3&gt;'DealScope sensitivity controls'!F8,IF('DealScope sensitivity controls'!F8="","",3&gt;'DealScope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controls'!F8)/'Model inputs'!B21,0),1),IF(IF(IF(ISERROR(3&gt;'DealScope sensitivity controls'!F8),3&gt;'DealScope sensitivity controls'!F8,IF('DealScope sensitivity controls'!F8="","",3&gt;'DealScope sensitivity controls'!F8))="",FALSE,IF(ISERROR(3&gt;'DealScope sensitivity controls'!F8),3&gt;'DealScope sensitivity controls'!F8,IF('DealScope sensitivity controls'!F8="","",3&gt;'DealScope sensitivity controls'!F8))),IF('Model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controls'!F8)/'Model inputs'!B21,0),1),IF(IF(IF(ISERROR(4&gt;'DealScope sensitivity controls'!F8),4&gt;'DealScope sensitivity controls'!F8,IF('DealScope sensitivity controls'!F8="","",4&gt;'DealScope sensitivity controls'!F8))="",FALSE,IF(ISERROR(4&gt;'DealScope sensitivity controls'!F8),4&gt;'DealScope sensitivity controls'!F8,IF('DealScope sensitivity controls'!F8="","",4&gt;'DealScope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controls'!F8)/'Model inputs'!B21,0),1),IF(IF(IF(ISERROR(4&gt;'DealScope sensitivity controls'!F8),4&gt;'DealScope sensitivity controls'!F8,IF('DealScope sensitivity controls'!F8="","",4&gt;'DealScope sensitivity controls'!F8))="",FALSE,IF(ISERROR(4&gt;'DealScope sensitivity controls'!F8),4&gt;'DealScope sensitivity controls'!F8,IF('DealScope sensitivity controls'!F8="","",4&gt;'DealScope sensitivity controls'!F8))),IF('Model inputs'!B43="","",'Model inputs'!B43),0)))</f>
      </c>
    </row>
    <row r="100">
      <c r="A100" t="inlineStr" s="16">
        <is>
          <t xml:space="preserve">Calculation</t>
        </is>
      </c>
      <c r="B100">
        <f>'Model inputs'!B99+IF(IF(IF(IF(ISERROR('Model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controls'!F8)/'Model inputs'!B21,0),1),IF(IF(IF(ISERROR(5&gt;'DealScope sensitivity controls'!F8),5&gt;'DealScope sensitivity controls'!F8,IF('DealScope sensitivity controls'!F8="","",5&gt;'DealScope sensitivity controls'!F8))="",FALSE,IF(ISERROR(5&gt;'DealScope sensitivity controls'!F8),5&gt;'DealScope sensitivity controls'!F8,IF('DealScope sensitivity controls'!F8="","",5&gt;'DealScope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controls'!F8)/'Model inputs'!B21,0),1),IF(IF(IF(ISERROR(5&gt;'DealScope sensitivity controls'!F8),5&gt;'DealScope sensitivity controls'!F8,IF('DealScope sensitivity controls'!F8="","",5&gt;'DealScope sensitivity controls'!F8))="",FALSE,IF(ISERROR(5&gt;'DealScope sensitivity controls'!F8),5&gt;'DealScope sensitivity controls'!F8,IF('DealScope sensitivity controls'!F8="","",5&gt;'DealScope sensitivity controls'!F8))),IF('Model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controls'!F8)/'Model inputs'!B21,0),1),IF(IF(IF(ISERROR(6&gt;'DealScope sensitivity controls'!F8),6&gt;'DealScope sensitivity controls'!F8,IF('DealScope sensitivity controls'!F8="","",6&gt;'DealScope sensitivity controls'!F8))="",FALSE,IF(ISERROR(6&gt;'DealScope sensitivity controls'!F8),6&gt;'DealScope sensitivity controls'!F8,IF('DealScope sensitivity controls'!F8="","",6&gt;'DealScope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controls'!F8)/'Model inputs'!B21,0),1),IF(IF(IF(ISERROR(6&gt;'DealScope sensitivity controls'!F8),6&gt;'DealScope sensitivity controls'!F8,IF('DealScope sensitivity controls'!F8="","",6&gt;'DealScope sensitivity controls'!F8))="",FALSE,IF(ISERROR(6&gt;'DealScope sensitivity controls'!F8),6&gt;'DealScope sensitivity controls'!F8,IF('DealScope sensitivity controls'!F8="","",6&gt;'DealScope sensitivity controls'!F8))),IF('Model inputs'!B43="","",'Model inputs'!B43),0)))</f>
      </c>
    </row>
    <row r="101">
      <c r="A101" t="inlineStr" s="16">
        <is>
          <t xml:space="preserve">Calculation</t>
        </is>
      </c>
      <c r="B101">
        <f>'Model inputs'!B100+IF(IF(IF(IF(ISERROR('Model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controls'!F8)/'Model inputs'!B21,0),1),IF(IF(IF(ISERROR(7&gt;'DealScope sensitivity controls'!F8),7&gt;'DealScope sensitivity controls'!F8,IF('DealScope sensitivity controls'!F8="","",7&gt;'DealScope sensitivity controls'!F8))="",FALSE,IF(ISERROR(7&gt;'DealScope sensitivity controls'!F8),7&gt;'DealScope sensitivity controls'!F8,IF('DealScope sensitivity controls'!F8="","",7&gt;'DealScope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controls'!F8)/'Model inputs'!B21,0),1),IF(IF(IF(ISERROR(7&gt;'DealScope sensitivity controls'!F8),7&gt;'DealScope sensitivity controls'!F8,IF('DealScope sensitivity controls'!F8="","",7&gt;'DealScope sensitivity controls'!F8))="",FALSE,IF(ISERROR(7&gt;'DealScope sensitivity controls'!F8),7&gt;'DealScope sensitivity controls'!F8,IF('DealScope sensitivity controls'!F8="","",7&gt;'DealScope sensitivity controls'!F8))),IF('Model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controls'!F8)/'Model inputs'!B21,0),1),IF(IF(IF(ISERROR(8&gt;'DealScope sensitivity controls'!F8),8&gt;'DealScope sensitivity controls'!F8,IF('DealScope sensitivity controls'!F8="","",8&gt;'DealScope sensitivity controls'!F8))="",FALSE,IF(ISERROR(8&gt;'DealScope sensitivity controls'!F8),8&gt;'DealScope sensitivity controls'!F8,IF('DealScope sensitivity controls'!F8="","",8&gt;'DealScope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controls'!F8)/'Model inputs'!B21,0),1),IF(IF(IF(ISERROR(8&gt;'DealScope sensitivity controls'!F8),8&gt;'DealScope sensitivity controls'!F8,IF('DealScope sensitivity controls'!F8="","",8&gt;'DealScope sensitivity controls'!F8))="",FALSE,IF(ISERROR(8&gt;'DealScope sensitivity controls'!F8),8&gt;'DealScope sensitivity controls'!F8,IF('DealScope sensitivity controls'!F8="","",8&gt;'DealScope sensitivity controls'!F8))),IF('Model inputs'!B43="","",'Model inputs'!B43),0)))</f>
      </c>
    </row>
    <row r="102">
      <c r="A102" t="inlineStr" s="16">
        <is>
          <t xml:space="preserve">Calculation</t>
        </is>
      </c>
      <c r="B102">
        <f>'Model inputs'!B101+IF(IF(IF(IF(ISERROR('Model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controls'!F8)/'Model inputs'!B21,0),1),IF(IF(IF(ISERROR(9&gt;'DealScope sensitivity controls'!F8),9&gt;'DealScope sensitivity controls'!F8,IF('DealScope sensitivity controls'!F8="","",9&gt;'DealScope sensitivity controls'!F8))="",FALSE,IF(ISERROR(9&gt;'DealScope sensitivity controls'!F8),9&gt;'DealScope sensitivity controls'!F8,IF('DealScope sensitivity controls'!F8="","",9&gt;'DealScope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controls'!F8)/'Model inputs'!B21,0),1),IF(IF(IF(ISERROR(9&gt;'DealScope sensitivity controls'!F8),9&gt;'DealScope sensitivity controls'!F8,IF('DealScope sensitivity controls'!F8="","",9&gt;'DealScope sensitivity controls'!F8))="",FALSE,IF(ISERROR(9&gt;'DealScope sensitivity controls'!F8),9&gt;'DealScope sensitivity controls'!F8,IF('DealScope sensitivity controls'!F8="","",9&gt;'DealScope sensitivity controls'!F8))),IF('Model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controls'!F8)/'Model inputs'!B21,0),1),IF(IF(IF(ISERROR(10&gt;'DealScope sensitivity controls'!F8),10&gt;'DealScope sensitivity controls'!F8,IF('DealScope sensitivity controls'!F8="","",10&gt;'DealScope sensitivity controls'!F8))="",FALSE,IF(ISERROR(10&gt;'DealScope sensitivity controls'!F8),10&gt;'DealScope sensitivity controls'!F8,IF('DealScope sensitivity controls'!F8="","",10&gt;'DealScope sensitivity controls'!F8))),IF('Model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controls'!F8)/'Model inputs'!B21,0),1),IF(IF(IF(ISERROR(10&gt;'DealScope sensitivity controls'!F8),10&gt;'DealScope sensitivity controls'!F8,IF('DealScope sensitivity controls'!F8="","",10&gt;'DealScope sensitivity controls'!F8))="",FALSE,IF(ISERROR(10&gt;'DealScope sensitivity controls'!F8),10&gt;'DealScope sensitivity controls'!F8,IF('DealScope sensitivity controls'!F8="","",10&gt;'DealScope sensitivity controls'!F8))),IF('Model inputs'!B43="","",'Model inputs'!B43),0)))</f>
      </c>
    </row>
    <row r="103">
      <c r="A103" t="inlineStr" s="16">
        <is>
          <t xml:space="preserve">Calculation</t>
        </is>
      </c>
      <c r="B103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controls'!F5)/'Model inputs'!B21,0),1),IF(IF(IF(ISERROR(1&gt;'DealScope sensitivity controls'!F5),1&gt;'DealScope sensitivity controls'!F5,IF('DealScope sensitivity controls'!F5="","",1&gt;'DealScope sensitivity controls'!F5))="",FALSE,IF(ISERROR(1&gt;'DealScope sensitivity controls'!F5),1&gt;'DealScope sensitivity controls'!F5,IF('DealScope sensitivity controls'!F5="","",1&gt;'DealScope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controls'!F5)/'Model inputs'!B21,0),1),IF(IF(IF(ISERROR(1&gt;'DealScope sensitivity controls'!F5),1&gt;'DealScope sensitivity controls'!F5,IF('DealScope sensitivity controls'!F5="","",1&gt;'DealScope sensitivity controls'!F5))="",FALSE,IF(ISERROR(1&gt;'DealScope sensitivity controls'!F5),1&gt;'DealScope sensitivity controls'!F5,IF('DealScope sensitivity controls'!F5="","",1&gt;'DealScope sensitivity controls'!F5))),IF('Model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controls'!F5)/'Model inputs'!B21,0),1),IF(IF(IF(ISERROR(2&gt;'DealScope sensitivity controls'!F5),2&gt;'DealScope sensitivity controls'!F5,IF('DealScope sensitivity controls'!F5="","",2&gt;'DealScope sensitivity controls'!F5))="",FALSE,IF(ISERROR(2&gt;'DealScope sensitivity controls'!F5),2&gt;'DealScope sensitivity controls'!F5,IF('DealScope sensitivity controls'!F5="","",2&gt;'DealScope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controls'!F5)/'Model inputs'!B21,0),1),IF(IF(IF(ISERROR(2&gt;'DealScope sensitivity controls'!F5),2&gt;'DealScope sensitivity controls'!F5,IF('DealScope sensitivity controls'!F5="","",2&gt;'DealScope sensitivity controls'!F5))="",FALSE,IF(ISERROR(2&gt;'DealScope sensitivity controls'!F5),2&gt;'DealScope sensitivity controls'!F5,IF('DealScope sensitivity controls'!F5="","",2&gt;'DealScope sensitivity controls'!F5))),IF('Model inputs'!B43="","",'Model inputs'!B43),0)))</f>
      </c>
    </row>
    <row r="104">
      <c r="A104" t="inlineStr" s="16">
        <is>
          <t xml:space="preserve">Calculation</t>
        </is>
      </c>
      <c r="B104">
        <f>'Model inputs'!B103+IF(IF(IF(IF(ISERROR('Model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controls'!F5)/'Model inputs'!B21,0),1),IF(IF(IF(ISERROR(3&gt;'DealScope sensitivity controls'!F5),3&gt;'DealScope sensitivity controls'!F5,IF('DealScope sensitivity controls'!F5="","",3&gt;'DealScope sensitivity controls'!F5))="",FALSE,IF(ISERROR(3&gt;'DealScope sensitivity controls'!F5),3&gt;'DealScope sensitivity controls'!F5,IF('DealScope sensitivity controls'!F5="","",3&gt;'DealScope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controls'!F5)/'Model inputs'!B21,0),1),IF(IF(IF(ISERROR(3&gt;'DealScope sensitivity controls'!F5),3&gt;'DealScope sensitivity controls'!F5,IF('DealScope sensitivity controls'!F5="","",3&gt;'DealScope sensitivity controls'!F5))="",FALSE,IF(ISERROR(3&gt;'DealScope sensitivity controls'!F5),3&gt;'DealScope sensitivity controls'!F5,IF('DealScope sensitivity controls'!F5="","",3&gt;'DealScope sensitivity controls'!F5))),IF('Model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controls'!F5)/'Model inputs'!B21,0),1),IF(IF(IF(ISERROR(4&gt;'DealScope sensitivity controls'!F5),4&gt;'DealScope sensitivity controls'!F5,IF('DealScope sensitivity controls'!F5="","",4&gt;'DealScope sensitivity controls'!F5))="",FALSE,IF(ISERROR(4&gt;'DealScope sensitivity controls'!F5),4&gt;'DealScope sensitivity controls'!F5,IF('DealScope sensitivity controls'!F5="","",4&gt;'DealScope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controls'!F5)/'Model inputs'!B21,0),1),IF(IF(IF(ISERROR(4&gt;'DealScope sensitivity controls'!F5),4&gt;'DealScope sensitivity controls'!F5,IF('DealScope sensitivity controls'!F5="","",4&gt;'DealScope sensitivity controls'!F5))="",FALSE,IF(ISERROR(4&gt;'DealScope sensitivity controls'!F5),4&gt;'DealScope sensitivity controls'!F5,IF('DealScope sensitivity controls'!F5="","",4&gt;'DealScope sensitivity controls'!F5))),IF('Model inputs'!B43="","",'Model inputs'!B43),0)))</f>
      </c>
    </row>
    <row r="105">
      <c r="A105" t="inlineStr" s="16">
        <is>
          <t xml:space="preserve">Calculation</t>
        </is>
      </c>
      <c r="B105">
        <f>'Model inputs'!B104+IF(IF(IF(IF(ISERROR('Model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controls'!F5)/'Model inputs'!B21,0),1),IF(IF(IF(ISERROR(5&gt;'DealScope sensitivity controls'!F5),5&gt;'DealScope sensitivity controls'!F5,IF('DealScope sensitivity controls'!F5="","",5&gt;'DealScope sensitivity controls'!F5))="",FALSE,IF(ISERROR(5&gt;'DealScope sensitivity controls'!F5),5&gt;'DealScope sensitivity controls'!F5,IF('DealScope sensitivity controls'!F5="","",5&gt;'DealScope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controls'!F5)/'Model inputs'!B21,0),1),IF(IF(IF(ISERROR(5&gt;'DealScope sensitivity controls'!F5),5&gt;'DealScope sensitivity controls'!F5,IF('DealScope sensitivity controls'!F5="","",5&gt;'DealScope sensitivity controls'!F5))="",FALSE,IF(ISERROR(5&gt;'DealScope sensitivity controls'!F5),5&gt;'DealScope sensitivity controls'!F5,IF('DealScope sensitivity controls'!F5="","",5&gt;'DealScope sensitivity controls'!F5))),IF('Model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controls'!F5)/'Model inputs'!B21,0),1),IF(IF(IF(ISERROR(6&gt;'DealScope sensitivity controls'!F5),6&gt;'DealScope sensitivity controls'!F5,IF('DealScope sensitivity controls'!F5="","",6&gt;'DealScope sensitivity controls'!F5))="",FALSE,IF(ISERROR(6&gt;'DealScope sensitivity controls'!F5),6&gt;'DealScope sensitivity controls'!F5,IF('DealScope sensitivity controls'!F5="","",6&gt;'DealScope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controls'!F5)/'Model inputs'!B21,0),1),IF(IF(IF(ISERROR(6&gt;'DealScope sensitivity controls'!F5),6&gt;'DealScope sensitivity controls'!F5,IF('DealScope sensitivity controls'!F5="","",6&gt;'DealScope sensitivity controls'!F5))="",FALSE,IF(ISERROR(6&gt;'DealScope sensitivity controls'!F5),6&gt;'DealScope sensitivity controls'!F5,IF('DealScope sensitivity controls'!F5="","",6&gt;'DealScope sensitivity controls'!F5))),IF('Model inputs'!B43="","",'Model inputs'!B43),0)))</f>
      </c>
    </row>
    <row r="106">
      <c r="A106" t="inlineStr" s="16">
        <is>
          <t xml:space="preserve">Calculation</t>
        </is>
      </c>
      <c r="B106">
        <f>'Model inputs'!B105+IF(IF(IF(IF(ISERROR('Model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controls'!F5)/'Model inputs'!B21,0),1),IF(IF(IF(ISERROR(7&gt;'DealScope sensitivity controls'!F5),7&gt;'DealScope sensitivity controls'!F5,IF('DealScope sensitivity controls'!F5="","",7&gt;'DealScope sensitivity controls'!F5))="",FALSE,IF(ISERROR(7&gt;'DealScope sensitivity controls'!F5),7&gt;'DealScope sensitivity controls'!F5,IF('DealScope sensitivity controls'!F5="","",7&gt;'DealScope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controls'!F5)/'Model inputs'!B21,0),1),IF(IF(IF(ISERROR(7&gt;'DealScope sensitivity controls'!F5),7&gt;'DealScope sensitivity controls'!F5,IF('DealScope sensitivity controls'!F5="","",7&gt;'DealScope sensitivity controls'!F5))="",FALSE,IF(ISERROR(7&gt;'DealScope sensitivity controls'!F5),7&gt;'DealScope sensitivity controls'!F5,IF('DealScope sensitivity controls'!F5="","",7&gt;'DealScope sensitivity controls'!F5))),IF('Model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controls'!F5)/'Model inputs'!B21,0),1),IF(IF(IF(ISERROR(8&gt;'DealScope sensitivity controls'!F5),8&gt;'DealScope sensitivity controls'!F5,IF('DealScope sensitivity controls'!F5="","",8&gt;'DealScope sensitivity controls'!F5))="",FALSE,IF(ISERROR(8&gt;'DealScope sensitivity controls'!F5),8&gt;'DealScope sensitivity controls'!F5,IF('DealScope sensitivity controls'!F5="","",8&gt;'DealScope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controls'!F5)/'Model inputs'!B21,0),1),IF(IF(IF(ISERROR(8&gt;'DealScope sensitivity controls'!F5),8&gt;'DealScope sensitivity controls'!F5,IF('DealScope sensitivity controls'!F5="","",8&gt;'DealScope sensitivity controls'!F5))="",FALSE,IF(ISERROR(8&gt;'DealScope sensitivity controls'!F5),8&gt;'DealScope sensitivity controls'!F5,IF('DealScope sensitivity controls'!F5="","",8&gt;'DealScope sensitivity controls'!F5))),IF('Model inputs'!B43="","",'Model inputs'!B43),0)))</f>
      </c>
    </row>
    <row r="107">
      <c r="A107" t="inlineStr" s="16">
        <is>
          <t xml:space="preserve">Calculation</t>
        </is>
      </c>
      <c r="B107">
        <f>'Model inputs'!B106+IF(IF(IF(IF(ISERROR('Model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controls'!F5)/'Model inputs'!B21,0),1),IF(IF(IF(ISERROR(9&gt;'DealScope sensitivity controls'!F5),9&gt;'DealScope sensitivity controls'!F5,IF('DealScope sensitivity controls'!F5="","",9&gt;'DealScope sensitivity controls'!F5))="",FALSE,IF(ISERROR(9&gt;'DealScope sensitivity controls'!F5),9&gt;'DealScope sensitivity controls'!F5,IF('DealScope sensitivity controls'!F5="","",9&gt;'DealScope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controls'!F5)/'Model inputs'!B21,0),1),IF(IF(IF(ISERROR(9&gt;'DealScope sensitivity controls'!F5),9&gt;'DealScope sensitivity controls'!F5,IF('DealScope sensitivity controls'!F5="","",9&gt;'DealScope sensitivity controls'!F5))="",FALSE,IF(ISERROR(9&gt;'DealScope sensitivity controls'!F5),9&gt;'DealScope sensitivity controls'!F5,IF('DealScope sensitivity controls'!F5="","",9&gt;'DealScope sensitivity controls'!F5))),IF('Model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controls'!F5)/'Model inputs'!B21,0),1),IF(IF(IF(ISERROR(10&gt;'DealScope sensitivity controls'!F5),10&gt;'DealScope sensitivity controls'!F5,IF('DealScope sensitivity controls'!F5="","",10&gt;'DealScope sensitivity controls'!F5))="",FALSE,IF(ISERROR(10&gt;'DealScope sensitivity controls'!F5),10&gt;'DealScope sensitivity controls'!F5,IF('DealScope sensitivity controls'!F5="","",10&gt;'DealScope sensitivity controls'!F5))),IF('Model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controls'!F5)/'Model inputs'!B21,0),1),IF(IF(IF(ISERROR(10&gt;'DealScope sensitivity controls'!F5),10&gt;'DealScope sensitivity controls'!F5,IF('DealScope sensitivity controls'!F5="","",10&gt;'DealScope sensitivity controls'!F5))="",FALSE,IF(ISERROR(10&gt;'DealScope sensitivity controls'!F5),10&gt;'DealScope sensitivity controls'!F5,IF('DealScope sensitivity controls'!F5="","",10&gt;'DealScope sensitivity controls'!F5))),IF('Model inputs'!B43="","",'Model inputs'!B43),0)))</f>
      </c>
    </row>
    <row r="108">
      <c r="A108" t="inlineStr" s="16">
        <is>
          <t xml:space="preserve">Calculation</t>
        </is>
      </c>
      <c r="B108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controls'!F15)/'Model inputs'!B21,0),1),IF(IF(IF(ISERROR(1&gt;'DealScope sensitivity controls'!F15),1&gt;'DealScope sensitivity controls'!F15,IF('DealScope sensitivity controls'!F15="","",1&gt;'DealScope sensitivity controls'!F15))="",FALSE,IF(ISERROR(1&gt;'DealScope sensitivity controls'!F15),1&gt;'DealScope sensitivity controls'!F15,IF('DealScope sensitivity controls'!F15="","",1&gt;'DealScope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controls'!F15)/'Model inputs'!B21,0),1),IF(IF(IF(ISERROR(1&gt;'DealScope sensitivity controls'!F15),1&gt;'DealScope sensitivity controls'!F15,IF('DealScope sensitivity controls'!F15="","",1&gt;'DealScope sensitivity controls'!F15))="",FALSE,IF(ISERROR(1&gt;'DealScope sensitivity controls'!F15),1&gt;'DealScope sensitivity controls'!F15,IF('DealScope sensitivity controls'!F15="","",1&gt;'DealScope sensitivity controls'!F15))),IF('Model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controls'!F15)/'Model inputs'!B21,0),1),IF(IF(IF(ISERROR(2&gt;'DealScope sensitivity controls'!F15),2&gt;'DealScope sensitivity controls'!F15,IF('DealScope sensitivity controls'!F15="","",2&gt;'DealScope sensitivity controls'!F15))="",FALSE,IF(ISERROR(2&gt;'DealScope sensitivity controls'!F15),2&gt;'DealScope sensitivity controls'!F15,IF('DealScope sensitivity controls'!F15="","",2&gt;'DealScope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controls'!F15)/'Model inputs'!B21,0),1),IF(IF(IF(ISERROR(2&gt;'DealScope sensitivity controls'!F15),2&gt;'DealScope sensitivity controls'!F15,IF('DealScope sensitivity controls'!F15="","",2&gt;'DealScope sensitivity controls'!F15))="",FALSE,IF(ISERROR(2&gt;'DealScope sensitivity controls'!F15),2&gt;'DealScope sensitivity controls'!F15,IF('DealScope sensitivity controls'!F15="","",2&gt;'DealScope sensitivity controls'!F15))),IF('Model inputs'!B43="","",'Model inputs'!B43),0)))</f>
      </c>
    </row>
    <row r="109">
      <c r="A109" t="inlineStr" s="16">
        <is>
          <t xml:space="preserve">Calculation</t>
        </is>
      </c>
      <c r="B109">
        <f>'Model inputs'!B108+IF(IF(IF(IF(ISERROR('Model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controls'!F15)/'Model inputs'!B21,0),1),IF(IF(IF(ISERROR(3&gt;'DealScope sensitivity controls'!F15),3&gt;'DealScope sensitivity controls'!F15,IF('DealScope sensitivity controls'!F15="","",3&gt;'DealScope sensitivity controls'!F15))="",FALSE,IF(ISERROR(3&gt;'DealScope sensitivity controls'!F15),3&gt;'DealScope sensitivity controls'!F15,IF('DealScope sensitivity controls'!F15="","",3&gt;'DealScope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controls'!F15)/'Model inputs'!B21,0),1),IF(IF(IF(ISERROR(3&gt;'DealScope sensitivity controls'!F15),3&gt;'DealScope sensitivity controls'!F15,IF('DealScope sensitivity controls'!F15="","",3&gt;'DealScope sensitivity controls'!F15))="",FALSE,IF(ISERROR(3&gt;'DealScope sensitivity controls'!F15),3&gt;'DealScope sensitivity controls'!F15,IF('DealScope sensitivity controls'!F15="","",3&gt;'DealScope sensitivity controls'!F15))),IF('Model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controls'!F15)/'Model inputs'!B21,0),1),IF(IF(IF(ISERROR(4&gt;'DealScope sensitivity controls'!F15),4&gt;'DealScope sensitivity controls'!F15,IF('DealScope sensitivity controls'!F15="","",4&gt;'DealScope sensitivity controls'!F15))="",FALSE,IF(ISERROR(4&gt;'DealScope sensitivity controls'!F15),4&gt;'DealScope sensitivity controls'!F15,IF('DealScope sensitivity controls'!F15="","",4&gt;'DealScope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controls'!F15)/'Model inputs'!B21,0),1),IF(IF(IF(ISERROR(4&gt;'DealScope sensitivity controls'!F15),4&gt;'DealScope sensitivity controls'!F15,IF('DealScope sensitivity controls'!F15="","",4&gt;'DealScope sensitivity controls'!F15))="",FALSE,IF(ISERROR(4&gt;'DealScope sensitivity controls'!F15),4&gt;'DealScope sensitivity controls'!F15,IF('DealScope sensitivity controls'!F15="","",4&gt;'DealScope sensitivity controls'!F15))),IF('Model inputs'!B43="","",'Model inputs'!B43),0)))</f>
      </c>
    </row>
    <row r="110">
      <c r="A110" t="inlineStr" s="16">
        <is>
          <t xml:space="preserve">Calculation</t>
        </is>
      </c>
      <c r="B110">
        <f>'Model inputs'!B109+IF(IF(IF(IF(ISERROR('Model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controls'!F15)/'Model inputs'!B21,0),1),IF(IF(IF(ISERROR(5&gt;'DealScope sensitivity controls'!F15),5&gt;'DealScope sensitivity controls'!F15,IF('DealScope sensitivity controls'!F15="","",5&gt;'DealScope sensitivity controls'!F15))="",FALSE,IF(ISERROR(5&gt;'DealScope sensitivity controls'!F15),5&gt;'DealScope sensitivity controls'!F15,IF('DealScope sensitivity controls'!F15="","",5&gt;'DealScope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controls'!F15)/'Model inputs'!B21,0),1),IF(IF(IF(ISERROR(5&gt;'DealScope sensitivity controls'!F15),5&gt;'DealScope sensitivity controls'!F15,IF('DealScope sensitivity controls'!F15="","",5&gt;'DealScope sensitivity controls'!F15))="",FALSE,IF(ISERROR(5&gt;'DealScope sensitivity controls'!F15),5&gt;'DealScope sensitivity controls'!F15,IF('DealScope sensitivity controls'!F15="","",5&gt;'DealScope sensitivity controls'!F15))),IF('Model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controls'!F15)/'Model inputs'!B21,0),1),IF(IF(IF(ISERROR(6&gt;'DealScope sensitivity controls'!F15),6&gt;'DealScope sensitivity controls'!F15,IF('DealScope sensitivity controls'!F15="","",6&gt;'DealScope sensitivity controls'!F15))="",FALSE,IF(ISERROR(6&gt;'DealScope sensitivity controls'!F15),6&gt;'DealScope sensitivity controls'!F15,IF('DealScope sensitivity controls'!F15="","",6&gt;'DealScope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controls'!F15)/'Model inputs'!B21,0),1),IF(IF(IF(ISERROR(6&gt;'DealScope sensitivity controls'!F15),6&gt;'DealScope sensitivity controls'!F15,IF('DealScope sensitivity controls'!F15="","",6&gt;'DealScope sensitivity controls'!F15))="",FALSE,IF(ISERROR(6&gt;'DealScope sensitivity controls'!F15),6&gt;'DealScope sensitivity controls'!F15,IF('DealScope sensitivity controls'!F15="","",6&gt;'DealScope sensitivity controls'!F15))),IF('Model inputs'!B43="","",'Model inputs'!B43),0)))</f>
      </c>
    </row>
    <row r="111">
      <c r="A111" t="inlineStr" s="16">
        <is>
          <t xml:space="preserve">Calculation</t>
        </is>
      </c>
      <c r="B111">
        <f>'Model inputs'!B110+IF(IF(IF(IF(ISERROR('Model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controls'!F15)/'Model inputs'!B21,0),1),IF(IF(IF(ISERROR(7&gt;'DealScope sensitivity controls'!F15),7&gt;'DealScope sensitivity controls'!F15,IF('DealScope sensitivity controls'!F15="","",7&gt;'DealScope sensitivity controls'!F15))="",FALSE,IF(ISERROR(7&gt;'DealScope sensitivity controls'!F15),7&gt;'DealScope sensitivity controls'!F15,IF('DealScope sensitivity controls'!F15="","",7&gt;'DealScope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controls'!F15)/'Model inputs'!B21,0),1),IF(IF(IF(ISERROR(7&gt;'DealScope sensitivity controls'!F15),7&gt;'DealScope sensitivity controls'!F15,IF('DealScope sensitivity controls'!F15="","",7&gt;'DealScope sensitivity controls'!F15))="",FALSE,IF(ISERROR(7&gt;'DealScope sensitivity controls'!F15),7&gt;'DealScope sensitivity controls'!F15,IF('DealScope sensitivity controls'!F15="","",7&gt;'DealScope sensitivity controls'!F15))),IF('Model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controls'!F15)/'Model inputs'!B21,0),1),IF(IF(IF(ISERROR(8&gt;'DealScope sensitivity controls'!F15),8&gt;'DealScope sensitivity controls'!F15,IF('DealScope sensitivity controls'!F15="","",8&gt;'DealScope sensitivity controls'!F15))="",FALSE,IF(ISERROR(8&gt;'DealScope sensitivity controls'!F15),8&gt;'DealScope sensitivity controls'!F15,IF('DealScope sensitivity controls'!F15="","",8&gt;'DealScope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controls'!F15)/'Model inputs'!B21,0),1),IF(IF(IF(ISERROR(8&gt;'DealScope sensitivity controls'!F15),8&gt;'DealScope sensitivity controls'!F15,IF('DealScope sensitivity controls'!F15="","",8&gt;'DealScope sensitivity controls'!F15))="",FALSE,IF(ISERROR(8&gt;'DealScope sensitivity controls'!F15),8&gt;'DealScope sensitivity controls'!F15,IF('DealScope sensitivity controls'!F15="","",8&gt;'DealScope sensitivity controls'!F15))),IF('Model inputs'!B43="","",'Model inputs'!B43),0)))</f>
      </c>
    </row>
    <row r="112">
      <c r="A112" t="inlineStr" s="16">
        <is>
          <t xml:space="preserve">Calculation</t>
        </is>
      </c>
      <c r="B112">
        <f>'Model inputs'!B111+IF(IF(IF(IF(ISERROR('Model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controls'!F15)/'Model inputs'!B21,0),1),IF(IF(IF(ISERROR(9&gt;'DealScope sensitivity controls'!F15),9&gt;'DealScope sensitivity controls'!F15,IF('DealScope sensitivity controls'!F15="","",9&gt;'DealScope sensitivity controls'!F15))="",FALSE,IF(ISERROR(9&gt;'DealScope sensitivity controls'!F15),9&gt;'DealScope sensitivity controls'!F15,IF('DealScope sensitivity controls'!F15="","",9&gt;'DealScope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controls'!F15)/'Model inputs'!B21,0),1),IF(IF(IF(ISERROR(9&gt;'DealScope sensitivity controls'!F15),9&gt;'DealScope sensitivity controls'!F15,IF('DealScope sensitivity controls'!F15="","",9&gt;'DealScope sensitivity controls'!F15))="",FALSE,IF(ISERROR(9&gt;'DealScope sensitivity controls'!F15),9&gt;'DealScope sensitivity controls'!F15,IF('DealScope sensitivity controls'!F15="","",9&gt;'DealScope sensitivity controls'!F15))),IF('Model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controls'!F15)/'Model inputs'!B21,0),1),IF(IF(IF(ISERROR(10&gt;'DealScope sensitivity controls'!F15),10&gt;'DealScope sensitivity controls'!F15,IF('DealScope sensitivity controls'!F15="","",10&gt;'DealScope sensitivity controls'!F15))="",FALSE,IF(ISERROR(10&gt;'DealScope sensitivity controls'!F15),10&gt;'DealScope sensitivity controls'!F15,IF('DealScope sensitivity controls'!F15="","",10&gt;'DealScope sensitivity controls'!F15))),IF('Model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controls'!F15)/'Model inputs'!B21,0),1),IF(IF(IF(ISERROR(10&gt;'DealScope sensitivity controls'!F15),10&gt;'DealScope sensitivity controls'!F15,IF('DealScope sensitivity controls'!F15="","",10&gt;'DealScope sensitivity controls'!F15))="",FALSE,IF(ISERROR(10&gt;'DealScope sensitivity controls'!F15),10&gt;'DealScope sensitivity controls'!F15,IF('DealScope sensitivity controls'!F15="","",10&gt;'DealScope sensitivity controls'!F15))),IF('Model inputs'!B43="","",'Model inputs'!B43),0)))</f>
      </c>
    </row>
    <row r="113">
      <c r="A113" t="inlineStr" s="16">
        <is>
          <t xml:space="preserve">Calculation</t>
        </is>
      </c>
      <c r="B113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controls'!F16)/'Model inputs'!B21,0),1),IF(IF(IF(ISERROR(1&gt;'DealScope sensitivity controls'!F16),1&gt;'DealScope sensitivity controls'!F16,IF('DealScope sensitivity controls'!F16="","",1&gt;'DealScope sensitivity controls'!F16))="",FALSE,IF(ISERROR(1&gt;'DealScope sensitivity controls'!F16),1&gt;'DealScope sensitivity controls'!F16,IF('DealScope sensitivity controls'!F16="","",1&gt;'DealScope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controls'!F16)/'Model inputs'!B21,0),1),IF(IF(IF(ISERROR(1&gt;'DealScope sensitivity controls'!F16),1&gt;'DealScope sensitivity controls'!F16,IF('DealScope sensitivity controls'!F16="","",1&gt;'DealScope sensitivity controls'!F16))="",FALSE,IF(ISERROR(1&gt;'DealScope sensitivity controls'!F16),1&gt;'DealScope sensitivity controls'!F16,IF('DealScope sensitivity controls'!F16="","",1&gt;'DealScope sensitivity controls'!F16))),IF('Model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controls'!F16)/'Model inputs'!B21,0),1),IF(IF(IF(ISERROR(2&gt;'DealScope sensitivity controls'!F16),2&gt;'DealScope sensitivity controls'!F16,IF('DealScope sensitivity controls'!F16="","",2&gt;'DealScope sensitivity controls'!F16))="",FALSE,IF(ISERROR(2&gt;'DealScope sensitivity controls'!F16),2&gt;'DealScope sensitivity controls'!F16,IF('DealScope sensitivity controls'!F16="","",2&gt;'DealScope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controls'!F16)/'Model inputs'!B21,0),1),IF(IF(IF(ISERROR(2&gt;'DealScope sensitivity controls'!F16),2&gt;'DealScope sensitivity controls'!F16,IF('DealScope sensitivity controls'!F16="","",2&gt;'DealScope sensitivity controls'!F16))="",FALSE,IF(ISERROR(2&gt;'DealScope sensitivity controls'!F16),2&gt;'DealScope sensitivity controls'!F16,IF('DealScope sensitivity controls'!F16="","",2&gt;'DealScope sensitivity controls'!F16))),IF('Model inputs'!B43="","",'Model inputs'!B43),0)))</f>
      </c>
    </row>
    <row r="114">
      <c r="A114" t="inlineStr" s="16">
        <is>
          <t xml:space="preserve">Calculation</t>
        </is>
      </c>
      <c r="B114">
        <f>'Model inputs'!B113+IF(IF(IF(IF(ISERROR('Model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controls'!F16)/'Model inputs'!B21,0),1),IF(IF(IF(ISERROR(3&gt;'DealScope sensitivity controls'!F16),3&gt;'DealScope sensitivity controls'!F16,IF('DealScope sensitivity controls'!F16="","",3&gt;'DealScope sensitivity controls'!F16))="",FALSE,IF(ISERROR(3&gt;'DealScope sensitivity controls'!F16),3&gt;'DealScope sensitivity controls'!F16,IF('DealScope sensitivity controls'!F16="","",3&gt;'DealScope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controls'!F16)/'Model inputs'!B21,0),1),IF(IF(IF(ISERROR(3&gt;'DealScope sensitivity controls'!F16),3&gt;'DealScope sensitivity controls'!F16,IF('DealScope sensitivity controls'!F16="","",3&gt;'DealScope sensitivity controls'!F16))="",FALSE,IF(ISERROR(3&gt;'DealScope sensitivity controls'!F16),3&gt;'DealScope sensitivity controls'!F16,IF('DealScope sensitivity controls'!F16="","",3&gt;'DealScope sensitivity controls'!F16))),IF('Model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controls'!F16)/'Model inputs'!B21,0),1),IF(IF(IF(ISERROR(4&gt;'DealScope sensitivity controls'!F16),4&gt;'DealScope sensitivity controls'!F16,IF('DealScope sensitivity controls'!F16="","",4&gt;'DealScope sensitivity controls'!F16))="",FALSE,IF(ISERROR(4&gt;'DealScope sensitivity controls'!F16),4&gt;'DealScope sensitivity controls'!F16,IF('DealScope sensitivity controls'!F16="","",4&gt;'DealScope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controls'!F16)/'Model inputs'!B21,0),1),IF(IF(IF(ISERROR(4&gt;'DealScope sensitivity controls'!F16),4&gt;'DealScope sensitivity controls'!F16,IF('DealScope sensitivity controls'!F16="","",4&gt;'DealScope sensitivity controls'!F16))="",FALSE,IF(ISERROR(4&gt;'DealScope sensitivity controls'!F16),4&gt;'DealScope sensitivity controls'!F16,IF('DealScope sensitivity controls'!F16="","",4&gt;'DealScope sensitivity controls'!F16))),IF('Model inputs'!B43="","",'Model inputs'!B43),0)))</f>
      </c>
    </row>
    <row r="115">
      <c r="A115" t="inlineStr" s="16">
        <is>
          <t xml:space="preserve">Calculation</t>
        </is>
      </c>
      <c r="B115">
        <f>'Model inputs'!B114+IF(IF(IF(IF(ISERROR('Model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controls'!F16)/'Model inputs'!B21,0),1),IF(IF(IF(ISERROR(5&gt;'DealScope sensitivity controls'!F16),5&gt;'DealScope sensitivity controls'!F16,IF('DealScope sensitivity controls'!F16="","",5&gt;'DealScope sensitivity controls'!F16))="",FALSE,IF(ISERROR(5&gt;'DealScope sensitivity controls'!F16),5&gt;'DealScope sensitivity controls'!F16,IF('DealScope sensitivity controls'!F16="","",5&gt;'DealScope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controls'!F16)/'Model inputs'!B21,0),1),IF(IF(IF(ISERROR(5&gt;'DealScope sensitivity controls'!F16),5&gt;'DealScope sensitivity controls'!F16,IF('DealScope sensitivity controls'!F16="","",5&gt;'DealScope sensitivity controls'!F16))="",FALSE,IF(ISERROR(5&gt;'DealScope sensitivity controls'!F16),5&gt;'DealScope sensitivity controls'!F16,IF('DealScope sensitivity controls'!F16="","",5&gt;'DealScope sensitivity controls'!F16))),IF('Model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controls'!F16)/'Model inputs'!B21,0),1),IF(IF(IF(ISERROR(6&gt;'DealScope sensitivity controls'!F16),6&gt;'DealScope sensitivity controls'!F16,IF('DealScope sensitivity controls'!F16="","",6&gt;'DealScope sensitivity controls'!F16))="",FALSE,IF(ISERROR(6&gt;'DealScope sensitivity controls'!F16),6&gt;'DealScope sensitivity controls'!F16,IF('DealScope sensitivity controls'!F16="","",6&gt;'DealScope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controls'!F16)/'Model inputs'!B21,0),1),IF(IF(IF(ISERROR(6&gt;'DealScope sensitivity controls'!F16),6&gt;'DealScope sensitivity controls'!F16,IF('DealScope sensitivity controls'!F16="","",6&gt;'DealScope sensitivity controls'!F16))="",FALSE,IF(ISERROR(6&gt;'DealScope sensitivity controls'!F16),6&gt;'DealScope sensitivity controls'!F16,IF('DealScope sensitivity controls'!F16="","",6&gt;'DealScope sensitivity controls'!F16))),IF('Model inputs'!B43="","",'Model inputs'!B43),0)))</f>
      </c>
    </row>
    <row r="116">
      <c r="A116" t="inlineStr" s="16">
        <is>
          <t xml:space="preserve">Calculation</t>
        </is>
      </c>
      <c r="B116">
        <f>'Model inputs'!B115+IF(IF(IF(IF(ISERROR('Model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controls'!F16)/'Model inputs'!B21,0),1),IF(IF(IF(ISERROR(7&gt;'DealScope sensitivity controls'!F16),7&gt;'DealScope sensitivity controls'!F16,IF('DealScope sensitivity controls'!F16="","",7&gt;'DealScope sensitivity controls'!F16))="",FALSE,IF(ISERROR(7&gt;'DealScope sensitivity controls'!F16),7&gt;'DealScope sensitivity controls'!F16,IF('DealScope sensitivity controls'!F16="","",7&gt;'DealScope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controls'!F16)/'Model inputs'!B21,0),1),IF(IF(IF(ISERROR(7&gt;'DealScope sensitivity controls'!F16),7&gt;'DealScope sensitivity controls'!F16,IF('DealScope sensitivity controls'!F16="","",7&gt;'DealScope sensitivity controls'!F16))="",FALSE,IF(ISERROR(7&gt;'DealScope sensitivity controls'!F16),7&gt;'DealScope sensitivity controls'!F16,IF('DealScope sensitivity controls'!F16="","",7&gt;'DealScope sensitivity controls'!F16))),IF('Model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controls'!F16)/'Model inputs'!B21,0),1),IF(IF(IF(ISERROR(8&gt;'DealScope sensitivity controls'!F16),8&gt;'DealScope sensitivity controls'!F16,IF('DealScope sensitivity controls'!F16="","",8&gt;'DealScope sensitivity controls'!F16))="",FALSE,IF(ISERROR(8&gt;'DealScope sensitivity controls'!F16),8&gt;'DealScope sensitivity controls'!F16,IF('DealScope sensitivity controls'!F16="","",8&gt;'DealScope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controls'!F16)/'Model inputs'!B21,0),1),IF(IF(IF(ISERROR(8&gt;'DealScope sensitivity controls'!F16),8&gt;'DealScope sensitivity controls'!F16,IF('DealScope sensitivity controls'!F16="","",8&gt;'DealScope sensitivity controls'!F16))="",FALSE,IF(ISERROR(8&gt;'DealScope sensitivity controls'!F16),8&gt;'DealScope sensitivity controls'!F16,IF('DealScope sensitivity controls'!F16="","",8&gt;'DealScope sensitivity controls'!F16))),IF('Model inputs'!B43="","",'Model inputs'!B43),0)))</f>
      </c>
    </row>
    <row r="117">
      <c r="A117" t="inlineStr" s="16">
        <is>
          <t xml:space="preserve">Calculation</t>
        </is>
      </c>
      <c r="B117">
        <f>'Model inputs'!B116+IF(IF(IF(IF(ISERROR('Model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controls'!F16)/'Model inputs'!B21,0),1),IF(IF(IF(ISERROR(9&gt;'DealScope sensitivity controls'!F16),9&gt;'DealScope sensitivity controls'!F16,IF('DealScope sensitivity controls'!F16="","",9&gt;'DealScope sensitivity controls'!F16))="",FALSE,IF(ISERROR(9&gt;'DealScope sensitivity controls'!F16),9&gt;'DealScope sensitivity controls'!F16,IF('DealScope sensitivity controls'!F16="","",9&gt;'DealScope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controls'!F16)/'Model inputs'!B21,0),1),IF(IF(IF(ISERROR(9&gt;'DealScope sensitivity controls'!F16),9&gt;'DealScope sensitivity controls'!F16,IF('DealScope sensitivity controls'!F16="","",9&gt;'DealScope sensitivity controls'!F16))="",FALSE,IF(ISERROR(9&gt;'DealScope sensitivity controls'!F16),9&gt;'DealScope sensitivity controls'!F16,IF('DealScope sensitivity controls'!F16="","",9&gt;'DealScope sensitivity controls'!F16))),IF('Model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controls'!F16)/'Model inputs'!B21,0),1),IF(IF(IF(ISERROR(10&gt;'DealScope sensitivity controls'!F16),10&gt;'DealScope sensitivity controls'!F16,IF('DealScope sensitivity controls'!F16="","",10&gt;'DealScope sensitivity controls'!F16))="",FALSE,IF(ISERROR(10&gt;'DealScope sensitivity controls'!F16),10&gt;'DealScope sensitivity controls'!F16,IF('DealScope sensitivity controls'!F16="","",10&gt;'DealScope sensitivity controls'!F16))),IF('Model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controls'!F16)/'Model inputs'!B21,0),1),IF(IF(IF(ISERROR(10&gt;'DealScope sensitivity controls'!F16),10&gt;'DealScope sensitivity controls'!F16,IF('DealScope sensitivity controls'!F16="","",10&gt;'DealScope sensitivity controls'!F16))="",FALSE,IF(ISERROR(10&gt;'DealScope sensitivity controls'!F16),10&gt;'DealScope sensitivity controls'!F16,IF('DealScope sensitivity controls'!F16="","",10&gt;'DealScope sensitivity controls'!F16))),IF('Model inputs'!B43="","",'Model inputs'!B43),0)))</f>
      </c>
    </row>
    <row r="118">
      <c r="A118" t="inlineStr" s="16">
        <is>
          <t xml:space="preserve">Calculation</t>
        </is>
      </c>
      <c r="B118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controls'!F17)/'Model inputs'!B21,0),1),IF(IF(IF(ISERROR(1&gt;'DealScope sensitivity controls'!F17),1&gt;'DealScope sensitivity controls'!F17,IF('DealScope sensitivity controls'!F17="","",1&gt;'DealScope sensitivity controls'!F17))="",FALSE,IF(ISERROR(1&gt;'DealScope sensitivity controls'!F17),1&gt;'DealScope sensitivity controls'!F17,IF('DealScope sensitivity controls'!F17="","",1&gt;'DealScope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controls'!F17)/'Model inputs'!B21,0),1),IF(IF(IF(ISERROR(1&gt;'DealScope sensitivity controls'!F17),1&gt;'DealScope sensitivity controls'!F17,IF('DealScope sensitivity controls'!F17="","",1&gt;'DealScope sensitivity controls'!F17))="",FALSE,IF(ISERROR(1&gt;'DealScope sensitivity controls'!F17),1&gt;'DealScope sensitivity controls'!F17,IF('DealScope sensitivity controls'!F17="","",1&gt;'DealScope sensitivity controls'!F17))),IF('Model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controls'!F17)/'Model inputs'!B21,0),1),IF(IF(IF(ISERROR(2&gt;'DealScope sensitivity controls'!F17),2&gt;'DealScope sensitivity controls'!F17,IF('DealScope sensitivity controls'!F17="","",2&gt;'DealScope sensitivity controls'!F17))="",FALSE,IF(ISERROR(2&gt;'DealScope sensitivity controls'!F17),2&gt;'DealScope sensitivity controls'!F17,IF('DealScope sensitivity controls'!F17="","",2&gt;'DealScope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controls'!F17)/'Model inputs'!B21,0),1),IF(IF(IF(ISERROR(2&gt;'DealScope sensitivity controls'!F17),2&gt;'DealScope sensitivity controls'!F17,IF('DealScope sensitivity controls'!F17="","",2&gt;'DealScope sensitivity controls'!F17))="",FALSE,IF(ISERROR(2&gt;'DealScope sensitivity controls'!F17),2&gt;'DealScope sensitivity controls'!F17,IF('DealScope sensitivity controls'!F17="","",2&gt;'DealScope sensitivity controls'!F17))),IF('Model inputs'!B43="","",'Model inputs'!B43),0)))</f>
      </c>
    </row>
    <row r="119">
      <c r="A119" t="inlineStr" s="16">
        <is>
          <t xml:space="preserve">Calculation</t>
        </is>
      </c>
      <c r="B119">
        <f>'Model inputs'!B118+IF(IF(IF(IF(ISERROR('Model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controls'!F17)/'Model inputs'!B21,0),1),IF(IF(IF(ISERROR(3&gt;'DealScope sensitivity controls'!F17),3&gt;'DealScope sensitivity controls'!F17,IF('DealScope sensitivity controls'!F17="","",3&gt;'DealScope sensitivity controls'!F17))="",FALSE,IF(ISERROR(3&gt;'DealScope sensitivity controls'!F17),3&gt;'DealScope sensitivity controls'!F17,IF('DealScope sensitivity controls'!F17="","",3&gt;'DealScope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controls'!F17)/'Model inputs'!B21,0),1),IF(IF(IF(ISERROR(3&gt;'DealScope sensitivity controls'!F17),3&gt;'DealScope sensitivity controls'!F17,IF('DealScope sensitivity controls'!F17="","",3&gt;'DealScope sensitivity controls'!F17))="",FALSE,IF(ISERROR(3&gt;'DealScope sensitivity controls'!F17),3&gt;'DealScope sensitivity controls'!F17,IF('DealScope sensitivity controls'!F17="","",3&gt;'DealScope sensitivity controls'!F17))),IF('Model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controls'!F17)/'Model inputs'!B21,0),1),IF(IF(IF(ISERROR(4&gt;'DealScope sensitivity controls'!F17),4&gt;'DealScope sensitivity controls'!F17,IF('DealScope sensitivity controls'!F17="","",4&gt;'DealScope sensitivity controls'!F17))="",FALSE,IF(ISERROR(4&gt;'DealScope sensitivity controls'!F17),4&gt;'DealScope sensitivity controls'!F17,IF('DealScope sensitivity controls'!F17="","",4&gt;'DealScope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controls'!F17)/'Model inputs'!B21,0),1),IF(IF(IF(ISERROR(4&gt;'DealScope sensitivity controls'!F17),4&gt;'DealScope sensitivity controls'!F17,IF('DealScope sensitivity controls'!F17="","",4&gt;'DealScope sensitivity controls'!F17))="",FALSE,IF(ISERROR(4&gt;'DealScope sensitivity controls'!F17),4&gt;'DealScope sensitivity controls'!F17,IF('DealScope sensitivity controls'!F17="","",4&gt;'DealScope sensitivity controls'!F17))),IF('Model inputs'!B43="","",'Model inputs'!B43),0)))</f>
      </c>
    </row>
    <row r="120">
      <c r="A120" t="inlineStr" s="16">
        <is>
          <t xml:space="preserve">Calculation</t>
        </is>
      </c>
      <c r="B120">
        <f>'Model inputs'!B119+IF(IF(IF(IF(ISERROR('Model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controls'!F17)/'Model inputs'!B21,0),1),IF(IF(IF(ISERROR(5&gt;'DealScope sensitivity controls'!F17),5&gt;'DealScope sensitivity controls'!F17,IF('DealScope sensitivity controls'!F17="","",5&gt;'DealScope sensitivity controls'!F17))="",FALSE,IF(ISERROR(5&gt;'DealScope sensitivity controls'!F17),5&gt;'DealScope sensitivity controls'!F17,IF('DealScope sensitivity controls'!F17="","",5&gt;'DealScope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controls'!F17)/'Model inputs'!B21,0),1),IF(IF(IF(ISERROR(5&gt;'DealScope sensitivity controls'!F17),5&gt;'DealScope sensitivity controls'!F17,IF('DealScope sensitivity controls'!F17="","",5&gt;'DealScope sensitivity controls'!F17))="",FALSE,IF(ISERROR(5&gt;'DealScope sensitivity controls'!F17),5&gt;'DealScope sensitivity controls'!F17,IF('DealScope sensitivity controls'!F17="","",5&gt;'DealScope sensitivity controls'!F17))),IF('Model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controls'!F17)/'Model inputs'!B21,0),1),IF(IF(IF(ISERROR(6&gt;'DealScope sensitivity controls'!F17),6&gt;'DealScope sensitivity controls'!F17,IF('DealScope sensitivity controls'!F17="","",6&gt;'DealScope sensitivity controls'!F17))="",FALSE,IF(ISERROR(6&gt;'DealScope sensitivity controls'!F17),6&gt;'DealScope sensitivity controls'!F17,IF('DealScope sensitivity controls'!F17="","",6&gt;'DealScope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controls'!F17)/'Model inputs'!B21,0),1),IF(IF(IF(ISERROR(6&gt;'DealScope sensitivity controls'!F17),6&gt;'DealScope sensitivity controls'!F17,IF('DealScope sensitivity controls'!F17="","",6&gt;'DealScope sensitivity controls'!F17))="",FALSE,IF(ISERROR(6&gt;'DealScope sensitivity controls'!F17),6&gt;'DealScope sensitivity controls'!F17,IF('DealScope sensitivity controls'!F17="","",6&gt;'DealScope sensitivity controls'!F17))),IF('Model inputs'!B43="","",'Model inputs'!B43),0)))</f>
      </c>
    </row>
    <row r="121">
      <c r="A121" t="inlineStr" s="16">
        <is>
          <t xml:space="preserve">Calculation</t>
        </is>
      </c>
      <c r="B121">
        <f>'Model inputs'!B120+IF(IF(IF(IF(ISERROR('Model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controls'!F17)/'Model inputs'!B21,0),1),IF(IF(IF(ISERROR(7&gt;'DealScope sensitivity controls'!F17),7&gt;'DealScope sensitivity controls'!F17,IF('DealScope sensitivity controls'!F17="","",7&gt;'DealScope sensitivity controls'!F17))="",FALSE,IF(ISERROR(7&gt;'DealScope sensitivity controls'!F17),7&gt;'DealScope sensitivity controls'!F17,IF('DealScope sensitivity controls'!F17="","",7&gt;'DealScope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controls'!F17)/'Model inputs'!B21,0),1),IF(IF(IF(ISERROR(7&gt;'DealScope sensitivity controls'!F17),7&gt;'DealScope sensitivity controls'!F17,IF('DealScope sensitivity controls'!F17="","",7&gt;'DealScope sensitivity controls'!F17))="",FALSE,IF(ISERROR(7&gt;'DealScope sensitivity controls'!F17),7&gt;'DealScope sensitivity controls'!F17,IF('DealScope sensitivity controls'!F17="","",7&gt;'DealScope sensitivity controls'!F17))),IF('Model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controls'!F17)/'Model inputs'!B21,0),1),IF(IF(IF(ISERROR(8&gt;'DealScope sensitivity controls'!F17),8&gt;'DealScope sensitivity controls'!F17,IF('DealScope sensitivity controls'!F17="","",8&gt;'DealScope sensitivity controls'!F17))="",FALSE,IF(ISERROR(8&gt;'DealScope sensitivity controls'!F17),8&gt;'DealScope sensitivity controls'!F17,IF('DealScope sensitivity controls'!F17="","",8&gt;'DealScope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controls'!F17)/'Model inputs'!B21,0),1),IF(IF(IF(ISERROR(8&gt;'DealScope sensitivity controls'!F17),8&gt;'DealScope sensitivity controls'!F17,IF('DealScope sensitivity controls'!F17="","",8&gt;'DealScope sensitivity controls'!F17))="",FALSE,IF(ISERROR(8&gt;'DealScope sensitivity controls'!F17),8&gt;'DealScope sensitivity controls'!F17,IF('DealScope sensitivity controls'!F17="","",8&gt;'DealScope sensitivity controls'!F17))),IF('Model inputs'!B43="","",'Model inputs'!B43),0)))</f>
      </c>
    </row>
    <row r="122">
      <c r="A122" t="inlineStr" s="16">
        <is>
          <t xml:space="preserve">Calculation</t>
        </is>
      </c>
      <c r="B122">
        <f>'Model inputs'!B121+IF(IF(IF(IF(ISERROR('Model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controls'!F17)/'Model inputs'!B21,0),1),IF(IF(IF(ISERROR(9&gt;'DealScope sensitivity controls'!F17),9&gt;'DealScope sensitivity controls'!F17,IF('DealScope sensitivity controls'!F17="","",9&gt;'DealScope sensitivity controls'!F17))="",FALSE,IF(ISERROR(9&gt;'DealScope sensitivity controls'!F17),9&gt;'DealScope sensitivity controls'!F17,IF('DealScope sensitivity controls'!F17="","",9&gt;'DealScope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controls'!F17)/'Model inputs'!B21,0),1),IF(IF(IF(ISERROR(9&gt;'DealScope sensitivity controls'!F17),9&gt;'DealScope sensitivity controls'!F17,IF('DealScope sensitivity controls'!F17="","",9&gt;'DealScope sensitivity controls'!F17))="",FALSE,IF(ISERROR(9&gt;'DealScope sensitivity controls'!F17),9&gt;'DealScope sensitivity controls'!F17,IF('DealScope sensitivity controls'!F17="","",9&gt;'DealScope sensitivity controls'!F17))),IF('Model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controls'!F17)/'Model inputs'!B21,0),1),IF(IF(IF(ISERROR(10&gt;'DealScope sensitivity controls'!F17),10&gt;'DealScope sensitivity controls'!F17,IF('DealScope sensitivity controls'!F17="","",10&gt;'DealScope sensitivity controls'!F17))="",FALSE,IF(ISERROR(10&gt;'DealScope sensitivity controls'!F17),10&gt;'DealScope sensitivity controls'!F17,IF('DealScope sensitivity controls'!F17="","",10&gt;'DealScope sensitivity controls'!F17))),IF('Model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controls'!F17)/'Model inputs'!B21,0),1),IF(IF(IF(ISERROR(10&gt;'DealScope sensitivity controls'!F17),10&gt;'DealScope sensitivity controls'!F17,IF('DealScope sensitivity controls'!F17="","",10&gt;'DealScope sensitivity controls'!F17))="",FALSE,IF(ISERROR(10&gt;'DealScope sensitivity controls'!F17),10&gt;'DealScope sensitivity controls'!F17,IF('DealScope sensitivity controls'!F17="","",10&gt;'DealScope sensitivity controls'!F17))),IF('Model inputs'!B43="","",'Model inputs'!B43),0)))</f>
      </c>
    </row>
    <row r="123">
      <c r="A123" t="inlineStr" s="16">
        <is>
          <t xml:space="preserve">Calculation</t>
        </is>
      </c>
      <c r="B123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controls'!F12)/'Model inputs'!B21,0),1),IF(IF(IF(ISERROR(1&gt;'DealScope sensitivity controls'!F12),1&gt;'DealScope sensitivity controls'!F12,IF('DealScope sensitivity controls'!F12="","",1&gt;'DealScope sensitivity controls'!F12))="",FALSE,IF(ISERROR(1&gt;'DealScope sensitivity controls'!F12),1&gt;'DealScope sensitivity controls'!F12,IF('DealScope sensitivity controls'!F12="","",1&gt;'DealScope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controls'!F12)/'Model inputs'!B21,0),1),IF(IF(IF(ISERROR(1&gt;'DealScope sensitivity controls'!F12),1&gt;'DealScope sensitivity controls'!F12,IF('DealScope sensitivity controls'!F12="","",1&gt;'DealScope sensitivity controls'!F12))="",FALSE,IF(ISERROR(1&gt;'DealScope sensitivity controls'!F12),1&gt;'DealScope sensitivity controls'!F12,IF('DealScope sensitivity controls'!F12="","",1&gt;'DealScope sensitivity controls'!F12))),IF('Model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controls'!F12)/'Model inputs'!B21,0),1),IF(IF(IF(ISERROR(2&gt;'DealScope sensitivity controls'!F12),2&gt;'DealScope sensitivity controls'!F12,IF('DealScope sensitivity controls'!F12="","",2&gt;'DealScope sensitivity controls'!F12))="",FALSE,IF(ISERROR(2&gt;'DealScope sensitivity controls'!F12),2&gt;'DealScope sensitivity controls'!F12,IF('DealScope sensitivity controls'!F12="","",2&gt;'DealScope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controls'!F12)/'Model inputs'!B21,0),1),IF(IF(IF(ISERROR(2&gt;'DealScope sensitivity controls'!F12),2&gt;'DealScope sensitivity controls'!F12,IF('DealScope sensitivity controls'!F12="","",2&gt;'DealScope sensitivity controls'!F12))="",FALSE,IF(ISERROR(2&gt;'DealScope sensitivity controls'!F12),2&gt;'DealScope sensitivity controls'!F12,IF('DealScope sensitivity controls'!F12="","",2&gt;'DealScope sensitivity controls'!F12))),IF('Model inputs'!B43="","",'Model inputs'!B43),0)))</f>
      </c>
    </row>
    <row r="124">
      <c r="A124" t="inlineStr" s="16">
        <is>
          <t xml:space="preserve">Calculation</t>
        </is>
      </c>
      <c r="B124">
        <f>'Model inputs'!B123+IF(IF(IF(IF(ISERROR('Model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controls'!F12)/'Model inputs'!B21,0),1),IF(IF(IF(ISERROR(3&gt;'DealScope sensitivity controls'!F12),3&gt;'DealScope sensitivity controls'!F12,IF('DealScope sensitivity controls'!F12="","",3&gt;'DealScope sensitivity controls'!F12))="",FALSE,IF(ISERROR(3&gt;'DealScope sensitivity controls'!F12),3&gt;'DealScope sensitivity controls'!F12,IF('DealScope sensitivity controls'!F12="","",3&gt;'DealScope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controls'!F12)/'Model inputs'!B21,0),1),IF(IF(IF(ISERROR(3&gt;'DealScope sensitivity controls'!F12),3&gt;'DealScope sensitivity controls'!F12,IF('DealScope sensitivity controls'!F12="","",3&gt;'DealScope sensitivity controls'!F12))="",FALSE,IF(ISERROR(3&gt;'DealScope sensitivity controls'!F12),3&gt;'DealScope sensitivity controls'!F12,IF('DealScope sensitivity controls'!F12="","",3&gt;'DealScope sensitivity controls'!F12))),IF('Model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controls'!F12)/'Model inputs'!B21,0),1),IF(IF(IF(ISERROR(4&gt;'DealScope sensitivity controls'!F12),4&gt;'DealScope sensitivity controls'!F12,IF('DealScope sensitivity controls'!F12="","",4&gt;'DealScope sensitivity controls'!F12))="",FALSE,IF(ISERROR(4&gt;'DealScope sensitivity controls'!F12),4&gt;'DealScope sensitivity controls'!F12,IF('DealScope sensitivity controls'!F12="","",4&gt;'DealScope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controls'!F12)/'Model inputs'!B21,0),1),IF(IF(IF(ISERROR(4&gt;'DealScope sensitivity controls'!F12),4&gt;'DealScope sensitivity controls'!F12,IF('DealScope sensitivity controls'!F12="","",4&gt;'DealScope sensitivity controls'!F12))="",FALSE,IF(ISERROR(4&gt;'DealScope sensitivity controls'!F12),4&gt;'DealScope sensitivity controls'!F12,IF('DealScope sensitivity controls'!F12="","",4&gt;'DealScope sensitivity controls'!F12))),IF('Model inputs'!B43="","",'Model inputs'!B43),0)))</f>
      </c>
    </row>
    <row r="125">
      <c r="A125" t="inlineStr" s="16">
        <is>
          <t xml:space="preserve">Calculation</t>
        </is>
      </c>
      <c r="B125">
        <f>'Model inputs'!B124+IF(IF(IF(IF(ISERROR('Model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controls'!F12)/'Model inputs'!B21,0),1),IF(IF(IF(ISERROR(5&gt;'DealScope sensitivity controls'!F12),5&gt;'DealScope sensitivity controls'!F12,IF('DealScope sensitivity controls'!F12="","",5&gt;'DealScope sensitivity controls'!F12))="",FALSE,IF(ISERROR(5&gt;'DealScope sensitivity controls'!F12),5&gt;'DealScope sensitivity controls'!F12,IF('DealScope sensitivity controls'!F12="","",5&gt;'DealScope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controls'!F12)/'Model inputs'!B21,0),1),IF(IF(IF(ISERROR(5&gt;'DealScope sensitivity controls'!F12),5&gt;'DealScope sensitivity controls'!F12,IF('DealScope sensitivity controls'!F12="","",5&gt;'DealScope sensitivity controls'!F12))="",FALSE,IF(ISERROR(5&gt;'DealScope sensitivity controls'!F12),5&gt;'DealScope sensitivity controls'!F12,IF('DealScope sensitivity controls'!F12="","",5&gt;'DealScope sensitivity controls'!F12))),IF('Model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controls'!F12)/'Model inputs'!B21,0),1),IF(IF(IF(ISERROR(6&gt;'DealScope sensitivity controls'!F12),6&gt;'DealScope sensitivity controls'!F12,IF('DealScope sensitivity controls'!F12="","",6&gt;'DealScope sensitivity controls'!F12))="",FALSE,IF(ISERROR(6&gt;'DealScope sensitivity controls'!F12),6&gt;'DealScope sensitivity controls'!F12,IF('DealScope sensitivity controls'!F12="","",6&gt;'DealScope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controls'!F12)/'Model inputs'!B21,0),1),IF(IF(IF(ISERROR(6&gt;'DealScope sensitivity controls'!F12),6&gt;'DealScope sensitivity controls'!F12,IF('DealScope sensitivity controls'!F12="","",6&gt;'DealScope sensitivity controls'!F12))="",FALSE,IF(ISERROR(6&gt;'DealScope sensitivity controls'!F12),6&gt;'DealScope sensitivity controls'!F12,IF('DealScope sensitivity controls'!F12="","",6&gt;'DealScope sensitivity controls'!F12))),IF('Model inputs'!B43="","",'Model inputs'!B43),0)))</f>
      </c>
    </row>
    <row r="126">
      <c r="A126" t="inlineStr" s="16">
        <is>
          <t xml:space="preserve">Calculation</t>
        </is>
      </c>
      <c r="B126">
        <f>'Model inputs'!B125+IF(IF(IF(IF(ISERROR('Model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controls'!F12)/'Model inputs'!B21,0),1),IF(IF(IF(ISERROR(7&gt;'DealScope sensitivity controls'!F12),7&gt;'DealScope sensitivity controls'!F12,IF('DealScope sensitivity controls'!F12="","",7&gt;'DealScope sensitivity controls'!F12))="",FALSE,IF(ISERROR(7&gt;'DealScope sensitivity controls'!F12),7&gt;'DealScope sensitivity controls'!F12,IF('DealScope sensitivity controls'!F12="","",7&gt;'DealScope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controls'!F12)/'Model inputs'!B21,0),1),IF(IF(IF(ISERROR(7&gt;'DealScope sensitivity controls'!F12),7&gt;'DealScope sensitivity controls'!F12,IF('DealScope sensitivity controls'!F12="","",7&gt;'DealScope sensitivity controls'!F12))="",FALSE,IF(ISERROR(7&gt;'DealScope sensitivity controls'!F12),7&gt;'DealScope sensitivity controls'!F12,IF('DealScope sensitivity controls'!F12="","",7&gt;'DealScope sensitivity controls'!F12))),IF('Model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controls'!F12)/'Model inputs'!B21,0),1),IF(IF(IF(ISERROR(8&gt;'DealScope sensitivity controls'!F12),8&gt;'DealScope sensitivity controls'!F12,IF('DealScope sensitivity controls'!F12="","",8&gt;'DealScope sensitivity controls'!F12))="",FALSE,IF(ISERROR(8&gt;'DealScope sensitivity controls'!F12),8&gt;'DealScope sensitivity controls'!F12,IF('DealScope sensitivity controls'!F12="","",8&gt;'DealScope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controls'!F12)/'Model inputs'!B21,0),1),IF(IF(IF(ISERROR(8&gt;'DealScope sensitivity controls'!F12),8&gt;'DealScope sensitivity controls'!F12,IF('DealScope sensitivity controls'!F12="","",8&gt;'DealScope sensitivity controls'!F12))="",FALSE,IF(ISERROR(8&gt;'DealScope sensitivity controls'!F12),8&gt;'DealScope sensitivity controls'!F12,IF('DealScope sensitivity controls'!F12="","",8&gt;'DealScope sensitivity controls'!F12))),IF('Model inputs'!B43="","",'Model inputs'!B43),0)))</f>
      </c>
    </row>
    <row r="127">
      <c r="A127" t="inlineStr" s="16">
        <is>
          <t xml:space="preserve">Calculation</t>
        </is>
      </c>
      <c r="B127">
        <f>'Model inputs'!B126+IF(IF(IF(IF(ISERROR('Model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controls'!F12)/'Model inputs'!B21,0),1),IF(IF(IF(ISERROR(9&gt;'DealScope sensitivity controls'!F12),9&gt;'DealScope sensitivity controls'!F12,IF('DealScope sensitivity controls'!F12="","",9&gt;'DealScope sensitivity controls'!F12))="",FALSE,IF(ISERROR(9&gt;'DealScope sensitivity controls'!F12),9&gt;'DealScope sensitivity controls'!F12,IF('DealScope sensitivity controls'!F12="","",9&gt;'DealScope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controls'!F12)/'Model inputs'!B21,0),1),IF(IF(IF(ISERROR(9&gt;'DealScope sensitivity controls'!F12),9&gt;'DealScope sensitivity controls'!F12,IF('DealScope sensitivity controls'!F12="","",9&gt;'DealScope sensitivity controls'!F12))="",FALSE,IF(ISERROR(9&gt;'DealScope sensitivity controls'!F12),9&gt;'DealScope sensitivity controls'!F12,IF('DealScope sensitivity controls'!F12="","",9&gt;'DealScope sensitivity controls'!F12))),IF('Model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controls'!F12)/'Model inputs'!B21,0),1),IF(IF(IF(ISERROR(10&gt;'DealScope sensitivity controls'!F12),10&gt;'DealScope sensitivity controls'!F12,IF('DealScope sensitivity controls'!F12="","",10&gt;'DealScope sensitivity controls'!F12))="",FALSE,IF(ISERROR(10&gt;'DealScope sensitivity controls'!F12),10&gt;'DealScope sensitivity controls'!F12,IF('DealScope sensitivity controls'!F12="","",10&gt;'DealScope sensitivity controls'!F12))),IF('Model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controls'!F12)/'Model inputs'!B21,0),1),IF(IF(IF(ISERROR(10&gt;'DealScope sensitivity controls'!F12),10&gt;'DealScope sensitivity controls'!F12,IF('DealScope sensitivity controls'!F12="","",10&gt;'DealScope sensitivity controls'!F12))="",FALSE,IF(ISERROR(10&gt;'DealScope sensitivity controls'!F12),10&gt;'DealScope sensitivity controls'!F12,IF('DealScope sensitivity controls'!F12="","",10&gt;'DealScope sensitivity controls'!F12))),IF('Model inputs'!B43="","",'Model inputs'!B43),0)))</f>
      </c>
    </row>
    <row r="128">
      <c r="A128" t="inlineStr" s="16">
        <is>
          <t xml:space="preserve">Calculation</t>
        </is>
      </c>
      <c r="B128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controls'!F13)/'Model inputs'!B21,0),1),IF(IF(IF(ISERROR(1&gt;'DealScope sensitivity controls'!F13),1&gt;'DealScope sensitivity controls'!F13,IF('DealScope sensitivity controls'!F13="","",1&gt;'DealScope sensitivity controls'!F13))="",FALSE,IF(ISERROR(1&gt;'DealScope sensitivity controls'!F13),1&gt;'DealScope sensitivity controls'!F13,IF('DealScope sensitivity controls'!F13="","",1&gt;'DealScope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controls'!F13)/'Model inputs'!B21,0),1),IF(IF(IF(ISERROR(1&gt;'DealScope sensitivity controls'!F13),1&gt;'DealScope sensitivity controls'!F13,IF('DealScope sensitivity controls'!F13="","",1&gt;'DealScope sensitivity controls'!F13))="",FALSE,IF(ISERROR(1&gt;'DealScope sensitivity controls'!F13),1&gt;'DealScope sensitivity controls'!F13,IF('DealScope sensitivity controls'!F13="","",1&gt;'DealScope sensitivity controls'!F13))),IF('Model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controls'!F13)/'Model inputs'!B21,0),1),IF(IF(IF(ISERROR(2&gt;'DealScope sensitivity controls'!F13),2&gt;'DealScope sensitivity controls'!F13,IF('DealScope sensitivity controls'!F13="","",2&gt;'DealScope sensitivity controls'!F13))="",FALSE,IF(ISERROR(2&gt;'DealScope sensitivity controls'!F13),2&gt;'DealScope sensitivity controls'!F13,IF('DealScope sensitivity controls'!F13="","",2&gt;'DealScope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controls'!F13)/'Model inputs'!B21,0),1),IF(IF(IF(ISERROR(2&gt;'DealScope sensitivity controls'!F13),2&gt;'DealScope sensitivity controls'!F13,IF('DealScope sensitivity controls'!F13="","",2&gt;'DealScope sensitivity controls'!F13))="",FALSE,IF(ISERROR(2&gt;'DealScope sensitivity controls'!F13),2&gt;'DealScope sensitivity controls'!F13,IF('DealScope sensitivity controls'!F13="","",2&gt;'DealScope sensitivity controls'!F13))),IF('Model inputs'!B43="","",'Model inputs'!B43),0)))</f>
      </c>
    </row>
    <row r="129">
      <c r="A129" t="inlineStr" s="16">
        <is>
          <t xml:space="preserve">Calculation</t>
        </is>
      </c>
      <c r="B129">
        <f>'Model inputs'!B128+IF(IF(IF(IF(ISERROR('Model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controls'!F13)/'Model inputs'!B21,0),1),IF(IF(IF(ISERROR(3&gt;'DealScope sensitivity controls'!F13),3&gt;'DealScope sensitivity controls'!F13,IF('DealScope sensitivity controls'!F13="","",3&gt;'DealScope sensitivity controls'!F13))="",FALSE,IF(ISERROR(3&gt;'DealScope sensitivity controls'!F13),3&gt;'DealScope sensitivity controls'!F13,IF('DealScope sensitivity controls'!F13="","",3&gt;'DealScope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controls'!F13)/'Model inputs'!B21,0),1),IF(IF(IF(ISERROR(3&gt;'DealScope sensitivity controls'!F13),3&gt;'DealScope sensitivity controls'!F13,IF('DealScope sensitivity controls'!F13="","",3&gt;'DealScope sensitivity controls'!F13))="",FALSE,IF(ISERROR(3&gt;'DealScope sensitivity controls'!F13),3&gt;'DealScope sensitivity controls'!F13,IF('DealScope sensitivity controls'!F13="","",3&gt;'DealScope sensitivity controls'!F13))),IF('Model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controls'!F13)/'Model inputs'!B21,0),1),IF(IF(IF(ISERROR(4&gt;'DealScope sensitivity controls'!F13),4&gt;'DealScope sensitivity controls'!F13,IF('DealScope sensitivity controls'!F13="","",4&gt;'DealScope sensitivity controls'!F13))="",FALSE,IF(ISERROR(4&gt;'DealScope sensitivity controls'!F13),4&gt;'DealScope sensitivity controls'!F13,IF('DealScope sensitivity controls'!F13="","",4&gt;'DealScope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controls'!F13)/'Model inputs'!B21,0),1),IF(IF(IF(ISERROR(4&gt;'DealScope sensitivity controls'!F13),4&gt;'DealScope sensitivity controls'!F13,IF('DealScope sensitivity controls'!F13="","",4&gt;'DealScope sensitivity controls'!F13))="",FALSE,IF(ISERROR(4&gt;'DealScope sensitivity controls'!F13),4&gt;'DealScope sensitivity controls'!F13,IF('DealScope sensitivity controls'!F13="","",4&gt;'DealScope sensitivity controls'!F13))),IF('Model inputs'!B43="","",'Model inputs'!B43),0)))</f>
      </c>
    </row>
    <row r="130">
      <c r="A130" t="inlineStr" s="16">
        <is>
          <t xml:space="preserve">Calculation</t>
        </is>
      </c>
      <c r="B130">
        <f>'Model inputs'!B129+IF(IF(IF(IF(ISERROR('Model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controls'!F13)/'Model inputs'!B21,0),1),IF(IF(IF(ISERROR(5&gt;'DealScope sensitivity controls'!F13),5&gt;'DealScope sensitivity controls'!F13,IF('DealScope sensitivity controls'!F13="","",5&gt;'DealScope sensitivity controls'!F13))="",FALSE,IF(ISERROR(5&gt;'DealScope sensitivity controls'!F13),5&gt;'DealScope sensitivity controls'!F13,IF('DealScope sensitivity controls'!F13="","",5&gt;'DealScope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controls'!F13)/'Model inputs'!B21,0),1),IF(IF(IF(ISERROR(5&gt;'DealScope sensitivity controls'!F13),5&gt;'DealScope sensitivity controls'!F13,IF('DealScope sensitivity controls'!F13="","",5&gt;'DealScope sensitivity controls'!F13))="",FALSE,IF(ISERROR(5&gt;'DealScope sensitivity controls'!F13),5&gt;'DealScope sensitivity controls'!F13,IF('DealScope sensitivity controls'!F13="","",5&gt;'DealScope sensitivity controls'!F13))),IF('Model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controls'!F13)/'Model inputs'!B21,0),1),IF(IF(IF(ISERROR(6&gt;'DealScope sensitivity controls'!F13),6&gt;'DealScope sensitivity controls'!F13,IF('DealScope sensitivity controls'!F13="","",6&gt;'DealScope sensitivity controls'!F13))="",FALSE,IF(ISERROR(6&gt;'DealScope sensitivity controls'!F13),6&gt;'DealScope sensitivity controls'!F13,IF('DealScope sensitivity controls'!F13="","",6&gt;'DealScope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controls'!F13)/'Model inputs'!B21,0),1),IF(IF(IF(ISERROR(6&gt;'DealScope sensitivity controls'!F13),6&gt;'DealScope sensitivity controls'!F13,IF('DealScope sensitivity controls'!F13="","",6&gt;'DealScope sensitivity controls'!F13))="",FALSE,IF(ISERROR(6&gt;'DealScope sensitivity controls'!F13),6&gt;'DealScope sensitivity controls'!F13,IF('DealScope sensitivity controls'!F13="","",6&gt;'DealScope sensitivity controls'!F13))),IF('Model inputs'!B43="","",'Model inputs'!B43),0)))</f>
      </c>
    </row>
    <row r="131">
      <c r="A131" t="inlineStr" s="16">
        <is>
          <t xml:space="preserve">Calculation</t>
        </is>
      </c>
      <c r="B131">
        <f>'Model inputs'!B130+IF(IF(IF(IF(ISERROR('Model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controls'!F13)/'Model inputs'!B21,0),1),IF(IF(IF(ISERROR(7&gt;'DealScope sensitivity controls'!F13),7&gt;'DealScope sensitivity controls'!F13,IF('DealScope sensitivity controls'!F13="","",7&gt;'DealScope sensitivity controls'!F13))="",FALSE,IF(ISERROR(7&gt;'DealScope sensitivity controls'!F13),7&gt;'DealScope sensitivity controls'!F13,IF('DealScope sensitivity controls'!F13="","",7&gt;'DealScope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controls'!F13)/'Model inputs'!B21,0),1),IF(IF(IF(ISERROR(7&gt;'DealScope sensitivity controls'!F13),7&gt;'DealScope sensitivity controls'!F13,IF('DealScope sensitivity controls'!F13="","",7&gt;'DealScope sensitivity controls'!F13))="",FALSE,IF(ISERROR(7&gt;'DealScope sensitivity controls'!F13),7&gt;'DealScope sensitivity controls'!F13,IF('DealScope sensitivity controls'!F13="","",7&gt;'DealScope sensitivity controls'!F13))),IF('Model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controls'!F13)/'Model inputs'!B21,0),1),IF(IF(IF(ISERROR(8&gt;'DealScope sensitivity controls'!F13),8&gt;'DealScope sensitivity controls'!F13,IF('DealScope sensitivity controls'!F13="","",8&gt;'DealScope sensitivity controls'!F13))="",FALSE,IF(ISERROR(8&gt;'DealScope sensitivity controls'!F13),8&gt;'DealScope sensitivity controls'!F13,IF('DealScope sensitivity controls'!F13="","",8&gt;'DealScope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controls'!F13)/'Model inputs'!B21,0),1),IF(IF(IF(ISERROR(8&gt;'DealScope sensitivity controls'!F13),8&gt;'DealScope sensitivity controls'!F13,IF('DealScope sensitivity controls'!F13="","",8&gt;'DealScope sensitivity controls'!F13))="",FALSE,IF(ISERROR(8&gt;'DealScope sensitivity controls'!F13),8&gt;'DealScope sensitivity controls'!F13,IF('DealScope sensitivity controls'!F13="","",8&gt;'DealScope sensitivity controls'!F13))),IF('Model inputs'!B43="","",'Model inputs'!B43),0)))</f>
      </c>
    </row>
    <row r="132">
      <c r="A132" t="inlineStr" s="16">
        <is>
          <t xml:space="preserve">Calculation</t>
        </is>
      </c>
      <c r="B132">
        <f>'Model inputs'!B131+IF(IF(IF(IF(ISERROR('Model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controls'!F13)/'Model inputs'!B21,0),1),IF(IF(IF(ISERROR(9&gt;'DealScope sensitivity controls'!F13),9&gt;'DealScope sensitivity controls'!F13,IF('DealScope sensitivity controls'!F13="","",9&gt;'DealScope sensitivity controls'!F13))="",FALSE,IF(ISERROR(9&gt;'DealScope sensitivity controls'!F13),9&gt;'DealScope sensitivity controls'!F13,IF('DealScope sensitivity controls'!F13="","",9&gt;'DealScope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controls'!F13)/'Model inputs'!B21,0),1),IF(IF(IF(ISERROR(9&gt;'DealScope sensitivity controls'!F13),9&gt;'DealScope sensitivity controls'!F13,IF('DealScope sensitivity controls'!F13="","",9&gt;'DealScope sensitivity controls'!F13))="",FALSE,IF(ISERROR(9&gt;'DealScope sensitivity controls'!F13),9&gt;'DealScope sensitivity controls'!F13,IF('DealScope sensitivity controls'!F13="","",9&gt;'DealScope sensitivity controls'!F13))),IF('Model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controls'!F13)/'Model inputs'!B21,0),1),IF(IF(IF(ISERROR(10&gt;'DealScope sensitivity controls'!F13),10&gt;'DealScope sensitivity controls'!F13,IF('DealScope sensitivity controls'!F13="","",10&gt;'DealScope sensitivity controls'!F13))="",FALSE,IF(ISERROR(10&gt;'DealScope sensitivity controls'!F13),10&gt;'DealScope sensitivity controls'!F13,IF('DealScope sensitivity controls'!F13="","",10&gt;'DealScope sensitivity controls'!F13))),IF('Model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controls'!F13)/'Model inputs'!B21,0),1),IF(IF(IF(ISERROR(10&gt;'DealScope sensitivity controls'!F13),10&gt;'DealScope sensitivity controls'!F13,IF('DealScope sensitivity controls'!F13="","",10&gt;'DealScope sensitivity controls'!F13))="",FALSE,IF(ISERROR(10&gt;'DealScope sensitivity controls'!F13),10&gt;'DealScope sensitivity controls'!F13,IF('DealScope sensitivity controls'!F13="","",10&gt;'DealScope sensitivity controls'!F13))),IF('Model inputs'!B43="","",'Model inputs'!B43),0)))</f>
      </c>
    </row>
    <row r="133">
      <c r="A133" t="inlineStr" s="16">
        <is>
          <t xml:space="preserve">Calculation</t>
        </is>
      </c>
      <c r="B133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controls'!F14)/'Model inputs'!B21,0),1),IF(IF(IF(ISERROR(1&gt;'DealScope sensitivity controls'!F14),1&gt;'DealScope sensitivity controls'!F14,IF('DealScope sensitivity controls'!F14="","",1&gt;'DealScope sensitivity controls'!F14))="",FALSE,IF(ISERROR(1&gt;'DealScope sensitivity controls'!F14),1&gt;'DealScope sensitivity controls'!F14,IF('DealScope sensitivity controls'!F14="","",1&gt;'DealScope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controls'!F14)/'Model inputs'!B21,0),1),IF(IF(IF(ISERROR(1&gt;'DealScope sensitivity controls'!F14),1&gt;'DealScope sensitivity controls'!F14,IF('DealScope sensitivity controls'!F14="","",1&gt;'DealScope sensitivity controls'!F14))="",FALSE,IF(ISERROR(1&gt;'DealScope sensitivity controls'!F14),1&gt;'DealScope sensitivity controls'!F14,IF('DealScope sensitivity controls'!F14="","",1&gt;'DealScope sensitivity controls'!F14))),IF('Model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controls'!F14)/'Model inputs'!B21,0),1),IF(IF(IF(ISERROR(2&gt;'DealScope sensitivity controls'!F14),2&gt;'DealScope sensitivity controls'!F14,IF('DealScope sensitivity controls'!F14="","",2&gt;'DealScope sensitivity controls'!F14))="",FALSE,IF(ISERROR(2&gt;'DealScope sensitivity controls'!F14),2&gt;'DealScope sensitivity controls'!F14,IF('DealScope sensitivity controls'!F14="","",2&gt;'DealScope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controls'!F14)/'Model inputs'!B21,0),1),IF(IF(IF(ISERROR(2&gt;'DealScope sensitivity controls'!F14),2&gt;'DealScope sensitivity controls'!F14,IF('DealScope sensitivity controls'!F14="","",2&gt;'DealScope sensitivity controls'!F14))="",FALSE,IF(ISERROR(2&gt;'DealScope sensitivity controls'!F14),2&gt;'DealScope sensitivity controls'!F14,IF('DealScope sensitivity controls'!F14="","",2&gt;'DealScope sensitivity controls'!F14))),IF('Model inputs'!B43="","",'Model inputs'!B43),0)))</f>
      </c>
    </row>
    <row r="134">
      <c r="A134" t="inlineStr" s="16">
        <is>
          <t xml:space="preserve">Calculation</t>
        </is>
      </c>
      <c r="B134">
        <f>'Model inputs'!B133+IF(IF(IF(IF(ISERROR('Model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controls'!F14)/'Model inputs'!B21,0),1),IF(IF(IF(ISERROR(3&gt;'DealScope sensitivity controls'!F14),3&gt;'DealScope sensitivity controls'!F14,IF('DealScope sensitivity controls'!F14="","",3&gt;'DealScope sensitivity controls'!F14))="",FALSE,IF(ISERROR(3&gt;'DealScope sensitivity controls'!F14),3&gt;'DealScope sensitivity controls'!F14,IF('DealScope sensitivity controls'!F14="","",3&gt;'DealScope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controls'!F14)/'Model inputs'!B21,0),1),IF(IF(IF(ISERROR(3&gt;'DealScope sensitivity controls'!F14),3&gt;'DealScope sensitivity controls'!F14,IF('DealScope sensitivity controls'!F14="","",3&gt;'DealScope sensitivity controls'!F14))="",FALSE,IF(ISERROR(3&gt;'DealScope sensitivity controls'!F14),3&gt;'DealScope sensitivity controls'!F14,IF('DealScope sensitivity controls'!F14="","",3&gt;'DealScope sensitivity controls'!F14))),IF('Model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controls'!F14)/'Model inputs'!B21,0),1),IF(IF(IF(ISERROR(4&gt;'DealScope sensitivity controls'!F14),4&gt;'DealScope sensitivity controls'!F14,IF('DealScope sensitivity controls'!F14="","",4&gt;'DealScope sensitivity controls'!F14))="",FALSE,IF(ISERROR(4&gt;'DealScope sensitivity controls'!F14),4&gt;'DealScope sensitivity controls'!F14,IF('DealScope sensitivity controls'!F14="","",4&gt;'DealScope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controls'!F14)/'Model inputs'!B21,0),1),IF(IF(IF(ISERROR(4&gt;'DealScope sensitivity controls'!F14),4&gt;'DealScope sensitivity controls'!F14,IF('DealScope sensitivity controls'!F14="","",4&gt;'DealScope sensitivity controls'!F14))="",FALSE,IF(ISERROR(4&gt;'DealScope sensitivity controls'!F14),4&gt;'DealScope sensitivity controls'!F14,IF('DealScope sensitivity controls'!F14="","",4&gt;'DealScope sensitivity controls'!F14))),IF('Model inputs'!B43="","",'Model inputs'!B43),0)))</f>
      </c>
    </row>
    <row r="135">
      <c r="A135" t="inlineStr" s="16">
        <is>
          <t xml:space="preserve">Calculation</t>
        </is>
      </c>
      <c r="B135">
        <f>'Model inputs'!B134+IF(IF(IF(IF(ISERROR('Model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controls'!F14)/'Model inputs'!B21,0),1),IF(IF(IF(ISERROR(5&gt;'DealScope sensitivity controls'!F14),5&gt;'DealScope sensitivity controls'!F14,IF('DealScope sensitivity controls'!F14="","",5&gt;'DealScope sensitivity controls'!F14))="",FALSE,IF(ISERROR(5&gt;'DealScope sensitivity controls'!F14),5&gt;'DealScope sensitivity controls'!F14,IF('DealScope sensitivity controls'!F14="","",5&gt;'DealScope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controls'!F14)/'Model inputs'!B21,0),1),IF(IF(IF(ISERROR(5&gt;'DealScope sensitivity controls'!F14),5&gt;'DealScope sensitivity controls'!F14,IF('DealScope sensitivity controls'!F14="","",5&gt;'DealScope sensitivity controls'!F14))="",FALSE,IF(ISERROR(5&gt;'DealScope sensitivity controls'!F14),5&gt;'DealScope sensitivity controls'!F14,IF('DealScope sensitivity controls'!F14="","",5&gt;'DealScope sensitivity controls'!F14))),IF('Model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controls'!F14)/'Model inputs'!B21,0),1),IF(IF(IF(ISERROR(6&gt;'DealScope sensitivity controls'!F14),6&gt;'DealScope sensitivity controls'!F14,IF('DealScope sensitivity controls'!F14="","",6&gt;'DealScope sensitivity controls'!F14))="",FALSE,IF(ISERROR(6&gt;'DealScope sensitivity controls'!F14),6&gt;'DealScope sensitivity controls'!F14,IF('DealScope sensitivity controls'!F14="","",6&gt;'DealScope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controls'!F14)/'Model inputs'!B21,0),1),IF(IF(IF(ISERROR(6&gt;'DealScope sensitivity controls'!F14),6&gt;'DealScope sensitivity controls'!F14,IF('DealScope sensitivity controls'!F14="","",6&gt;'DealScope sensitivity controls'!F14))="",FALSE,IF(ISERROR(6&gt;'DealScope sensitivity controls'!F14),6&gt;'DealScope sensitivity controls'!F14,IF('DealScope sensitivity controls'!F14="","",6&gt;'DealScope sensitivity controls'!F14))),IF('Model inputs'!B43="","",'Model inputs'!B43),0)))</f>
      </c>
    </row>
    <row r="136">
      <c r="A136" t="inlineStr" s="16">
        <is>
          <t xml:space="preserve">Calculation</t>
        </is>
      </c>
      <c r="B136">
        <f>'Model inputs'!B135+IF(IF(IF(IF(ISERROR('Model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controls'!F14)/'Model inputs'!B21,0),1),IF(IF(IF(ISERROR(7&gt;'DealScope sensitivity controls'!F14),7&gt;'DealScope sensitivity controls'!F14,IF('DealScope sensitivity controls'!F14="","",7&gt;'DealScope sensitivity controls'!F14))="",FALSE,IF(ISERROR(7&gt;'DealScope sensitivity controls'!F14),7&gt;'DealScope sensitivity controls'!F14,IF('DealScope sensitivity controls'!F14="","",7&gt;'DealScope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controls'!F14)/'Model inputs'!B21,0),1),IF(IF(IF(ISERROR(7&gt;'DealScope sensitivity controls'!F14),7&gt;'DealScope sensitivity controls'!F14,IF('DealScope sensitivity controls'!F14="","",7&gt;'DealScope sensitivity controls'!F14))="",FALSE,IF(ISERROR(7&gt;'DealScope sensitivity controls'!F14),7&gt;'DealScope sensitivity controls'!F14,IF('DealScope sensitivity controls'!F14="","",7&gt;'DealScope sensitivity controls'!F14))),IF('Model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controls'!F14)/'Model inputs'!B21,0),1),IF(IF(IF(ISERROR(8&gt;'DealScope sensitivity controls'!F14),8&gt;'DealScope sensitivity controls'!F14,IF('DealScope sensitivity controls'!F14="","",8&gt;'DealScope sensitivity controls'!F14))="",FALSE,IF(ISERROR(8&gt;'DealScope sensitivity controls'!F14),8&gt;'DealScope sensitivity controls'!F14,IF('DealScope sensitivity controls'!F14="","",8&gt;'DealScope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controls'!F14)/'Model inputs'!B21,0),1),IF(IF(IF(ISERROR(8&gt;'DealScope sensitivity controls'!F14),8&gt;'DealScope sensitivity controls'!F14,IF('DealScope sensitivity controls'!F14="","",8&gt;'DealScope sensitivity controls'!F14))="",FALSE,IF(ISERROR(8&gt;'DealScope sensitivity controls'!F14),8&gt;'DealScope sensitivity controls'!F14,IF('DealScope sensitivity controls'!F14="","",8&gt;'DealScope sensitivity controls'!F14))),IF('Model inputs'!B43="","",'Model inputs'!B43),0)))</f>
      </c>
    </row>
    <row r="137">
      <c r="A137" t="inlineStr" s="16">
        <is>
          <t xml:space="preserve">Calculation</t>
        </is>
      </c>
      <c r="B137">
        <f>'Model inputs'!B136+IF(IF(IF(IF(ISERROR('Model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controls'!F14)/'Model inputs'!B21,0),1),IF(IF(IF(ISERROR(9&gt;'DealScope sensitivity controls'!F14),9&gt;'DealScope sensitivity controls'!F14,IF('DealScope sensitivity controls'!F14="","",9&gt;'DealScope sensitivity controls'!F14))="",FALSE,IF(ISERROR(9&gt;'DealScope sensitivity controls'!F14),9&gt;'DealScope sensitivity controls'!F14,IF('DealScope sensitivity controls'!F14="","",9&gt;'DealScope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controls'!F14)/'Model inputs'!B21,0),1),IF(IF(IF(ISERROR(9&gt;'DealScope sensitivity controls'!F14),9&gt;'DealScope sensitivity controls'!F14,IF('DealScope sensitivity controls'!F14="","",9&gt;'DealScope sensitivity controls'!F14))="",FALSE,IF(ISERROR(9&gt;'DealScope sensitivity controls'!F14),9&gt;'DealScope sensitivity controls'!F14,IF('DealScope sensitivity controls'!F14="","",9&gt;'DealScope sensitivity controls'!F14))),IF('Model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controls'!F14)/'Model inputs'!B21,0),1),IF(IF(IF(ISERROR(10&gt;'DealScope sensitivity controls'!F14),10&gt;'DealScope sensitivity controls'!F14,IF('DealScope sensitivity controls'!F14="","",10&gt;'DealScope sensitivity controls'!F14))="",FALSE,IF(ISERROR(10&gt;'DealScope sensitivity controls'!F14),10&gt;'DealScope sensitivity controls'!F14,IF('DealScope sensitivity controls'!F14="","",10&gt;'DealScope sensitivity controls'!F14))),IF('Model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controls'!F14)/'Model inputs'!B21,0),1),IF(IF(IF(ISERROR(10&gt;'DealScope sensitivity controls'!F14),10&gt;'DealScope sensitivity controls'!F14,IF('DealScope sensitivity controls'!F14="","",10&gt;'DealScope sensitivity controls'!F14))="",FALSE,IF(ISERROR(10&gt;'DealScope sensitivity controls'!F14),10&gt;'DealScope sensitivity controls'!F14,IF('DealScope sensitivity controls'!F14="","",10&gt;'DealScope sensitivity controls'!F14))),IF('Model inputs'!B43="","",'Model inputs'!B43),0)))</f>
      </c>
    </row>
    <row r="138">
      <c r="A138" t="inlineStr" s="16">
        <is>
          <t xml:space="preserve">Calculation</t>
        </is>
      </c>
      <c r="B138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controls'!F9)/'Model inputs'!B21,0),1),IF(IF(IF(ISERROR(1&gt;'DealScope sensitivity controls'!F9),1&gt;'DealScope sensitivity controls'!F9,IF('DealScope sensitivity controls'!F9="","",1&gt;'DealScope sensitivity controls'!F9))="",FALSE,IF(ISERROR(1&gt;'DealScope sensitivity controls'!F9),1&gt;'DealScope sensitivity controls'!F9,IF('DealScope sensitivity controls'!F9="","",1&gt;'DealScope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controls'!F9)/'Model inputs'!B21,0),1),IF(IF(IF(ISERROR(1&gt;'DealScope sensitivity controls'!F9),1&gt;'DealScope sensitivity controls'!F9,IF('DealScope sensitivity controls'!F9="","",1&gt;'DealScope sensitivity controls'!F9))="",FALSE,IF(ISERROR(1&gt;'DealScope sensitivity controls'!F9),1&gt;'DealScope sensitivity controls'!F9,IF('DealScope sensitivity controls'!F9="","",1&gt;'DealScope sensitivity controls'!F9))),IF('Model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controls'!F9)/'Model inputs'!B21,0),1),IF(IF(IF(ISERROR(2&gt;'DealScope sensitivity controls'!F9),2&gt;'DealScope sensitivity controls'!F9,IF('DealScope sensitivity controls'!F9="","",2&gt;'DealScope sensitivity controls'!F9))="",FALSE,IF(ISERROR(2&gt;'DealScope sensitivity controls'!F9),2&gt;'DealScope sensitivity controls'!F9,IF('DealScope sensitivity controls'!F9="","",2&gt;'DealScope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controls'!F9)/'Model inputs'!B21,0),1),IF(IF(IF(ISERROR(2&gt;'DealScope sensitivity controls'!F9),2&gt;'DealScope sensitivity controls'!F9,IF('DealScope sensitivity controls'!F9="","",2&gt;'DealScope sensitivity controls'!F9))="",FALSE,IF(ISERROR(2&gt;'DealScope sensitivity controls'!F9),2&gt;'DealScope sensitivity controls'!F9,IF('DealScope sensitivity controls'!F9="","",2&gt;'DealScope sensitivity controls'!F9))),IF('Model inputs'!B43="","",'Model inputs'!B43),0)))</f>
      </c>
    </row>
    <row r="139">
      <c r="A139" t="inlineStr" s="16">
        <is>
          <t xml:space="preserve">Calculation</t>
        </is>
      </c>
      <c r="B139">
        <f>'Model inputs'!B138+IF(IF(IF(IF(ISERROR('Model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controls'!F9)/'Model inputs'!B21,0),1),IF(IF(IF(ISERROR(3&gt;'DealScope sensitivity controls'!F9),3&gt;'DealScope sensitivity controls'!F9,IF('DealScope sensitivity controls'!F9="","",3&gt;'DealScope sensitivity controls'!F9))="",FALSE,IF(ISERROR(3&gt;'DealScope sensitivity controls'!F9),3&gt;'DealScope sensitivity controls'!F9,IF('DealScope sensitivity controls'!F9="","",3&gt;'DealScope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controls'!F9)/'Model inputs'!B21,0),1),IF(IF(IF(ISERROR(3&gt;'DealScope sensitivity controls'!F9),3&gt;'DealScope sensitivity controls'!F9,IF('DealScope sensitivity controls'!F9="","",3&gt;'DealScope sensitivity controls'!F9))="",FALSE,IF(ISERROR(3&gt;'DealScope sensitivity controls'!F9),3&gt;'DealScope sensitivity controls'!F9,IF('DealScope sensitivity controls'!F9="","",3&gt;'DealScope sensitivity controls'!F9))),IF('Model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controls'!F9)/'Model inputs'!B21,0),1),IF(IF(IF(ISERROR(4&gt;'DealScope sensitivity controls'!F9),4&gt;'DealScope sensitivity controls'!F9,IF('DealScope sensitivity controls'!F9="","",4&gt;'DealScope sensitivity controls'!F9))="",FALSE,IF(ISERROR(4&gt;'DealScope sensitivity controls'!F9),4&gt;'DealScope sensitivity controls'!F9,IF('DealScope sensitivity controls'!F9="","",4&gt;'DealScope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controls'!F9)/'Model inputs'!B21,0),1),IF(IF(IF(ISERROR(4&gt;'DealScope sensitivity controls'!F9),4&gt;'DealScope sensitivity controls'!F9,IF('DealScope sensitivity controls'!F9="","",4&gt;'DealScope sensitivity controls'!F9))="",FALSE,IF(ISERROR(4&gt;'DealScope sensitivity controls'!F9),4&gt;'DealScope sensitivity controls'!F9,IF('DealScope sensitivity controls'!F9="","",4&gt;'DealScope sensitivity controls'!F9))),IF('Model inputs'!B43="","",'Model inputs'!B43),0)))</f>
      </c>
    </row>
    <row r="140">
      <c r="A140" t="inlineStr" s="16">
        <is>
          <t xml:space="preserve">Calculation</t>
        </is>
      </c>
      <c r="B140">
        <f>'Model inputs'!B139+IF(IF(IF(IF(ISERROR('Model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controls'!F9)/'Model inputs'!B21,0),1),IF(IF(IF(ISERROR(5&gt;'DealScope sensitivity controls'!F9),5&gt;'DealScope sensitivity controls'!F9,IF('DealScope sensitivity controls'!F9="","",5&gt;'DealScope sensitivity controls'!F9))="",FALSE,IF(ISERROR(5&gt;'DealScope sensitivity controls'!F9),5&gt;'DealScope sensitivity controls'!F9,IF('DealScope sensitivity controls'!F9="","",5&gt;'DealScope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controls'!F9)/'Model inputs'!B21,0),1),IF(IF(IF(ISERROR(5&gt;'DealScope sensitivity controls'!F9),5&gt;'DealScope sensitivity controls'!F9,IF('DealScope sensitivity controls'!F9="","",5&gt;'DealScope sensitivity controls'!F9))="",FALSE,IF(ISERROR(5&gt;'DealScope sensitivity controls'!F9),5&gt;'DealScope sensitivity controls'!F9,IF('DealScope sensitivity controls'!F9="","",5&gt;'DealScope sensitivity controls'!F9))),IF('Model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controls'!F9)/'Model inputs'!B21,0),1),IF(IF(IF(ISERROR(6&gt;'DealScope sensitivity controls'!F9),6&gt;'DealScope sensitivity controls'!F9,IF('DealScope sensitivity controls'!F9="","",6&gt;'DealScope sensitivity controls'!F9))="",FALSE,IF(ISERROR(6&gt;'DealScope sensitivity controls'!F9),6&gt;'DealScope sensitivity controls'!F9,IF('DealScope sensitivity controls'!F9="","",6&gt;'DealScope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controls'!F9)/'Model inputs'!B21,0),1),IF(IF(IF(ISERROR(6&gt;'DealScope sensitivity controls'!F9),6&gt;'DealScope sensitivity controls'!F9,IF('DealScope sensitivity controls'!F9="","",6&gt;'DealScope sensitivity controls'!F9))="",FALSE,IF(ISERROR(6&gt;'DealScope sensitivity controls'!F9),6&gt;'DealScope sensitivity controls'!F9,IF('DealScope sensitivity controls'!F9="","",6&gt;'DealScope sensitivity controls'!F9))),IF('Model inputs'!B43="","",'Model inputs'!B43),0)))</f>
      </c>
    </row>
    <row r="141">
      <c r="A141" t="inlineStr" s="16">
        <is>
          <t xml:space="preserve">Calculation</t>
        </is>
      </c>
      <c r="B141">
        <f>'Model inputs'!B140+IF(IF(IF(IF(ISERROR('Model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controls'!F9)/'Model inputs'!B21,0),1),IF(IF(IF(ISERROR(7&gt;'DealScope sensitivity controls'!F9),7&gt;'DealScope sensitivity controls'!F9,IF('DealScope sensitivity controls'!F9="","",7&gt;'DealScope sensitivity controls'!F9))="",FALSE,IF(ISERROR(7&gt;'DealScope sensitivity controls'!F9),7&gt;'DealScope sensitivity controls'!F9,IF('DealScope sensitivity controls'!F9="","",7&gt;'DealScope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controls'!F9)/'Model inputs'!B21,0),1),IF(IF(IF(ISERROR(7&gt;'DealScope sensitivity controls'!F9),7&gt;'DealScope sensitivity controls'!F9,IF('DealScope sensitivity controls'!F9="","",7&gt;'DealScope sensitivity controls'!F9))="",FALSE,IF(ISERROR(7&gt;'DealScope sensitivity controls'!F9),7&gt;'DealScope sensitivity controls'!F9,IF('DealScope sensitivity controls'!F9="","",7&gt;'DealScope sensitivity controls'!F9))),IF('Model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controls'!F9)/'Model inputs'!B21,0),1),IF(IF(IF(ISERROR(8&gt;'DealScope sensitivity controls'!F9),8&gt;'DealScope sensitivity controls'!F9,IF('DealScope sensitivity controls'!F9="","",8&gt;'DealScope sensitivity controls'!F9))="",FALSE,IF(ISERROR(8&gt;'DealScope sensitivity controls'!F9),8&gt;'DealScope sensitivity controls'!F9,IF('DealScope sensitivity controls'!F9="","",8&gt;'DealScope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controls'!F9)/'Model inputs'!B21,0),1),IF(IF(IF(ISERROR(8&gt;'DealScope sensitivity controls'!F9),8&gt;'DealScope sensitivity controls'!F9,IF('DealScope sensitivity controls'!F9="","",8&gt;'DealScope sensitivity controls'!F9))="",FALSE,IF(ISERROR(8&gt;'DealScope sensitivity controls'!F9),8&gt;'DealScope sensitivity controls'!F9,IF('DealScope sensitivity controls'!F9="","",8&gt;'DealScope sensitivity controls'!F9))),IF('Model inputs'!B43="","",'Model inputs'!B43),0)))</f>
      </c>
    </row>
    <row r="142">
      <c r="A142" t="inlineStr" s="16">
        <is>
          <t xml:space="preserve">Calculation</t>
        </is>
      </c>
      <c r="B142">
        <f>'Model inputs'!B141+IF(IF(IF(IF(ISERROR('Model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controls'!F9)/'Model inputs'!B21,0),1),IF(IF(IF(ISERROR(9&gt;'DealScope sensitivity controls'!F9),9&gt;'DealScope sensitivity controls'!F9,IF('DealScope sensitivity controls'!F9="","",9&gt;'DealScope sensitivity controls'!F9))="",FALSE,IF(ISERROR(9&gt;'DealScope sensitivity controls'!F9),9&gt;'DealScope sensitivity controls'!F9,IF('DealScope sensitivity controls'!F9="","",9&gt;'DealScope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controls'!F9)/'Model inputs'!B21,0),1),IF(IF(IF(ISERROR(9&gt;'DealScope sensitivity controls'!F9),9&gt;'DealScope sensitivity controls'!F9,IF('DealScope sensitivity controls'!F9="","",9&gt;'DealScope sensitivity controls'!F9))="",FALSE,IF(ISERROR(9&gt;'DealScope sensitivity controls'!F9),9&gt;'DealScope sensitivity controls'!F9,IF('DealScope sensitivity controls'!F9="","",9&gt;'DealScope sensitivity controls'!F9))),IF('Model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controls'!F9)/'Model inputs'!B21,0),1),IF(IF(IF(ISERROR(10&gt;'DealScope sensitivity controls'!F9),10&gt;'DealScope sensitivity controls'!F9,IF('DealScope sensitivity controls'!F9="","",10&gt;'DealScope sensitivity controls'!F9))="",FALSE,IF(ISERROR(10&gt;'DealScope sensitivity controls'!F9),10&gt;'DealScope sensitivity controls'!F9,IF('DealScope sensitivity controls'!F9="","",10&gt;'DealScope sensitivity controls'!F9))),IF('Model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controls'!F9)/'Model inputs'!B21,0),1),IF(IF(IF(ISERROR(10&gt;'DealScope sensitivity controls'!F9),10&gt;'DealScope sensitivity controls'!F9,IF('DealScope sensitivity controls'!F9="","",10&gt;'DealScope sensitivity controls'!F9))="",FALSE,IF(ISERROR(10&gt;'DealScope sensitivity controls'!F9),10&gt;'DealScope sensitivity controls'!F9,IF('DealScope sensitivity controls'!F9="","",10&gt;'DealScope sensitivity controls'!F9))),IF('Model inputs'!B43="","",'Model inputs'!B43),0)))</f>
      </c>
    </row>
    <row r="143">
      <c r="A143" t="inlineStr" s="16">
        <is>
          <t xml:space="preserve">Calculation</t>
        </is>
      </c>
      <c r="B143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controls'!F10)/'Model inputs'!B21,0),1),IF(IF(IF(ISERROR(1&gt;'DealScope sensitivity controls'!F10),1&gt;'DealScope sensitivity controls'!F10,IF('DealScope sensitivity controls'!F10="","",1&gt;'DealScope sensitivity controls'!F10))="",FALSE,IF(ISERROR(1&gt;'DealScope sensitivity controls'!F10),1&gt;'DealScope sensitivity controls'!F10,IF('DealScope sensitivity controls'!F10="","",1&gt;'DealScope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controls'!F10)/'Model inputs'!B21,0),1),IF(IF(IF(ISERROR(1&gt;'DealScope sensitivity controls'!F10),1&gt;'DealScope sensitivity controls'!F10,IF('DealScope sensitivity controls'!F10="","",1&gt;'DealScope sensitivity controls'!F10))="",FALSE,IF(ISERROR(1&gt;'DealScope sensitivity controls'!F10),1&gt;'DealScope sensitivity controls'!F10,IF('DealScope sensitivity controls'!F10="","",1&gt;'DealScope sensitivity controls'!F10))),IF('Model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controls'!F10)/'Model inputs'!B21,0),1),IF(IF(IF(ISERROR(2&gt;'DealScope sensitivity controls'!F10),2&gt;'DealScope sensitivity controls'!F10,IF('DealScope sensitivity controls'!F10="","",2&gt;'DealScope sensitivity controls'!F10))="",FALSE,IF(ISERROR(2&gt;'DealScope sensitivity controls'!F10),2&gt;'DealScope sensitivity controls'!F10,IF('DealScope sensitivity controls'!F10="","",2&gt;'DealScope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controls'!F10)/'Model inputs'!B21,0),1),IF(IF(IF(ISERROR(2&gt;'DealScope sensitivity controls'!F10),2&gt;'DealScope sensitivity controls'!F10,IF('DealScope sensitivity controls'!F10="","",2&gt;'DealScope sensitivity controls'!F10))="",FALSE,IF(ISERROR(2&gt;'DealScope sensitivity controls'!F10),2&gt;'DealScope sensitivity controls'!F10,IF('DealScope sensitivity controls'!F10="","",2&gt;'DealScope sensitivity controls'!F10))),IF('Model inputs'!B43="","",'Model inputs'!B43),0)))</f>
      </c>
    </row>
    <row r="144">
      <c r="A144" t="inlineStr" s="16">
        <is>
          <t xml:space="preserve">Calculation</t>
        </is>
      </c>
      <c r="B144">
        <f>'Model inputs'!B143+IF(IF(IF(IF(ISERROR('Model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controls'!F10)/'Model inputs'!B21,0),1),IF(IF(IF(ISERROR(3&gt;'DealScope sensitivity controls'!F10),3&gt;'DealScope sensitivity controls'!F10,IF('DealScope sensitivity controls'!F10="","",3&gt;'DealScope sensitivity controls'!F10))="",FALSE,IF(ISERROR(3&gt;'DealScope sensitivity controls'!F10),3&gt;'DealScope sensitivity controls'!F10,IF('DealScope sensitivity controls'!F10="","",3&gt;'DealScope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controls'!F10)/'Model inputs'!B21,0),1),IF(IF(IF(ISERROR(3&gt;'DealScope sensitivity controls'!F10),3&gt;'DealScope sensitivity controls'!F10,IF('DealScope sensitivity controls'!F10="","",3&gt;'DealScope sensitivity controls'!F10))="",FALSE,IF(ISERROR(3&gt;'DealScope sensitivity controls'!F10),3&gt;'DealScope sensitivity controls'!F10,IF('DealScope sensitivity controls'!F10="","",3&gt;'DealScope sensitivity controls'!F10))),IF('Model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controls'!F10)/'Model inputs'!B21,0),1),IF(IF(IF(ISERROR(4&gt;'DealScope sensitivity controls'!F10),4&gt;'DealScope sensitivity controls'!F10,IF('DealScope sensitivity controls'!F10="","",4&gt;'DealScope sensitivity controls'!F10))="",FALSE,IF(ISERROR(4&gt;'DealScope sensitivity controls'!F10),4&gt;'DealScope sensitivity controls'!F10,IF('DealScope sensitivity controls'!F10="","",4&gt;'DealScope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controls'!F10)/'Model inputs'!B21,0),1),IF(IF(IF(ISERROR(4&gt;'DealScope sensitivity controls'!F10),4&gt;'DealScope sensitivity controls'!F10,IF('DealScope sensitivity controls'!F10="","",4&gt;'DealScope sensitivity controls'!F10))="",FALSE,IF(ISERROR(4&gt;'DealScope sensitivity controls'!F10),4&gt;'DealScope sensitivity controls'!F10,IF('DealScope sensitivity controls'!F10="","",4&gt;'DealScope sensitivity controls'!F10))),IF('Model inputs'!B43="","",'Model inputs'!B43),0)))</f>
      </c>
    </row>
    <row r="145">
      <c r="A145" t="inlineStr" s="16">
        <is>
          <t xml:space="preserve">Calculation</t>
        </is>
      </c>
      <c r="B145">
        <f>'Model inputs'!B144+IF(IF(IF(IF(ISERROR('Model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controls'!F10)/'Model inputs'!B21,0),1),IF(IF(IF(ISERROR(5&gt;'DealScope sensitivity controls'!F10),5&gt;'DealScope sensitivity controls'!F10,IF('DealScope sensitivity controls'!F10="","",5&gt;'DealScope sensitivity controls'!F10))="",FALSE,IF(ISERROR(5&gt;'DealScope sensitivity controls'!F10),5&gt;'DealScope sensitivity controls'!F10,IF('DealScope sensitivity controls'!F10="","",5&gt;'DealScope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controls'!F10)/'Model inputs'!B21,0),1),IF(IF(IF(ISERROR(5&gt;'DealScope sensitivity controls'!F10),5&gt;'DealScope sensitivity controls'!F10,IF('DealScope sensitivity controls'!F10="","",5&gt;'DealScope sensitivity controls'!F10))="",FALSE,IF(ISERROR(5&gt;'DealScope sensitivity controls'!F10),5&gt;'DealScope sensitivity controls'!F10,IF('DealScope sensitivity controls'!F10="","",5&gt;'DealScope sensitivity controls'!F10))),IF('Model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controls'!F10)/'Model inputs'!B21,0),1),IF(IF(IF(ISERROR(6&gt;'DealScope sensitivity controls'!F10),6&gt;'DealScope sensitivity controls'!F10,IF('DealScope sensitivity controls'!F10="","",6&gt;'DealScope sensitivity controls'!F10))="",FALSE,IF(ISERROR(6&gt;'DealScope sensitivity controls'!F10),6&gt;'DealScope sensitivity controls'!F10,IF('DealScope sensitivity controls'!F10="","",6&gt;'DealScope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controls'!F10)/'Model inputs'!B21,0),1),IF(IF(IF(ISERROR(6&gt;'DealScope sensitivity controls'!F10),6&gt;'DealScope sensitivity controls'!F10,IF('DealScope sensitivity controls'!F10="","",6&gt;'DealScope sensitivity controls'!F10))="",FALSE,IF(ISERROR(6&gt;'DealScope sensitivity controls'!F10),6&gt;'DealScope sensitivity controls'!F10,IF('DealScope sensitivity controls'!F10="","",6&gt;'DealScope sensitivity controls'!F10))),IF('Model inputs'!B43="","",'Model inputs'!B43),0)))</f>
      </c>
    </row>
    <row r="146">
      <c r="A146" t="inlineStr" s="16">
        <is>
          <t xml:space="preserve">Calculation</t>
        </is>
      </c>
      <c r="B146">
        <f>'Model inputs'!B145+IF(IF(IF(IF(ISERROR('Model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controls'!F10)/'Model inputs'!B21,0),1),IF(IF(IF(ISERROR(7&gt;'DealScope sensitivity controls'!F10),7&gt;'DealScope sensitivity controls'!F10,IF('DealScope sensitivity controls'!F10="","",7&gt;'DealScope sensitivity controls'!F10))="",FALSE,IF(ISERROR(7&gt;'DealScope sensitivity controls'!F10),7&gt;'DealScope sensitivity controls'!F10,IF('DealScope sensitivity controls'!F10="","",7&gt;'DealScope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controls'!F10)/'Model inputs'!B21,0),1),IF(IF(IF(ISERROR(7&gt;'DealScope sensitivity controls'!F10),7&gt;'DealScope sensitivity controls'!F10,IF('DealScope sensitivity controls'!F10="","",7&gt;'DealScope sensitivity controls'!F10))="",FALSE,IF(ISERROR(7&gt;'DealScope sensitivity controls'!F10),7&gt;'DealScope sensitivity controls'!F10,IF('DealScope sensitivity controls'!F10="","",7&gt;'DealScope sensitivity controls'!F10))),IF('Model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controls'!F10)/'Model inputs'!B21,0),1),IF(IF(IF(ISERROR(8&gt;'DealScope sensitivity controls'!F10),8&gt;'DealScope sensitivity controls'!F10,IF('DealScope sensitivity controls'!F10="","",8&gt;'DealScope sensitivity controls'!F10))="",FALSE,IF(ISERROR(8&gt;'DealScope sensitivity controls'!F10),8&gt;'DealScope sensitivity controls'!F10,IF('DealScope sensitivity controls'!F10="","",8&gt;'DealScope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controls'!F10)/'Model inputs'!B21,0),1),IF(IF(IF(ISERROR(8&gt;'DealScope sensitivity controls'!F10),8&gt;'DealScope sensitivity controls'!F10,IF('DealScope sensitivity controls'!F10="","",8&gt;'DealScope sensitivity controls'!F10))="",FALSE,IF(ISERROR(8&gt;'DealScope sensitivity controls'!F10),8&gt;'DealScope sensitivity controls'!F10,IF('DealScope sensitivity controls'!F10="","",8&gt;'DealScope sensitivity controls'!F10))),IF('Model inputs'!B43="","",'Model inputs'!B43),0)))</f>
      </c>
    </row>
    <row r="147">
      <c r="A147" t="inlineStr" s="16">
        <is>
          <t xml:space="preserve">Calculation</t>
        </is>
      </c>
      <c r="B147">
        <f>'Model inputs'!B146+IF(IF(IF(IF(ISERROR('Model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controls'!F10)/'Model inputs'!B21,0),1),IF(IF(IF(ISERROR(9&gt;'DealScope sensitivity controls'!F10),9&gt;'DealScope sensitivity controls'!F10,IF('DealScope sensitivity controls'!F10="","",9&gt;'DealScope sensitivity controls'!F10))="",FALSE,IF(ISERROR(9&gt;'DealScope sensitivity controls'!F10),9&gt;'DealScope sensitivity controls'!F10,IF('DealScope sensitivity controls'!F10="","",9&gt;'DealScope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controls'!F10)/'Model inputs'!B21,0),1),IF(IF(IF(ISERROR(9&gt;'DealScope sensitivity controls'!F10),9&gt;'DealScope sensitivity controls'!F10,IF('DealScope sensitivity controls'!F10="","",9&gt;'DealScope sensitivity controls'!F10))="",FALSE,IF(ISERROR(9&gt;'DealScope sensitivity controls'!F10),9&gt;'DealScope sensitivity controls'!F10,IF('DealScope sensitivity controls'!F10="","",9&gt;'DealScope sensitivity controls'!F10))),IF('Model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controls'!F10)/'Model inputs'!B21,0),1),IF(IF(IF(ISERROR(10&gt;'DealScope sensitivity controls'!F10),10&gt;'DealScope sensitivity controls'!F10,IF('DealScope sensitivity controls'!F10="","",10&gt;'DealScope sensitivity controls'!F10))="",FALSE,IF(ISERROR(10&gt;'DealScope sensitivity controls'!F10),10&gt;'DealScope sensitivity controls'!F10,IF('DealScope sensitivity controls'!F10="","",10&gt;'DealScope sensitivity controls'!F10))),IF('Model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controls'!F10)/'Model inputs'!B21,0),1),IF(IF(IF(ISERROR(10&gt;'DealScope sensitivity controls'!F10),10&gt;'DealScope sensitivity controls'!F10,IF('DealScope sensitivity controls'!F10="","",10&gt;'DealScope sensitivity controls'!F10))="",FALSE,IF(ISERROR(10&gt;'DealScope sensitivity controls'!F10),10&gt;'DealScope sensitivity controls'!F10,IF('DealScope sensitivity controls'!F10="","",10&gt;'DealScope sensitivity controls'!F10))),IF('Model inputs'!B43="","",'Model inputs'!B43),0)))</f>
      </c>
    </row>
    <row r="148">
      <c r="A148" t="inlineStr" s="16">
        <is>
          <t xml:space="preserve">Calculation</t>
        </is>
      </c>
      <c r="B148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controls'!F11)/'Model inputs'!B21,0),1),IF(IF(IF(ISERROR(1&gt;'DealScope sensitivity controls'!F11),1&gt;'DealScope sensitivity controls'!F11,IF('DealScope sensitivity controls'!F11="","",1&gt;'DealScope sensitivity controls'!F11))="",FALSE,IF(ISERROR(1&gt;'DealScope sensitivity controls'!F11),1&gt;'DealScope sensitivity controls'!F11,IF('DealScope sensitivity controls'!F11="","",1&gt;'DealScope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controls'!F11)/'Model inputs'!B21,0),1),IF(IF(IF(ISERROR(1&gt;'DealScope sensitivity controls'!F11),1&gt;'DealScope sensitivity controls'!F11,IF('DealScope sensitivity controls'!F11="","",1&gt;'DealScope sensitivity controls'!F11))="",FALSE,IF(ISERROR(1&gt;'DealScope sensitivity controls'!F11),1&gt;'DealScope sensitivity controls'!F11,IF('DealScope sensitivity controls'!F11="","",1&gt;'DealScope sensitivity controls'!F11))),IF('Model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controls'!F11)/'Model inputs'!B21,0),1),IF(IF(IF(ISERROR(2&gt;'DealScope sensitivity controls'!F11),2&gt;'DealScope sensitivity controls'!F11,IF('DealScope sensitivity controls'!F11="","",2&gt;'DealScope sensitivity controls'!F11))="",FALSE,IF(ISERROR(2&gt;'DealScope sensitivity controls'!F11),2&gt;'DealScope sensitivity controls'!F11,IF('DealScope sensitivity controls'!F11="","",2&gt;'DealScope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controls'!F11)/'Model inputs'!B21,0),1),IF(IF(IF(ISERROR(2&gt;'DealScope sensitivity controls'!F11),2&gt;'DealScope sensitivity controls'!F11,IF('DealScope sensitivity controls'!F11="","",2&gt;'DealScope sensitivity controls'!F11))="",FALSE,IF(ISERROR(2&gt;'DealScope sensitivity controls'!F11),2&gt;'DealScope sensitivity controls'!F11,IF('DealScope sensitivity controls'!F11="","",2&gt;'DealScope sensitivity controls'!F11))),IF('Model inputs'!B43="","",'Model inputs'!B43),0)))</f>
      </c>
    </row>
    <row r="149">
      <c r="A149" t="inlineStr" s="16">
        <is>
          <t xml:space="preserve">Calculation</t>
        </is>
      </c>
      <c r="B149">
        <f>'Model inputs'!B148+IF(IF(IF(IF(ISERROR('Model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controls'!F11)/'Model inputs'!B21,0),1),IF(IF(IF(ISERROR(3&gt;'DealScope sensitivity controls'!F11),3&gt;'DealScope sensitivity controls'!F11,IF('DealScope sensitivity controls'!F11="","",3&gt;'DealScope sensitivity controls'!F11))="",FALSE,IF(ISERROR(3&gt;'DealScope sensitivity controls'!F11),3&gt;'DealScope sensitivity controls'!F11,IF('DealScope sensitivity controls'!F11="","",3&gt;'DealScope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controls'!F11)/'Model inputs'!B21,0),1),IF(IF(IF(ISERROR(3&gt;'DealScope sensitivity controls'!F11),3&gt;'DealScope sensitivity controls'!F11,IF('DealScope sensitivity controls'!F11="","",3&gt;'DealScope sensitivity controls'!F11))="",FALSE,IF(ISERROR(3&gt;'DealScope sensitivity controls'!F11),3&gt;'DealScope sensitivity controls'!F11,IF('DealScope sensitivity controls'!F11="","",3&gt;'DealScope sensitivity controls'!F11))),IF('Model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controls'!F11)/'Model inputs'!B21,0),1),IF(IF(IF(ISERROR(4&gt;'DealScope sensitivity controls'!F11),4&gt;'DealScope sensitivity controls'!F11,IF('DealScope sensitivity controls'!F11="","",4&gt;'DealScope sensitivity controls'!F11))="",FALSE,IF(ISERROR(4&gt;'DealScope sensitivity controls'!F11),4&gt;'DealScope sensitivity controls'!F11,IF('DealScope sensitivity controls'!F11="","",4&gt;'DealScope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controls'!F11)/'Model inputs'!B21,0),1),IF(IF(IF(ISERROR(4&gt;'DealScope sensitivity controls'!F11),4&gt;'DealScope sensitivity controls'!F11,IF('DealScope sensitivity controls'!F11="","",4&gt;'DealScope sensitivity controls'!F11))="",FALSE,IF(ISERROR(4&gt;'DealScope sensitivity controls'!F11),4&gt;'DealScope sensitivity controls'!F11,IF('DealScope sensitivity controls'!F11="","",4&gt;'DealScope sensitivity controls'!F11))),IF('Model inputs'!B43="","",'Model inputs'!B43),0)))</f>
      </c>
    </row>
    <row r="150">
      <c r="A150" t="inlineStr" s="16">
        <is>
          <t xml:space="preserve">Calculation</t>
        </is>
      </c>
      <c r="B150">
        <f>'Model inputs'!B149+IF(IF(IF(IF(ISERROR('Model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controls'!F11)/'Model inputs'!B21,0),1),IF(IF(IF(ISERROR(5&gt;'DealScope sensitivity controls'!F11),5&gt;'DealScope sensitivity controls'!F11,IF('DealScope sensitivity controls'!F11="","",5&gt;'DealScope sensitivity controls'!F11))="",FALSE,IF(ISERROR(5&gt;'DealScope sensitivity controls'!F11),5&gt;'DealScope sensitivity controls'!F11,IF('DealScope sensitivity controls'!F11="","",5&gt;'DealScope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controls'!F11)/'Model inputs'!B21,0),1),IF(IF(IF(ISERROR(5&gt;'DealScope sensitivity controls'!F11),5&gt;'DealScope sensitivity controls'!F11,IF('DealScope sensitivity controls'!F11="","",5&gt;'DealScope sensitivity controls'!F11))="",FALSE,IF(ISERROR(5&gt;'DealScope sensitivity controls'!F11),5&gt;'DealScope sensitivity controls'!F11,IF('DealScope sensitivity controls'!F11="","",5&gt;'DealScope sensitivity controls'!F11))),IF('Model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controls'!F11)/'Model inputs'!B21,0),1),IF(IF(IF(ISERROR(6&gt;'DealScope sensitivity controls'!F11),6&gt;'DealScope sensitivity controls'!F11,IF('DealScope sensitivity controls'!F11="","",6&gt;'DealScope sensitivity controls'!F11))="",FALSE,IF(ISERROR(6&gt;'DealScope sensitivity controls'!F11),6&gt;'DealScope sensitivity controls'!F11,IF('DealScope sensitivity controls'!F11="","",6&gt;'DealScope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controls'!F11)/'Model inputs'!B21,0),1),IF(IF(IF(ISERROR(6&gt;'DealScope sensitivity controls'!F11),6&gt;'DealScope sensitivity controls'!F11,IF('DealScope sensitivity controls'!F11="","",6&gt;'DealScope sensitivity controls'!F11))="",FALSE,IF(ISERROR(6&gt;'DealScope sensitivity controls'!F11),6&gt;'DealScope sensitivity controls'!F11,IF('DealScope sensitivity controls'!F11="","",6&gt;'DealScope sensitivity controls'!F11))),IF('Model inputs'!B43="","",'Model inputs'!B43),0)))</f>
      </c>
    </row>
    <row r="151">
      <c r="A151" t="inlineStr" s="16">
        <is>
          <t xml:space="preserve">Calculation</t>
        </is>
      </c>
      <c r="B151">
        <f>'Model inputs'!B150+IF(IF(IF(IF(ISERROR('Model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controls'!F11)/'Model inputs'!B21,0),1),IF(IF(IF(ISERROR(7&gt;'DealScope sensitivity controls'!F11),7&gt;'DealScope sensitivity controls'!F11,IF('DealScope sensitivity controls'!F11="","",7&gt;'DealScope sensitivity controls'!F11))="",FALSE,IF(ISERROR(7&gt;'DealScope sensitivity controls'!F11),7&gt;'DealScope sensitivity controls'!F11,IF('DealScope sensitivity controls'!F11="","",7&gt;'DealScope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controls'!F11)/'Model inputs'!B21,0),1),IF(IF(IF(ISERROR(7&gt;'DealScope sensitivity controls'!F11),7&gt;'DealScope sensitivity controls'!F11,IF('DealScope sensitivity controls'!F11="","",7&gt;'DealScope sensitivity controls'!F11))="",FALSE,IF(ISERROR(7&gt;'DealScope sensitivity controls'!F11),7&gt;'DealScope sensitivity controls'!F11,IF('DealScope sensitivity controls'!F11="","",7&gt;'DealScope sensitivity controls'!F11))),IF('Model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controls'!F11)/'Model inputs'!B21,0),1),IF(IF(IF(ISERROR(8&gt;'DealScope sensitivity controls'!F11),8&gt;'DealScope sensitivity controls'!F11,IF('DealScope sensitivity controls'!F11="","",8&gt;'DealScope sensitivity controls'!F11))="",FALSE,IF(ISERROR(8&gt;'DealScope sensitivity controls'!F11),8&gt;'DealScope sensitivity controls'!F11,IF('DealScope sensitivity controls'!F11="","",8&gt;'DealScope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controls'!F11)/'Model inputs'!B21,0),1),IF(IF(IF(ISERROR(8&gt;'DealScope sensitivity controls'!F11),8&gt;'DealScope sensitivity controls'!F11,IF('DealScope sensitivity controls'!F11="","",8&gt;'DealScope sensitivity controls'!F11))="",FALSE,IF(ISERROR(8&gt;'DealScope sensitivity controls'!F11),8&gt;'DealScope sensitivity controls'!F11,IF('DealScope sensitivity controls'!F11="","",8&gt;'DealScope sensitivity controls'!F11))),IF('Model inputs'!B43="","",'Model inputs'!B43),0)))</f>
      </c>
    </row>
    <row r="152">
      <c r="A152" t="inlineStr" s="16">
        <is>
          <t xml:space="preserve">Calculation</t>
        </is>
      </c>
      <c r="B152">
        <f>'Model inputs'!B151+IF(IF(IF(IF(ISERROR('Model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controls'!F11)/'Model inputs'!B21,0),1),IF(IF(IF(ISERROR(9&gt;'DealScope sensitivity controls'!F11),9&gt;'DealScope sensitivity controls'!F11,IF('DealScope sensitivity controls'!F11="","",9&gt;'DealScope sensitivity controls'!F11))="",FALSE,IF(ISERROR(9&gt;'DealScope sensitivity controls'!F11),9&gt;'DealScope sensitivity controls'!F11,IF('DealScope sensitivity controls'!F11="","",9&gt;'DealScope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controls'!F11)/'Model inputs'!B21,0),1),IF(IF(IF(ISERROR(9&gt;'DealScope sensitivity controls'!F11),9&gt;'DealScope sensitivity controls'!F11,IF('DealScope sensitivity controls'!F11="","",9&gt;'DealScope sensitivity controls'!F11))="",FALSE,IF(ISERROR(9&gt;'DealScope sensitivity controls'!F11),9&gt;'DealScope sensitivity controls'!F11,IF('DealScope sensitivity controls'!F11="","",9&gt;'DealScope sensitivity controls'!F11))),IF('Model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controls'!F11)/'Model inputs'!B21,0),1),IF(IF(IF(ISERROR(10&gt;'DealScope sensitivity controls'!F11),10&gt;'DealScope sensitivity controls'!F11,IF('DealScope sensitivity controls'!F11="","",10&gt;'DealScope sensitivity controls'!F11))="",FALSE,IF(ISERROR(10&gt;'DealScope sensitivity controls'!F11),10&gt;'DealScope sensitivity controls'!F11,IF('DealScope sensitivity controls'!F11="","",10&gt;'DealScope sensitivity controls'!F11))),IF('Model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controls'!F11)/'Model inputs'!B21,0),1),IF(IF(IF(ISERROR(10&gt;'DealScope sensitivity controls'!F11),10&gt;'DealScope sensitivity controls'!F11,IF('DealScope sensitivity controls'!F11="","",10&gt;'DealScope sensitivity controls'!F11))="",FALSE,IF(ISERROR(10&gt;'DealScope sensitivity controls'!F11),10&gt;'DealScope sensitivity controls'!F11,IF('DealScope sensitivity controls'!F11="","",10&gt;'DealScope sensitivity controls'!F11))),IF('Model inputs'!B43="","",'Model inputs'!B43),0)))</f>
      </c>
    </row>
    <row r="153">
      <c r="A153" t="inlineStr" s="16">
        <is>
          <t xml:space="preserve">Calculation</t>
        </is>
      </c>
      <c r="B153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controls'!F18)/'Model inputs'!B21,0),1),IF(IF(IF(ISERROR(1&gt;'DealScope sensitivity controls'!F18),1&gt;'DealScope sensitivity controls'!F18,IF('DealScope sensitivity controls'!F18="","",1&gt;'DealScope sensitivity controls'!F18))="",FALSE,IF(ISERROR(1&gt;'DealScope sensitivity controls'!F18),1&gt;'DealScope sensitivity controls'!F18,IF('DealScope sensitivity controls'!F18="","",1&gt;'DealScope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controls'!F18)/'Model inputs'!B21,0),1),IF(IF(IF(ISERROR(1&gt;'DealScope sensitivity controls'!F18),1&gt;'DealScope sensitivity controls'!F18,IF('DealScope sensitivity controls'!F18="","",1&gt;'DealScope sensitivity controls'!F18))="",FALSE,IF(ISERROR(1&gt;'DealScope sensitivity controls'!F18),1&gt;'DealScope sensitivity controls'!F18,IF('DealScope sensitivity controls'!F18="","",1&gt;'DealScope sensitivity controls'!F18))),IF('Model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controls'!F18)/'Model inputs'!B21,0),1),IF(IF(IF(ISERROR(2&gt;'DealScope sensitivity controls'!F18),2&gt;'DealScope sensitivity controls'!F18,IF('DealScope sensitivity controls'!F18="","",2&gt;'DealScope sensitivity controls'!F18))="",FALSE,IF(ISERROR(2&gt;'DealScope sensitivity controls'!F18),2&gt;'DealScope sensitivity controls'!F18,IF('DealScope sensitivity controls'!F18="","",2&gt;'DealScope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controls'!F18)/'Model inputs'!B21,0),1),IF(IF(IF(ISERROR(2&gt;'DealScope sensitivity controls'!F18),2&gt;'DealScope sensitivity controls'!F18,IF('DealScope sensitivity controls'!F18="","",2&gt;'DealScope sensitivity controls'!F18))="",FALSE,IF(ISERROR(2&gt;'DealScope sensitivity controls'!F18),2&gt;'DealScope sensitivity controls'!F18,IF('DealScope sensitivity controls'!F18="","",2&gt;'DealScope sensitivity controls'!F18))),IF('Model inputs'!B43="","",'Model inputs'!B43),0)))</f>
      </c>
    </row>
    <row r="154">
      <c r="A154" t="inlineStr" s="16">
        <is>
          <t xml:space="preserve">Calculation</t>
        </is>
      </c>
      <c r="B154">
        <f>'Model inputs'!B153+IF(IF(IF(IF(ISERROR('Model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controls'!F18)/'Model inputs'!B21,0),1),IF(IF(IF(ISERROR(3&gt;'DealScope sensitivity controls'!F18),3&gt;'DealScope sensitivity controls'!F18,IF('DealScope sensitivity controls'!F18="","",3&gt;'DealScope sensitivity controls'!F18))="",FALSE,IF(ISERROR(3&gt;'DealScope sensitivity controls'!F18),3&gt;'DealScope sensitivity controls'!F18,IF('DealScope sensitivity controls'!F18="","",3&gt;'DealScope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controls'!F18)/'Model inputs'!B21,0),1),IF(IF(IF(ISERROR(3&gt;'DealScope sensitivity controls'!F18),3&gt;'DealScope sensitivity controls'!F18,IF('DealScope sensitivity controls'!F18="","",3&gt;'DealScope sensitivity controls'!F18))="",FALSE,IF(ISERROR(3&gt;'DealScope sensitivity controls'!F18),3&gt;'DealScope sensitivity controls'!F18,IF('DealScope sensitivity controls'!F18="","",3&gt;'DealScope sensitivity controls'!F18))),IF('Model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controls'!F18)/'Model inputs'!B21,0),1),IF(IF(IF(ISERROR(4&gt;'DealScope sensitivity controls'!F18),4&gt;'DealScope sensitivity controls'!F18,IF('DealScope sensitivity controls'!F18="","",4&gt;'DealScope sensitivity controls'!F18))="",FALSE,IF(ISERROR(4&gt;'DealScope sensitivity controls'!F18),4&gt;'DealScope sensitivity controls'!F18,IF('DealScope sensitivity controls'!F18="","",4&gt;'DealScope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controls'!F18)/'Model inputs'!B21,0),1),IF(IF(IF(ISERROR(4&gt;'DealScope sensitivity controls'!F18),4&gt;'DealScope sensitivity controls'!F18,IF('DealScope sensitivity controls'!F18="","",4&gt;'DealScope sensitivity controls'!F18))="",FALSE,IF(ISERROR(4&gt;'DealScope sensitivity controls'!F18),4&gt;'DealScope sensitivity controls'!F18,IF('DealScope sensitivity controls'!F18="","",4&gt;'DealScope sensitivity controls'!F18))),IF('Model inputs'!B43="","",'Model inputs'!B43),0)))</f>
      </c>
    </row>
    <row r="155">
      <c r="A155" t="inlineStr" s="16">
        <is>
          <t xml:space="preserve">Calculation</t>
        </is>
      </c>
      <c r="B155">
        <f>'Model inputs'!B154+IF(IF(IF(IF(ISERROR('Model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controls'!F18)/'Model inputs'!B21,0),1),IF(IF(IF(ISERROR(5&gt;'DealScope sensitivity controls'!F18),5&gt;'DealScope sensitivity controls'!F18,IF('DealScope sensitivity controls'!F18="","",5&gt;'DealScope sensitivity controls'!F18))="",FALSE,IF(ISERROR(5&gt;'DealScope sensitivity controls'!F18),5&gt;'DealScope sensitivity controls'!F18,IF('DealScope sensitivity controls'!F18="","",5&gt;'DealScope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controls'!F18)/'Model inputs'!B21,0),1),IF(IF(IF(ISERROR(5&gt;'DealScope sensitivity controls'!F18),5&gt;'DealScope sensitivity controls'!F18,IF('DealScope sensitivity controls'!F18="","",5&gt;'DealScope sensitivity controls'!F18))="",FALSE,IF(ISERROR(5&gt;'DealScope sensitivity controls'!F18),5&gt;'DealScope sensitivity controls'!F18,IF('DealScope sensitivity controls'!F18="","",5&gt;'DealScope sensitivity controls'!F18))),IF('Model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controls'!F18)/'Model inputs'!B21,0),1),IF(IF(IF(ISERROR(6&gt;'DealScope sensitivity controls'!F18),6&gt;'DealScope sensitivity controls'!F18,IF('DealScope sensitivity controls'!F18="","",6&gt;'DealScope sensitivity controls'!F18))="",FALSE,IF(ISERROR(6&gt;'DealScope sensitivity controls'!F18),6&gt;'DealScope sensitivity controls'!F18,IF('DealScope sensitivity controls'!F18="","",6&gt;'DealScope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controls'!F18)/'Model inputs'!B21,0),1),IF(IF(IF(ISERROR(6&gt;'DealScope sensitivity controls'!F18),6&gt;'DealScope sensitivity controls'!F18,IF('DealScope sensitivity controls'!F18="","",6&gt;'DealScope sensitivity controls'!F18))="",FALSE,IF(ISERROR(6&gt;'DealScope sensitivity controls'!F18),6&gt;'DealScope sensitivity controls'!F18,IF('DealScope sensitivity controls'!F18="","",6&gt;'DealScope sensitivity controls'!F18))),IF('Model inputs'!B43="","",'Model inputs'!B43),0)))</f>
      </c>
    </row>
    <row r="156">
      <c r="A156" t="inlineStr" s="16">
        <is>
          <t xml:space="preserve">Calculation</t>
        </is>
      </c>
      <c r="B156">
        <f>'Model inputs'!B155+IF(IF(IF(IF(ISERROR('Model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controls'!F18)/'Model inputs'!B21,0),1),IF(IF(IF(ISERROR(7&gt;'DealScope sensitivity controls'!F18),7&gt;'DealScope sensitivity controls'!F18,IF('DealScope sensitivity controls'!F18="","",7&gt;'DealScope sensitivity controls'!F18))="",FALSE,IF(ISERROR(7&gt;'DealScope sensitivity controls'!F18),7&gt;'DealScope sensitivity controls'!F18,IF('DealScope sensitivity controls'!F18="","",7&gt;'DealScope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controls'!F18)/'Model inputs'!B21,0),1),IF(IF(IF(ISERROR(7&gt;'DealScope sensitivity controls'!F18),7&gt;'DealScope sensitivity controls'!F18,IF('DealScope sensitivity controls'!F18="","",7&gt;'DealScope sensitivity controls'!F18))="",FALSE,IF(ISERROR(7&gt;'DealScope sensitivity controls'!F18),7&gt;'DealScope sensitivity controls'!F18,IF('DealScope sensitivity controls'!F18="","",7&gt;'DealScope sensitivity controls'!F18))),IF('Model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controls'!F18)/'Model inputs'!B21,0),1),IF(IF(IF(ISERROR(8&gt;'DealScope sensitivity controls'!F18),8&gt;'DealScope sensitivity controls'!F18,IF('DealScope sensitivity controls'!F18="","",8&gt;'DealScope sensitivity controls'!F18))="",FALSE,IF(ISERROR(8&gt;'DealScope sensitivity controls'!F18),8&gt;'DealScope sensitivity controls'!F18,IF('DealScope sensitivity controls'!F18="","",8&gt;'DealScope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controls'!F18)/'Model inputs'!B21,0),1),IF(IF(IF(ISERROR(8&gt;'DealScope sensitivity controls'!F18),8&gt;'DealScope sensitivity controls'!F18,IF('DealScope sensitivity controls'!F18="","",8&gt;'DealScope sensitivity controls'!F18))="",FALSE,IF(ISERROR(8&gt;'DealScope sensitivity controls'!F18),8&gt;'DealScope sensitivity controls'!F18,IF('DealScope sensitivity controls'!F18="","",8&gt;'DealScope sensitivity controls'!F18))),IF('Model inputs'!B43="","",'Model inputs'!B43),0)))</f>
      </c>
    </row>
    <row r="157">
      <c r="A157" t="inlineStr" s="16">
        <is>
          <t xml:space="preserve">Calculation</t>
        </is>
      </c>
      <c r="B157">
        <f>'Model inputs'!B156+IF(IF(IF(IF(ISERROR('Model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controls'!F18)/'Model inputs'!B21,0),1),IF(IF(IF(ISERROR(9&gt;'DealScope sensitivity controls'!F18),9&gt;'DealScope sensitivity controls'!F18,IF('DealScope sensitivity controls'!F18="","",9&gt;'DealScope sensitivity controls'!F18))="",FALSE,IF(ISERROR(9&gt;'DealScope sensitivity controls'!F18),9&gt;'DealScope sensitivity controls'!F18,IF('DealScope sensitivity controls'!F18="","",9&gt;'DealScope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controls'!F18)/'Model inputs'!B21,0),1),IF(IF(IF(ISERROR(9&gt;'DealScope sensitivity controls'!F18),9&gt;'DealScope sensitivity controls'!F18,IF('DealScope sensitivity controls'!F18="","",9&gt;'DealScope sensitivity controls'!F18))="",FALSE,IF(ISERROR(9&gt;'DealScope sensitivity controls'!F18),9&gt;'DealScope sensitivity controls'!F18,IF('DealScope sensitivity controls'!F18="","",9&gt;'DealScope sensitivity controls'!F18))),IF('Model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controls'!F18)/'Model inputs'!B21,0),1),IF(IF(IF(ISERROR(10&gt;'DealScope sensitivity controls'!F18),10&gt;'DealScope sensitivity controls'!F18,IF('DealScope sensitivity controls'!F18="","",10&gt;'DealScope sensitivity controls'!F18))="",FALSE,IF(ISERROR(10&gt;'DealScope sensitivity controls'!F18),10&gt;'DealScope sensitivity controls'!F18,IF('DealScope sensitivity controls'!F18="","",10&gt;'DealScope sensitivity controls'!F18))),IF('Model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controls'!F18)/'Model inputs'!B21,0),1),IF(IF(IF(ISERROR(10&gt;'DealScope sensitivity controls'!F18),10&gt;'DealScope sensitivity controls'!F18,IF('DealScope sensitivity controls'!F18="","",10&gt;'DealScope sensitivity controls'!F18))="",FALSE,IF(ISERROR(10&gt;'DealScope sensitivity controls'!F18),10&gt;'DealScope sensitivity controls'!F18,IF('DealScope sensitivity controls'!F18="","",10&gt;'DealScope sensitivity controls'!F18))),IF('Model inputs'!B43="","",'Model inputs'!B43),0)))</f>
      </c>
    </row>
    <row r="158">
      <c r="A158" t="inlineStr" s="16">
        <is>
          <t xml:space="preserve">Calculation</t>
        </is>
      </c>
      <c r="B158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controls'!F19)/'Model inputs'!B21,0),1),IF(IF(IF(ISERROR(1&gt;'DealScope sensitivity controls'!F19),1&gt;'DealScope sensitivity controls'!F19,IF('DealScope sensitivity controls'!F19="","",1&gt;'DealScope sensitivity controls'!F19))="",FALSE,IF(ISERROR(1&gt;'DealScope sensitivity controls'!F19),1&gt;'DealScope sensitivity controls'!F19,IF('DealScope sensitivity controls'!F19="","",1&gt;'DealScope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controls'!F19)/'Model inputs'!B21,0),1),IF(IF(IF(ISERROR(1&gt;'DealScope sensitivity controls'!F19),1&gt;'DealScope sensitivity controls'!F19,IF('DealScope sensitivity controls'!F19="","",1&gt;'DealScope sensitivity controls'!F19))="",FALSE,IF(ISERROR(1&gt;'DealScope sensitivity controls'!F19),1&gt;'DealScope sensitivity controls'!F19,IF('DealScope sensitivity controls'!F19="","",1&gt;'DealScope sensitivity controls'!F19))),IF('Model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controls'!F19)/'Model inputs'!B21,0),1),IF(IF(IF(ISERROR(2&gt;'DealScope sensitivity controls'!F19),2&gt;'DealScope sensitivity controls'!F19,IF('DealScope sensitivity controls'!F19="","",2&gt;'DealScope sensitivity controls'!F19))="",FALSE,IF(ISERROR(2&gt;'DealScope sensitivity controls'!F19),2&gt;'DealScope sensitivity controls'!F19,IF('DealScope sensitivity controls'!F19="","",2&gt;'DealScope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controls'!F19)/'Model inputs'!B21,0),1),IF(IF(IF(ISERROR(2&gt;'DealScope sensitivity controls'!F19),2&gt;'DealScope sensitivity controls'!F19,IF('DealScope sensitivity controls'!F19="","",2&gt;'DealScope sensitivity controls'!F19))="",FALSE,IF(ISERROR(2&gt;'DealScope sensitivity controls'!F19),2&gt;'DealScope sensitivity controls'!F19,IF('DealScope sensitivity controls'!F19="","",2&gt;'DealScope sensitivity controls'!F19))),IF('Model inputs'!B43="","",'Model inputs'!B43),0)))</f>
      </c>
    </row>
    <row r="159">
      <c r="A159" t="inlineStr" s="16">
        <is>
          <t xml:space="preserve">Calculation</t>
        </is>
      </c>
      <c r="B159">
        <f>'Model inputs'!B158+IF(IF(IF(IF(ISERROR('Model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controls'!F19)/'Model inputs'!B21,0),1),IF(IF(IF(ISERROR(3&gt;'DealScope sensitivity controls'!F19),3&gt;'DealScope sensitivity controls'!F19,IF('DealScope sensitivity controls'!F19="","",3&gt;'DealScope sensitivity controls'!F19))="",FALSE,IF(ISERROR(3&gt;'DealScope sensitivity controls'!F19),3&gt;'DealScope sensitivity controls'!F19,IF('DealScope sensitivity controls'!F19="","",3&gt;'DealScope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controls'!F19)/'Model inputs'!B21,0),1),IF(IF(IF(ISERROR(3&gt;'DealScope sensitivity controls'!F19),3&gt;'DealScope sensitivity controls'!F19,IF('DealScope sensitivity controls'!F19="","",3&gt;'DealScope sensitivity controls'!F19))="",FALSE,IF(ISERROR(3&gt;'DealScope sensitivity controls'!F19),3&gt;'DealScope sensitivity controls'!F19,IF('DealScope sensitivity controls'!F19="","",3&gt;'DealScope sensitivity controls'!F19))),IF('Model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controls'!F19)/'Model inputs'!B21,0),1),IF(IF(IF(ISERROR(4&gt;'DealScope sensitivity controls'!F19),4&gt;'DealScope sensitivity controls'!F19,IF('DealScope sensitivity controls'!F19="","",4&gt;'DealScope sensitivity controls'!F19))="",FALSE,IF(ISERROR(4&gt;'DealScope sensitivity controls'!F19),4&gt;'DealScope sensitivity controls'!F19,IF('DealScope sensitivity controls'!F19="","",4&gt;'DealScope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controls'!F19)/'Model inputs'!B21,0),1),IF(IF(IF(ISERROR(4&gt;'DealScope sensitivity controls'!F19),4&gt;'DealScope sensitivity controls'!F19,IF('DealScope sensitivity controls'!F19="","",4&gt;'DealScope sensitivity controls'!F19))="",FALSE,IF(ISERROR(4&gt;'DealScope sensitivity controls'!F19),4&gt;'DealScope sensitivity controls'!F19,IF('DealScope sensitivity controls'!F19="","",4&gt;'DealScope sensitivity controls'!F19))),IF('Model inputs'!B43="","",'Model inputs'!B43),0)))</f>
      </c>
    </row>
    <row r="160">
      <c r="A160" t="inlineStr" s="16">
        <is>
          <t xml:space="preserve">Calculation</t>
        </is>
      </c>
      <c r="B160">
        <f>'Model inputs'!B159+IF(IF(IF(IF(ISERROR('Model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controls'!F19)/'Model inputs'!B21,0),1),IF(IF(IF(ISERROR(5&gt;'DealScope sensitivity controls'!F19),5&gt;'DealScope sensitivity controls'!F19,IF('DealScope sensitivity controls'!F19="","",5&gt;'DealScope sensitivity controls'!F19))="",FALSE,IF(ISERROR(5&gt;'DealScope sensitivity controls'!F19),5&gt;'DealScope sensitivity controls'!F19,IF('DealScope sensitivity controls'!F19="","",5&gt;'DealScope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controls'!F19)/'Model inputs'!B21,0),1),IF(IF(IF(ISERROR(5&gt;'DealScope sensitivity controls'!F19),5&gt;'DealScope sensitivity controls'!F19,IF('DealScope sensitivity controls'!F19="","",5&gt;'DealScope sensitivity controls'!F19))="",FALSE,IF(ISERROR(5&gt;'DealScope sensitivity controls'!F19),5&gt;'DealScope sensitivity controls'!F19,IF('DealScope sensitivity controls'!F19="","",5&gt;'DealScope sensitivity controls'!F19))),IF('Model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controls'!F19)/'Model inputs'!B21,0),1),IF(IF(IF(ISERROR(6&gt;'DealScope sensitivity controls'!F19),6&gt;'DealScope sensitivity controls'!F19,IF('DealScope sensitivity controls'!F19="","",6&gt;'DealScope sensitivity controls'!F19))="",FALSE,IF(ISERROR(6&gt;'DealScope sensitivity controls'!F19),6&gt;'DealScope sensitivity controls'!F19,IF('DealScope sensitivity controls'!F19="","",6&gt;'DealScope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controls'!F19)/'Model inputs'!B21,0),1),IF(IF(IF(ISERROR(6&gt;'DealScope sensitivity controls'!F19),6&gt;'DealScope sensitivity controls'!F19,IF('DealScope sensitivity controls'!F19="","",6&gt;'DealScope sensitivity controls'!F19))="",FALSE,IF(ISERROR(6&gt;'DealScope sensitivity controls'!F19),6&gt;'DealScope sensitivity controls'!F19,IF('DealScope sensitivity controls'!F19="","",6&gt;'DealScope sensitivity controls'!F19))),IF('Model inputs'!B43="","",'Model inputs'!B43),0)))</f>
      </c>
    </row>
    <row r="161">
      <c r="A161" t="inlineStr" s="16">
        <is>
          <t xml:space="preserve">Calculation</t>
        </is>
      </c>
      <c r="B161">
        <f>'Model inputs'!B160+IF(IF(IF(IF(ISERROR('Model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controls'!F19)/'Model inputs'!B21,0),1),IF(IF(IF(ISERROR(7&gt;'DealScope sensitivity controls'!F19),7&gt;'DealScope sensitivity controls'!F19,IF('DealScope sensitivity controls'!F19="","",7&gt;'DealScope sensitivity controls'!F19))="",FALSE,IF(ISERROR(7&gt;'DealScope sensitivity controls'!F19),7&gt;'DealScope sensitivity controls'!F19,IF('DealScope sensitivity controls'!F19="","",7&gt;'DealScope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controls'!F19)/'Model inputs'!B21,0),1),IF(IF(IF(ISERROR(7&gt;'DealScope sensitivity controls'!F19),7&gt;'DealScope sensitivity controls'!F19,IF('DealScope sensitivity controls'!F19="","",7&gt;'DealScope sensitivity controls'!F19))="",FALSE,IF(ISERROR(7&gt;'DealScope sensitivity controls'!F19),7&gt;'DealScope sensitivity controls'!F19,IF('DealScope sensitivity controls'!F19="","",7&gt;'DealScope sensitivity controls'!F19))),IF('Model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controls'!F19)/'Model inputs'!B21,0),1),IF(IF(IF(ISERROR(8&gt;'DealScope sensitivity controls'!F19),8&gt;'DealScope sensitivity controls'!F19,IF('DealScope sensitivity controls'!F19="","",8&gt;'DealScope sensitivity controls'!F19))="",FALSE,IF(ISERROR(8&gt;'DealScope sensitivity controls'!F19),8&gt;'DealScope sensitivity controls'!F19,IF('DealScope sensitivity controls'!F19="","",8&gt;'DealScope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controls'!F19)/'Model inputs'!B21,0),1),IF(IF(IF(ISERROR(8&gt;'DealScope sensitivity controls'!F19),8&gt;'DealScope sensitivity controls'!F19,IF('DealScope sensitivity controls'!F19="","",8&gt;'DealScope sensitivity controls'!F19))="",FALSE,IF(ISERROR(8&gt;'DealScope sensitivity controls'!F19),8&gt;'DealScope sensitivity controls'!F19,IF('DealScope sensitivity controls'!F19="","",8&gt;'DealScope sensitivity controls'!F19))),IF('Model inputs'!B43="","",'Model inputs'!B43),0)))</f>
      </c>
    </row>
    <row r="162">
      <c r="A162" t="inlineStr" s="16">
        <is>
          <t xml:space="preserve">Calculation</t>
        </is>
      </c>
      <c r="B162">
        <f>'Model inputs'!B161+IF(IF(IF(IF(ISERROR('Model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controls'!F19)/'Model inputs'!B21,0),1),IF(IF(IF(ISERROR(9&gt;'DealScope sensitivity controls'!F19),9&gt;'DealScope sensitivity controls'!F19,IF('DealScope sensitivity controls'!F19="","",9&gt;'DealScope sensitivity controls'!F19))="",FALSE,IF(ISERROR(9&gt;'DealScope sensitivity controls'!F19),9&gt;'DealScope sensitivity controls'!F19,IF('DealScope sensitivity controls'!F19="","",9&gt;'DealScope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controls'!F19)/'Model inputs'!B21,0),1),IF(IF(IF(ISERROR(9&gt;'DealScope sensitivity controls'!F19),9&gt;'DealScope sensitivity controls'!F19,IF('DealScope sensitivity controls'!F19="","",9&gt;'DealScope sensitivity controls'!F19))="",FALSE,IF(ISERROR(9&gt;'DealScope sensitivity controls'!F19),9&gt;'DealScope sensitivity controls'!F19,IF('DealScope sensitivity controls'!F19="","",9&gt;'DealScope sensitivity controls'!F19))),IF('Model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controls'!F19)/'Model inputs'!B21,0),1),IF(IF(IF(ISERROR(10&gt;'DealScope sensitivity controls'!F19),10&gt;'DealScope sensitivity controls'!F19,IF('DealScope sensitivity controls'!F19="","",10&gt;'DealScope sensitivity controls'!F19))="",FALSE,IF(ISERROR(10&gt;'DealScope sensitivity controls'!F19),10&gt;'DealScope sensitivity controls'!F19,IF('DealScope sensitivity controls'!F19="","",10&gt;'DealScope sensitivity controls'!F19))),IF('Model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controls'!F19)/'Model inputs'!B21,0),1),IF(IF(IF(ISERROR(10&gt;'DealScope sensitivity controls'!F19),10&gt;'DealScope sensitivity controls'!F19,IF('DealScope sensitivity controls'!F19="","",10&gt;'DealScope sensitivity controls'!F19))="",FALSE,IF(ISERROR(10&gt;'DealScope sensitivity controls'!F19),10&gt;'DealScope sensitivity controls'!F19,IF('DealScope sensitivity controls'!F19="","",10&gt;'DealScope sensitivity controls'!F19))),IF('Model inputs'!B43="","",'Model inputs'!B43),0)))</f>
      </c>
    </row>
    <row r="163">
      <c r="A163" t="inlineStr" s="16">
        <is>
          <t xml:space="preserve">Calculation</t>
        </is>
      </c>
      <c r="B163">
        <f>IF(IF(IF(IF(ISERROR('Model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controls'!F20)/'Model inputs'!B21,0),1),IF(IF(IF(ISERROR(1&gt;'DealScope sensitivity controls'!F20),1&gt;'DealScope sensitivity controls'!F20,IF('DealScope sensitivity controls'!F20="","",1&gt;'DealScope sensitivity controls'!F20))="",FALSE,IF(ISERROR(1&gt;'DealScope sensitivity controls'!F20),1&gt;'DealScope sensitivity controls'!F20,IF('DealScope sensitivity controls'!F20="","",1&gt;'DealScope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inputs'!B43*MIN(MAX((1-'DealScope sensitivity controls'!F20)/'Model inputs'!B21,0),1),IF(IF(IF(ISERROR(1&gt;'DealScope sensitivity controls'!F20),1&gt;'DealScope sensitivity controls'!F20,IF('DealScope sensitivity controls'!F20="","",1&gt;'DealScope sensitivity controls'!F20))="",FALSE,IF(ISERROR(1&gt;'DealScope sensitivity controls'!F20),1&gt;'DealScope sensitivity controls'!F20,IF('DealScope sensitivity controls'!F20="","",1&gt;'DealScope sensitivity controls'!F20))),IF('Model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controls'!F20)/'Model inputs'!B21,0),1),IF(IF(IF(ISERROR(2&gt;'DealScope sensitivity controls'!F20),2&gt;'DealScope sensitivity controls'!F20,IF('DealScope sensitivity controls'!F20="","",2&gt;'DealScope sensitivity controls'!F20))="",FALSE,IF(ISERROR(2&gt;'DealScope sensitivity controls'!F20),2&gt;'DealScope sensitivity controls'!F20,IF('DealScope sensitivity controls'!F20="","",2&gt;'DealScope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inputs'!B43*MIN(MAX((2-'DealScope sensitivity controls'!F20)/'Model inputs'!B21,0),1),IF(IF(IF(ISERROR(2&gt;'DealScope sensitivity controls'!F20),2&gt;'DealScope sensitivity controls'!F20,IF('DealScope sensitivity controls'!F20="","",2&gt;'DealScope sensitivity controls'!F20))="",FALSE,IF(ISERROR(2&gt;'DealScope sensitivity controls'!F20),2&gt;'DealScope sensitivity controls'!F20,IF('DealScope sensitivity controls'!F20="","",2&gt;'DealScope sensitivity controls'!F20))),IF('Model inputs'!B43="","",'Model inputs'!B43),0)))</f>
      </c>
    </row>
    <row r="164">
      <c r="A164" t="inlineStr" s="16">
        <is>
          <t xml:space="preserve">Calculation</t>
        </is>
      </c>
      <c r="B164">
        <f>'Model inputs'!B163+IF(IF(IF(IF(ISERROR('Model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controls'!F20)/'Model inputs'!B21,0),1),IF(IF(IF(ISERROR(3&gt;'DealScope sensitivity controls'!F20),3&gt;'DealScope sensitivity controls'!F20,IF('DealScope sensitivity controls'!F20="","",3&gt;'DealScope sensitivity controls'!F20))="",FALSE,IF(ISERROR(3&gt;'DealScope sensitivity controls'!F20),3&gt;'DealScope sensitivity controls'!F20,IF('DealScope sensitivity controls'!F20="","",3&gt;'DealScope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inputs'!B43*MIN(MAX((3-'DealScope sensitivity controls'!F20)/'Model inputs'!B21,0),1),IF(IF(IF(ISERROR(3&gt;'DealScope sensitivity controls'!F20),3&gt;'DealScope sensitivity controls'!F20,IF('DealScope sensitivity controls'!F20="","",3&gt;'DealScope sensitivity controls'!F20))="",FALSE,IF(ISERROR(3&gt;'DealScope sensitivity controls'!F20),3&gt;'DealScope sensitivity controls'!F20,IF('DealScope sensitivity controls'!F20="","",3&gt;'DealScope sensitivity controls'!F20))),IF('Model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controls'!F20)/'Model inputs'!B21,0),1),IF(IF(IF(ISERROR(4&gt;'DealScope sensitivity controls'!F20),4&gt;'DealScope sensitivity controls'!F20,IF('DealScope sensitivity controls'!F20="","",4&gt;'DealScope sensitivity controls'!F20))="",FALSE,IF(ISERROR(4&gt;'DealScope sensitivity controls'!F20),4&gt;'DealScope sensitivity controls'!F20,IF('DealScope sensitivity controls'!F20="","",4&gt;'DealScope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inputs'!B43*MIN(MAX((4-'DealScope sensitivity controls'!F20)/'Model inputs'!B21,0),1),IF(IF(IF(ISERROR(4&gt;'DealScope sensitivity controls'!F20),4&gt;'DealScope sensitivity controls'!F20,IF('DealScope sensitivity controls'!F20="","",4&gt;'DealScope sensitivity controls'!F20))="",FALSE,IF(ISERROR(4&gt;'DealScope sensitivity controls'!F20),4&gt;'DealScope sensitivity controls'!F20,IF('DealScope sensitivity controls'!F20="","",4&gt;'DealScope sensitivity controls'!F20))),IF('Model inputs'!B43="","",'Model inputs'!B43),0)))</f>
      </c>
    </row>
    <row r="165">
      <c r="A165" t="inlineStr" s="16">
        <is>
          <t xml:space="preserve">Calculation</t>
        </is>
      </c>
      <c r="B165">
        <f>'Model inputs'!B164+IF(IF(IF(IF(ISERROR('Model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controls'!F20)/'Model inputs'!B21,0),1),IF(IF(IF(ISERROR(5&gt;'DealScope sensitivity controls'!F20),5&gt;'DealScope sensitivity controls'!F20,IF('DealScope sensitivity controls'!F20="","",5&gt;'DealScope sensitivity controls'!F20))="",FALSE,IF(ISERROR(5&gt;'DealScope sensitivity controls'!F20),5&gt;'DealScope sensitivity controls'!F20,IF('DealScope sensitivity controls'!F20="","",5&gt;'DealScope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inputs'!B43*MIN(MAX((5-'DealScope sensitivity controls'!F20)/'Model inputs'!B21,0),1),IF(IF(IF(ISERROR(5&gt;'DealScope sensitivity controls'!F20),5&gt;'DealScope sensitivity controls'!F20,IF('DealScope sensitivity controls'!F20="","",5&gt;'DealScope sensitivity controls'!F20))="",FALSE,IF(ISERROR(5&gt;'DealScope sensitivity controls'!F20),5&gt;'DealScope sensitivity controls'!F20,IF('DealScope sensitivity controls'!F20="","",5&gt;'DealScope sensitivity controls'!F20))),IF('Model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controls'!F20)/'Model inputs'!B21,0),1),IF(IF(IF(ISERROR(6&gt;'DealScope sensitivity controls'!F20),6&gt;'DealScope sensitivity controls'!F20,IF('DealScope sensitivity controls'!F20="","",6&gt;'DealScope sensitivity controls'!F20))="",FALSE,IF(ISERROR(6&gt;'DealScope sensitivity controls'!F20),6&gt;'DealScope sensitivity controls'!F20,IF('DealScope sensitivity controls'!F20="","",6&gt;'DealScope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inputs'!B43*MIN(MAX((6-'DealScope sensitivity controls'!F20)/'Model inputs'!B21,0),1),IF(IF(IF(ISERROR(6&gt;'DealScope sensitivity controls'!F20),6&gt;'DealScope sensitivity controls'!F20,IF('DealScope sensitivity controls'!F20="","",6&gt;'DealScope sensitivity controls'!F20))="",FALSE,IF(ISERROR(6&gt;'DealScope sensitivity controls'!F20),6&gt;'DealScope sensitivity controls'!F20,IF('DealScope sensitivity controls'!F20="","",6&gt;'DealScope sensitivity controls'!F20))),IF('Model inputs'!B43="","",'Model inputs'!B43),0)))</f>
      </c>
    </row>
    <row r="166">
      <c r="A166" t="inlineStr" s="16">
        <is>
          <t xml:space="preserve">Calculation</t>
        </is>
      </c>
      <c r="B166">
        <f>'Model inputs'!B165+IF(IF(IF(IF(ISERROR('Model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controls'!F20)/'Model inputs'!B21,0),1),IF(IF(IF(ISERROR(7&gt;'DealScope sensitivity controls'!F20),7&gt;'DealScope sensitivity controls'!F20,IF('DealScope sensitivity controls'!F20="","",7&gt;'DealScope sensitivity controls'!F20))="",FALSE,IF(ISERROR(7&gt;'DealScope sensitivity controls'!F20),7&gt;'DealScope sensitivity controls'!F20,IF('DealScope sensitivity controls'!F20="","",7&gt;'DealScope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inputs'!B43*MIN(MAX((7-'DealScope sensitivity controls'!F20)/'Model inputs'!B21,0),1),IF(IF(IF(ISERROR(7&gt;'DealScope sensitivity controls'!F20),7&gt;'DealScope sensitivity controls'!F20,IF('DealScope sensitivity controls'!F20="","",7&gt;'DealScope sensitivity controls'!F20))="",FALSE,IF(ISERROR(7&gt;'DealScope sensitivity controls'!F20),7&gt;'DealScope sensitivity controls'!F20,IF('DealScope sensitivity controls'!F20="","",7&gt;'DealScope sensitivity controls'!F20))),IF('Model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controls'!F20)/'Model inputs'!B21,0),1),IF(IF(IF(ISERROR(8&gt;'DealScope sensitivity controls'!F20),8&gt;'DealScope sensitivity controls'!F20,IF('DealScope sensitivity controls'!F20="","",8&gt;'DealScope sensitivity controls'!F20))="",FALSE,IF(ISERROR(8&gt;'DealScope sensitivity controls'!F20),8&gt;'DealScope sensitivity controls'!F20,IF('DealScope sensitivity controls'!F20="","",8&gt;'DealScope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inputs'!B43*MIN(MAX((8-'DealScope sensitivity controls'!F20)/'Model inputs'!B21,0),1),IF(IF(IF(ISERROR(8&gt;'DealScope sensitivity controls'!F20),8&gt;'DealScope sensitivity controls'!F20,IF('DealScope sensitivity controls'!F20="","",8&gt;'DealScope sensitivity controls'!F20))="",FALSE,IF(ISERROR(8&gt;'DealScope sensitivity controls'!F20),8&gt;'DealScope sensitivity controls'!F20,IF('DealScope sensitivity controls'!F20="","",8&gt;'DealScope sensitivity controls'!F20))),IF('Model inputs'!B43="","",'Model inputs'!B43),0)))</f>
      </c>
    </row>
    <row r="167">
      <c r="A167" t="inlineStr" s="16">
        <is>
          <t xml:space="preserve">Calculation</t>
        </is>
      </c>
      <c r="B167">
        <f>'Model inputs'!B166+IF(IF(IF(IF(ISERROR('Model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controls'!F20)/'Model inputs'!B21,0),1),IF(IF(IF(ISERROR(9&gt;'DealScope sensitivity controls'!F20),9&gt;'DealScope sensitivity controls'!F20,IF('DealScope sensitivity controls'!F20="","",9&gt;'DealScope sensitivity controls'!F20))="",FALSE,IF(ISERROR(9&gt;'DealScope sensitivity controls'!F20),9&gt;'DealScope sensitivity controls'!F20,IF('DealScope sensitivity controls'!F20="","",9&gt;'DealScope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inputs'!B43*MIN(MAX((9-'DealScope sensitivity controls'!F20)/'Model inputs'!B21,0),1),IF(IF(IF(ISERROR(9&gt;'DealScope sensitivity controls'!F20),9&gt;'DealScope sensitivity controls'!F20,IF('DealScope sensitivity controls'!F20="","",9&gt;'DealScope sensitivity controls'!F20))="",FALSE,IF(ISERROR(9&gt;'DealScope sensitivity controls'!F20),9&gt;'DealScope sensitivity controls'!F20,IF('DealScope sensitivity controls'!F20="","",9&gt;'DealScope sensitivity controls'!F20))),IF('Model inputs'!B43="","",'Model inputs'!B43),0)))+IF(IF(IF(IF(ISERROR('Model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controls'!F20)/'Model inputs'!B21,0),1),IF(IF(IF(ISERROR(10&gt;'DealScope sensitivity controls'!F20),10&gt;'DealScope sensitivity controls'!F20,IF('DealScope sensitivity controls'!F20="","",10&gt;'DealScope sensitivity controls'!F20))="",FALSE,IF(ISERROR(10&gt;'DealScope sensitivity controls'!F20),10&gt;'DealScope sensitivity controls'!F20,IF('DealScope sensitivity controls'!F20="","",10&gt;'DealScope sensitivity controls'!F20))),IF('Model inputs'!B43="","",'Model inputs'!B43),0))="",0,IF(IF(IF(ISERROR('Model inputs'!B29=1),'Model inputs'!B29=1,IF('Model inputs'!B29="","",'Model inputs'!B29=1))="",FALSE,IF(ISERROR('Model inputs'!B29=1),'Model inputs'!B29=1,IF('Model inputs'!B29="","",'Model inputs'!B29=1))),'Model inputs'!B43*MIN(MAX((10-'DealScope sensitivity controls'!F20)/'Model inputs'!B21,0),1),IF(IF(IF(ISERROR(10&gt;'DealScope sensitivity controls'!F20),10&gt;'DealScope sensitivity controls'!F20,IF('DealScope sensitivity controls'!F20="","",10&gt;'DealScope sensitivity controls'!F20))="",FALSE,IF(ISERROR(10&gt;'DealScope sensitivity controls'!F20),10&gt;'DealScope sensitivity controls'!F20,IF('DealScope sensitivity controls'!F20="","",10&gt;'DealScope sensitivity controls'!F20))),IF('Model inputs'!B43="","",'Model inputs'!B43),0)))</f>
      </c>
    </row>
  </sheetData>
  <mergeCells count="2">
    <mergeCell ref="A1:AA1"/>
    <mergeCell ref="A2:AA2"/>
  </mergeCells>
</worksheet>
</file>