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ealScope 12-month financial pr" sheetId="1" r:id="rId1"/>
    <sheet name="DealScope variable cost detail" sheetId="2" r:id="rId2"/>
    <sheet name="DealScope conditional cash and" sheetId="3" r:id="rId3"/>
    <sheet name="DealScope forecast overview" sheetId="4" r:id="rId4"/>
    <sheet name="Model inputs" sheetId="5" r:id="rId5"/>
    <sheet name="Export notes" sheetId="6" r:id="rId6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###;(#,##0.###)"/>
    <numFmt numFmtId="165" formatCode="&quot;$&quot;#,##0.00;(&quot;$&quot;#,##0.00)"/>
    <numFmt numFmtId="166" formatCode="0.00%"/>
    <numFmt numFmtId="167" formatCode="yyyy-mm-dd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6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M2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DealScope 12-month financial projection</t>
        </is>
      </c>
    </row>
    <row r="2" ht="20" customHeight="1">
      <c r="A2" t="inlineStr" s="2">
        <is>
          <t xml:space="preserve">DealScope — Financial projection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</row>
    <row r="5">
      <c r="A5" t="inlineStr" s="6">
        <is>
          <t xml:space="preserve">Paying customer equivalents</t>
        </is>
      </c>
      <c r="B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inputs'!C105-'Model inputs'!O109)/'Model inputs'!O63,0),1),IF(IF(IF(ISERROR('Model inputs'!C105&gt;'Model inputs'!O109),'Model inputs'!C105&gt;'Model inputs'!O109,IF(OR('Model inputs'!C105="",'Model inputs'!O109=""),"",'Model inputs'!C105&gt;'Model inputs'!O109))="",FALSE,IF(ISERROR('Model inputs'!C105&gt;'Model inputs'!O109),'Model inputs'!C105&gt;'Model inputs'!O109,IF(OR('Model inputs'!C105="",'Model inputs'!O109=""),"",'Model inputs'!C105&gt;'Model inputs'!O109))),IF('Model inputs'!O114="","",'Model inputs'!O114),0))</f>
        <v>1.25</v>
      </c>
      <c r="C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inputs'!D105-'Model inputs'!O109)/'Model inputs'!O63,0),1),IF(IF(IF(ISERROR('Model inputs'!D105&gt;'Model inputs'!O109),'Model inputs'!D105&gt;'Model inputs'!O109,IF(OR('Model inputs'!D105="",'Model inputs'!O109=""),"",'Model inputs'!D105&gt;'Model inputs'!O109))="",FALSE,IF(ISERROR('Model inputs'!D105&gt;'Model inputs'!O109),'Model inputs'!D105&gt;'Model inputs'!O109,IF(OR('Model inputs'!D105="",'Model inputs'!O109=""),"",'Model inputs'!D105&gt;'Model inputs'!O109))),IF('Model inputs'!O114="","",'Model inputs'!O114),0))</f>
        <v>2.5</v>
      </c>
      <c r="D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inputs'!E105-'Model inputs'!O109)/'Model inputs'!O63,0),1),IF(IF(IF(ISERROR('Model inputs'!E105&gt;'Model inputs'!O109),'Model inputs'!E105&gt;'Model inputs'!O109,IF(OR('Model inputs'!E105="",'Model inputs'!O109=""),"",'Model inputs'!E105&gt;'Model inputs'!O109))="",FALSE,IF(ISERROR('Model inputs'!E105&gt;'Model inputs'!O109),'Model inputs'!E105&gt;'Model inputs'!O109,IF(OR('Model inputs'!E105="",'Model inputs'!O109=""),"",'Model inputs'!E105&gt;'Model inputs'!O109))),IF('Model inputs'!O114="","",'Model inputs'!O114),0))</f>
        <v>3.75</v>
      </c>
      <c r="E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inputs'!F105-'Model inputs'!O109)/'Model inputs'!O63,0),1),IF(IF(IF(ISERROR('Model inputs'!F105&gt;'Model inputs'!O109),'Model inputs'!F105&gt;'Model inputs'!O109,IF(OR('Model inputs'!F105="",'Model inputs'!O109=""),"",'Model inputs'!F105&gt;'Model inputs'!O109))="",FALSE,IF(ISERROR('Model inputs'!F105&gt;'Model inputs'!O109),'Model inputs'!F105&gt;'Model inputs'!O109,IF(OR('Model inputs'!F105="",'Model inputs'!O109=""),"",'Model inputs'!F105&gt;'Model inputs'!O109))),IF('Model inputs'!O114="","",'Model inputs'!O114),0))</f>
        <v>5</v>
      </c>
      <c r="F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inputs'!G105-'Model inputs'!O109)/'Model inputs'!O63,0),1),IF(IF(IF(ISERROR('Model inputs'!G105&gt;'Model inputs'!O109),'Model inputs'!G105&gt;'Model inputs'!O109,IF(OR('Model inputs'!G105="",'Model inputs'!O109=""),"",'Model inputs'!G105&gt;'Model inputs'!O109))="",FALSE,IF(ISERROR('Model inputs'!G105&gt;'Model inputs'!O109),'Model inputs'!G105&gt;'Model inputs'!O109,IF(OR('Model inputs'!G105="",'Model inputs'!O109=""),"",'Model inputs'!G105&gt;'Model inputs'!O109))),IF('Model inputs'!O114="","",'Model inputs'!O114),0))</f>
        <v>6.25</v>
      </c>
      <c r="G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inputs'!H105-'Model inputs'!O109)/'Model inputs'!O63,0),1),IF(IF(IF(ISERROR('Model inputs'!H105&gt;'Model inputs'!O109),'Model inputs'!H105&gt;'Model inputs'!O109,IF(OR('Model inputs'!H105="",'Model inputs'!O109=""),"",'Model inputs'!H105&gt;'Model inputs'!O109))="",FALSE,IF(ISERROR('Model inputs'!H105&gt;'Model inputs'!O109),'Model inputs'!H105&gt;'Model inputs'!O109,IF(OR('Model inputs'!H105="",'Model inputs'!O109=""),"",'Model inputs'!H105&gt;'Model inputs'!O109))),IF('Model inputs'!O114="","",'Model inputs'!O114),0))</f>
        <v>7.5</v>
      </c>
      <c r="H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inputs'!I105-'Model inputs'!O109)/'Model inputs'!O63,0),1),IF(IF(IF(ISERROR('Model inputs'!I105&gt;'Model inputs'!O109),'Model inputs'!I105&gt;'Model inputs'!O109,IF(OR('Model inputs'!I105="",'Model inputs'!O109=""),"",'Model inputs'!I105&gt;'Model inputs'!O109))="",FALSE,IF(ISERROR('Model inputs'!I105&gt;'Model inputs'!O109),'Model inputs'!I105&gt;'Model inputs'!O109,IF(OR('Model inputs'!I105="",'Model inputs'!O109=""),"",'Model inputs'!I105&gt;'Model inputs'!O109))),IF('Model inputs'!O114="","",'Model inputs'!O114),0))</f>
        <v>8.75</v>
      </c>
      <c r="I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inputs'!J105-'Model inputs'!O109)/'Model inputs'!O63,0),1),IF(IF(IF(ISERROR('Model inputs'!J105&gt;'Model inputs'!O109),'Model inputs'!J105&gt;'Model inputs'!O109,IF(OR('Model inputs'!J105="",'Model inputs'!O109=""),"",'Model inputs'!J105&gt;'Model inputs'!O109))="",FALSE,IF(ISERROR('Model inputs'!J105&gt;'Model inputs'!O109),'Model inputs'!J105&gt;'Model inputs'!O109,IF(OR('Model inputs'!J105="",'Model inputs'!O109=""),"",'Model inputs'!J105&gt;'Model inputs'!O109))),IF('Model inputs'!O114="","",'Model inputs'!O114),0))</f>
        <v>10</v>
      </c>
      <c r="J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inputs'!K105-'Model inputs'!O109)/'Model inputs'!O63,0),1),IF(IF(IF(ISERROR('Model inputs'!K105&gt;'Model inputs'!O109),'Model inputs'!K105&gt;'Model inputs'!O109,IF(OR('Model inputs'!K105="",'Model inputs'!O109=""),"",'Model inputs'!K105&gt;'Model inputs'!O109))="",FALSE,IF(ISERROR('Model inputs'!K105&gt;'Model inputs'!O109),'Model inputs'!K105&gt;'Model inputs'!O109,IF(OR('Model inputs'!K105="",'Model inputs'!O109=""),"",'Model inputs'!K105&gt;'Model inputs'!O109))),IF('Model inputs'!O114="","",'Model inputs'!O114),0))</f>
        <v>11.25</v>
      </c>
      <c r="K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inputs'!L105-'Model inputs'!O109)/'Model inputs'!O63,0),1),IF(IF(IF(ISERROR('Model inputs'!L105&gt;'Model inputs'!O109),'Model inputs'!L105&gt;'Model inputs'!O109,IF(OR('Model inputs'!L105="",'Model inputs'!O109=""),"",'Model inputs'!L105&gt;'Model inputs'!O109))="",FALSE,IF(ISERROR('Model inputs'!L105&gt;'Model inputs'!O109),'Model inputs'!L105&gt;'Model inputs'!O109,IF(OR('Model inputs'!L105="",'Model inputs'!O109=""),"",'Model inputs'!L105&gt;'Model inputs'!O109))),IF('Model inputs'!O114="","",'Model inputs'!O114),0))</f>
        <v>12.5</v>
      </c>
      <c r="L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inputs'!M105-'Model inputs'!O109)/'Model inputs'!O63,0),1),IF(IF(IF(ISERROR('Model inputs'!M105&gt;'Model inputs'!O109),'Model inputs'!M105&gt;'Model inputs'!O109,IF(OR('Model inputs'!M105="",'Model inputs'!O109=""),"",'Model inputs'!M105&gt;'Model inputs'!O109))="",FALSE,IF(ISERROR('Model inputs'!M105&gt;'Model inputs'!O109),'Model inputs'!M105&gt;'Model inputs'!O109,IF(OR('Model inputs'!M105="",'Model inputs'!O109=""),"",'Model inputs'!M105&gt;'Model inputs'!O109))),IF('Model inputs'!O114="","",'Model inputs'!O114),0))</f>
        <v>13.75</v>
      </c>
      <c r="M5" s="7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inputs'!N105-'Model inputs'!O109)/'Model inputs'!O63,0),1),IF(IF(IF(ISERROR('Model inputs'!N105&gt;'Model inputs'!O109),'Model inputs'!N105&gt;'Model inputs'!O109,IF(OR('Model inputs'!N105="",'Model inputs'!O109=""),"",'Model inputs'!N105&gt;'Model inputs'!O109))="",FALSE,IF(ISERROR('Model inputs'!N105&gt;'Model inputs'!O109),'Model inputs'!N105&gt;'Model inputs'!O109,IF(OR('Model inputs'!N105="",'Model inputs'!O109=""),"",'Model inputs'!N105&gt;'Model inputs'!O109))),IF('Model inputs'!O114="","",'Model inputs'!O114),0))</f>
        <v>15</v>
      </c>
    </row>
    <row r="6">
      <c r="A6" t="inlineStr" s="8">
        <is>
          <t xml:space="preserve">Plan Audits delivered</t>
        </is>
      </c>
      <c r="B6" s="9">
        <f>IF(SUM(IF(IF('Model inputs'!B274="",0,1)="",0,IF('Model inputs'!B274="",0,1)),IF(IF('Model inputs'!B275="",0,1)="",0,IF('Model inputs'!B275="",0,1)),IF(IF('Model inputs'!B276="",0,1)="",0,IF('Model inputs'!B276="",0,1)),IF(IF('Model inputs'!B277="",0,1)="",0,IF('Model inputs'!B277="",0,1)),IF(IF('Model inputs'!B278="",0,1)="",0,IF('Model inputs'!B278="",0,1)))=0,"",SUM('Model inputs'!B274,'Model inputs'!B275,'Model inputs'!B276,'Model inputs'!B277,'Model inputs'!B278))</f>
        <v>5</v>
      </c>
      <c r="C6" s="9">
        <f>IF(SUM(IF(IF('Model inputs'!B279="",0,1)="",0,IF('Model inputs'!B279="",0,1)),IF(IF('Model inputs'!B280="",0,1)="",0,IF('Model inputs'!B280="",0,1)),IF(IF('Model inputs'!B281="",0,1)="",0,IF('Model inputs'!B281="",0,1)),IF(IF('Model inputs'!B282="",0,1)="",0,IF('Model inputs'!B282="",0,1)),IF(IF('Model inputs'!B283="",0,1)="",0,IF('Model inputs'!B283="",0,1)))=0,"",SUM('Model inputs'!B279,'Model inputs'!B280,'Model inputs'!B281,'Model inputs'!B282,'Model inputs'!B283))</f>
        <v>10</v>
      </c>
      <c r="D6" s="9">
        <f>IF(SUM(IF(IF('Model inputs'!B284="",0,1)="",0,IF('Model inputs'!B284="",0,1)),IF(IF('Model inputs'!B285="",0,1)="",0,IF('Model inputs'!B285="",0,1)),IF(IF('Model inputs'!B286="",0,1)="",0,IF('Model inputs'!B286="",0,1)),IF(IF('Model inputs'!B287="",0,1)="",0,IF('Model inputs'!B287="",0,1)),IF(IF('Model inputs'!B288="",0,1)="",0,IF('Model inputs'!B288="",0,1)))=0,"",SUM('Model inputs'!B284,'Model inputs'!B285,'Model inputs'!B286,'Model inputs'!B287,'Model inputs'!B288))</f>
        <v>15</v>
      </c>
      <c r="E6" s="9">
        <f>IF(SUM(IF(IF('Model inputs'!B289="",0,1)="",0,IF('Model inputs'!B289="",0,1)),IF(IF('Model inputs'!B290="",0,1)="",0,IF('Model inputs'!B290="",0,1)),IF(IF('Model inputs'!B291="",0,1)="",0,IF('Model inputs'!B291="",0,1)),IF(IF('Model inputs'!B292="",0,1)="",0,IF('Model inputs'!B292="",0,1)),IF(IF('Model inputs'!B293="",0,1)="",0,IF('Model inputs'!B293="",0,1)))=0,"",SUM('Model inputs'!B289,'Model inputs'!B290,'Model inputs'!B291,'Model inputs'!B292,'Model inputs'!B293))</f>
        <v>20</v>
      </c>
      <c r="F6" s="9">
        <f>IF(SUM(IF(IF('Model inputs'!B294="",0,1)="",0,IF('Model inputs'!B294="",0,1)),IF(IF('Model inputs'!B295="",0,1)="",0,IF('Model inputs'!B295="",0,1)),IF(IF('Model inputs'!B296="",0,1)="",0,IF('Model inputs'!B296="",0,1)),IF(IF('Model inputs'!B297="",0,1)="",0,IF('Model inputs'!B297="",0,1)),IF(IF('Model inputs'!B298="",0,1)="",0,IF('Model inputs'!B298="",0,1)))=0,"",SUM('Model inputs'!B294,'Model inputs'!B295,'Model inputs'!B296,'Model inputs'!B297,'Model inputs'!B298))</f>
        <v>25</v>
      </c>
      <c r="G6" s="9">
        <f>IF(SUM(IF(IF('Model inputs'!B299="",0,1)="",0,IF('Model inputs'!B299="",0,1)),IF(IF('Model inputs'!B300="",0,1)="",0,IF('Model inputs'!B300="",0,1)),IF(IF('Model inputs'!B301="",0,1)="",0,IF('Model inputs'!B301="",0,1)),IF(IF('Model inputs'!B302="",0,1)="",0,IF('Model inputs'!B302="",0,1)),IF(IF('Model inputs'!B303="",0,1)="",0,IF('Model inputs'!B303="",0,1)))=0,"",SUM('Model inputs'!B299,'Model inputs'!B300,'Model inputs'!B301,'Model inputs'!B302,'Model inputs'!B303))</f>
        <v>30</v>
      </c>
      <c r="H6" s="9">
        <f>IF(SUM(IF(IF('Model inputs'!B304="",0,1)="",0,IF('Model inputs'!B304="",0,1)),IF(IF('Model inputs'!B305="",0,1)="",0,IF('Model inputs'!B305="",0,1)),IF(IF('Model inputs'!B306="",0,1)="",0,IF('Model inputs'!B306="",0,1)),IF(IF('Model inputs'!B307="",0,1)="",0,IF('Model inputs'!B307="",0,1)),IF(IF('Model inputs'!B308="",0,1)="",0,IF('Model inputs'!B308="",0,1)))=0,"",SUM('Model inputs'!B304,'Model inputs'!B305,'Model inputs'!B306,'Model inputs'!B307,'Model inputs'!B308))</f>
        <v>35</v>
      </c>
      <c r="I6" s="9">
        <f>IF(SUM(IF(IF('Model inputs'!B309="",0,1)="",0,IF('Model inputs'!B309="",0,1)),IF(IF('Model inputs'!B310="",0,1)="",0,IF('Model inputs'!B310="",0,1)),IF(IF('Model inputs'!B311="",0,1)="",0,IF('Model inputs'!B311="",0,1)),IF(IF('Model inputs'!B312="",0,1)="",0,IF('Model inputs'!B312="",0,1)),IF(IF('Model inputs'!B313="",0,1)="",0,IF('Model inputs'!B313="",0,1)))=0,"",SUM('Model inputs'!B309,'Model inputs'!B310,'Model inputs'!B311,'Model inputs'!B312,'Model inputs'!B313))</f>
        <v>40</v>
      </c>
      <c r="J6" s="9">
        <f>IF(SUM(IF(IF('Model inputs'!B314="",0,1)="",0,IF('Model inputs'!B314="",0,1)),IF(IF('Model inputs'!B315="",0,1)="",0,IF('Model inputs'!B315="",0,1)),IF(IF('Model inputs'!B316="",0,1)="",0,IF('Model inputs'!B316="",0,1)),IF(IF('Model inputs'!B317="",0,1)="",0,IF('Model inputs'!B317="",0,1)),IF(IF('Model inputs'!B318="",0,1)="",0,IF('Model inputs'!B318="",0,1)))=0,"",SUM('Model inputs'!B314,'Model inputs'!B315,'Model inputs'!B316,'Model inputs'!B317,'Model inputs'!B318))</f>
        <v>45</v>
      </c>
      <c r="K6" s="9">
        <f>IF(SUM(IF(IF('Model inputs'!B319="",0,1)="",0,IF('Model inputs'!B319="",0,1)),IF(IF('Model inputs'!B320="",0,1)="",0,IF('Model inputs'!B320="",0,1)),IF(IF('Model inputs'!B321="",0,1)="",0,IF('Model inputs'!B321="",0,1)),IF(IF('Model inputs'!B322="",0,1)="",0,IF('Model inputs'!B322="",0,1)),IF(IF('Model inputs'!B323="",0,1)="",0,IF('Model inputs'!B323="",0,1)))=0,"",SUM('Model inputs'!B319,'Model inputs'!B320,'Model inputs'!B321,'Model inputs'!B322,'Model inputs'!B323))</f>
        <v>50</v>
      </c>
      <c r="L6" s="9">
        <f>IF(SUM(IF(IF('Model inputs'!B324="",0,1)="",0,IF('Model inputs'!B324="",0,1)),IF(IF('Model inputs'!B325="",0,1)="",0,IF('Model inputs'!B325="",0,1)),IF(IF('Model inputs'!B326="",0,1)="",0,IF('Model inputs'!B326="",0,1)),IF(IF('Model inputs'!B327="",0,1)="",0,IF('Model inputs'!B327="",0,1)),IF(IF('Model inputs'!B328="",0,1)="",0,IF('Model inputs'!B328="",0,1)))=0,"",SUM('Model inputs'!B324,'Model inputs'!B325,'Model inputs'!B326,'Model inputs'!B327,'Model inputs'!B328))</f>
        <v>55</v>
      </c>
      <c r="M6" s="9">
        <f>IF(SUM(IF(IF('Model inputs'!B329="",0,1)="",0,IF('Model inputs'!B329="",0,1)),IF(IF('Model inputs'!B330="",0,1)="",0,IF('Model inputs'!B330="",0,1)),IF(IF('Model inputs'!B331="",0,1)="",0,IF('Model inputs'!B331="",0,1)),IF(IF('Model inputs'!B332="",0,1)="",0,IF('Model inputs'!B332="",0,1)),IF(IF('Model inputs'!B333="",0,1)="",0,IF('Model inputs'!B333="",0,1)))=0,"",SUM('Model inputs'!B329,'Model inputs'!B330,'Model inputs'!B331,'Model inputs'!B332,'Model inputs'!B333))</f>
        <v>60</v>
      </c>
    </row>
    <row r="7">
      <c r="A7" t="inlineStr" s="8">
        <is>
          <t xml:space="preserve">Plan Earned revenue</t>
        </is>
      </c>
      <c r="B7" s="10">
        <f>IF(SUM(IF(IF('Model inputs'!B334="",0,1)="",0,IF('Model inputs'!B334="",0,1)),IF(IF('Model inputs'!B335="",0,1)="",0,IF('Model inputs'!B335="",0,1)),IF(IF('Model inputs'!B336="",0,1)="",0,IF('Model inputs'!B336="",0,1)),IF(IF('Model inputs'!B337="",0,1)="",0,IF('Model inputs'!B337="",0,1)),IF(IF('Model inputs'!B338="",0,1)="",0,IF('Model inputs'!B338="",0,1)))=0,"",SUM('Model inputs'!B334,'Model inputs'!B335,'Model inputs'!B336,'Model inputs'!B337,'Model inputs'!B338))</f>
        <v>5000</v>
      </c>
      <c r="C7" s="10">
        <f>IF(SUM(IF(IF('Model inputs'!B339="",0,1)="",0,IF('Model inputs'!B339="",0,1)),IF(IF('Model inputs'!B340="",0,1)="",0,IF('Model inputs'!B340="",0,1)),IF(IF('Model inputs'!B341="",0,1)="",0,IF('Model inputs'!B341="",0,1)),IF(IF('Model inputs'!B342="",0,1)="",0,IF('Model inputs'!B342="",0,1)),IF(IF('Model inputs'!B343="",0,1)="",0,IF('Model inputs'!B343="",0,1)))=0,"",SUM('Model inputs'!B339,'Model inputs'!B340,'Model inputs'!B341,'Model inputs'!B342,'Model inputs'!B343))</f>
        <v>10000</v>
      </c>
      <c r="D7" s="10">
        <f>IF(SUM(IF(IF('Model inputs'!B344="",0,1)="",0,IF('Model inputs'!B344="",0,1)),IF(IF('Model inputs'!B345="",0,1)="",0,IF('Model inputs'!B345="",0,1)),IF(IF('Model inputs'!B346="",0,1)="",0,IF('Model inputs'!B346="",0,1)),IF(IF('Model inputs'!B347="",0,1)="",0,IF('Model inputs'!B347="",0,1)),IF(IF('Model inputs'!B348="",0,1)="",0,IF('Model inputs'!B348="",0,1)))=0,"",SUM('Model inputs'!B344,'Model inputs'!B345,'Model inputs'!B346,'Model inputs'!B347,'Model inputs'!B348))</f>
        <v>15000</v>
      </c>
      <c r="E7" s="10">
        <f>IF(SUM(IF(IF('Model inputs'!B349="",0,1)="",0,IF('Model inputs'!B349="",0,1)),IF(IF('Model inputs'!B350="",0,1)="",0,IF('Model inputs'!B350="",0,1)),IF(IF('Model inputs'!B351="",0,1)="",0,IF('Model inputs'!B351="",0,1)),IF(IF('Model inputs'!B352="",0,1)="",0,IF('Model inputs'!B352="",0,1)),IF(IF('Model inputs'!B353="",0,1)="",0,IF('Model inputs'!B353="",0,1)))=0,"",SUM('Model inputs'!B349,'Model inputs'!B350,'Model inputs'!B351,'Model inputs'!B352,'Model inputs'!B353))</f>
        <v>20000</v>
      </c>
      <c r="F7" s="10">
        <f>IF(SUM(IF(IF('Model inputs'!B354="",0,1)="",0,IF('Model inputs'!B354="",0,1)),IF(IF('Model inputs'!B355="",0,1)="",0,IF('Model inputs'!B355="",0,1)),IF(IF('Model inputs'!B356="",0,1)="",0,IF('Model inputs'!B356="",0,1)),IF(IF('Model inputs'!B357="",0,1)="",0,IF('Model inputs'!B357="",0,1)),IF(IF('Model inputs'!B358="",0,1)="",0,IF('Model inputs'!B358="",0,1)))=0,"",SUM('Model inputs'!B354,'Model inputs'!B355,'Model inputs'!B356,'Model inputs'!B357,'Model inputs'!B358))</f>
        <v>25000</v>
      </c>
      <c r="G7" s="10">
        <f>IF(SUM(IF(IF('Model inputs'!B359="",0,1)="",0,IF('Model inputs'!B359="",0,1)),IF(IF('Model inputs'!B360="",0,1)="",0,IF('Model inputs'!B360="",0,1)),IF(IF('Model inputs'!B361="",0,1)="",0,IF('Model inputs'!B361="",0,1)),IF(IF('Model inputs'!B362="",0,1)="",0,IF('Model inputs'!B362="",0,1)),IF(IF('Model inputs'!B363="",0,1)="",0,IF('Model inputs'!B363="",0,1)))=0,"",SUM('Model inputs'!B359,'Model inputs'!B360,'Model inputs'!B361,'Model inputs'!B362,'Model inputs'!B363))</f>
        <v>30000</v>
      </c>
      <c r="H7" s="10">
        <f>IF(SUM(IF(IF('Model inputs'!B364="",0,1)="",0,IF('Model inputs'!B364="",0,1)),IF(IF('Model inputs'!B365="",0,1)="",0,IF('Model inputs'!B365="",0,1)),IF(IF('Model inputs'!B366="",0,1)="",0,IF('Model inputs'!B366="",0,1)),IF(IF('Model inputs'!B367="",0,1)="",0,IF('Model inputs'!B367="",0,1)),IF(IF('Model inputs'!B368="",0,1)="",0,IF('Model inputs'!B368="",0,1)))=0,"",SUM('Model inputs'!B364,'Model inputs'!B365,'Model inputs'!B366,'Model inputs'!B367,'Model inputs'!B368))</f>
        <v>35000</v>
      </c>
      <c r="I7" s="10">
        <f>IF(SUM(IF(IF('Model inputs'!B369="",0,1)="",0,IF('Model inputs'!B369="",0,1)),IF(IF('Model inputs'!B370="",0,1)="",0,IF('Model inputs'!B370="",0,1)),IF(IF('Model inputs'!B371="",0,1)="",0,IF('Model inputs'!B371="",0,1)),IF(IF('Model inputs'!B372="",0,1)="",0,IF('Model inputs'!B372="",0,1)),IF(IF('Model inputs'!B373="",0,1)="",0,IF('Model inputs'!B373="",0,1)))=0,"",SUM('Model inputs'!B369,'Model inputs'!B370,'Model inputs'!B371,'Model inputs'!B372,'Model inputs'!B373))</f>
        <v>40000</v>
      </c>
      <c r="J7" s="10">
        <f>IF(SUM(IF(IF('Model inputs'!B374="",0,1)="",0,IF('Model inputs'!B374="",0,1)),IF(IF('Model inputs'!B375="",0,1)="",0,IF('Model inputs'!B375="",0,1)),IF(IF('Model inputs'!B376="",0,1)="",0,IF('Model inputs'!B376="",0,1)),IF(IF('Model inputs'!B377="",0,1)="",0,IF('Model inputs'!B377="",0,1)),IF(IF('Model inputs'!B378="",0,1)="",0,IF('Model inputs'!B378="",0,1)))=0,"",SUM('Model inputs'!B374,'Model inputs'!B375,'Model inputs'!B376,'Model inputs'!B377,'Model inputs'!B378))</f>
        <v>45000</v>
      </c>
      <c r="K7" s="10">
        <f>IF(SUM(IF(IF('Model inputs'!B379="",0,1)="",0,IF('Model inputs'!B379="",0,1)),IF(IF('Model inputs'!B380="",0,1)="",0,IF('Model inputs'!B380="",0,1)),IF(IF('Model inputs'!B381="",0,1)="",0,IF('Model inputs'!B381="",0,1)),IF(IF('Model inputs'!B382="",0,1)="",0,IF('Model inputs'!B382="",0,1)),IF(IF('Model inputs'!B383="",0,1)="",0,IF('Model inputs'!B383="",0,1)))=0,"",SUM('Model inputs'!B379,'Model inputs'!B380,'Model inputs'!B381,'Model inputs'!B382,'Model inputs'!B383))</f>
        <v>50000</v>
      </c>
      <c r="L7" s="10">
        <f>IF(SUM(IF(IF('Model inputs'!B384="",0,1)="",0,IF('Model inputs'!B384="",0,1)),IF(IF('Model inputs'!B385="",0,1)="",0,IF('Model inputs'!B385="",0,1)),IF(IF('Model inputs'!B386="",0,1)="",0,IF('Model inputs'!B386="",0,1)),IF(IF('Model inputs'!B387="",0,1)="",0,IF('Model inputs'!B387="",0,1)),IF(IF('Model inputs'!B388="",0,1)="",0,IF('Model inputs'!B388="",0,1)))=0,"",SUM('Model inputs'!B384,'Model inputs'!B385,'Model inputs'!B386,'Model inputs'!B387,'Model inputs'!B388))</f>
        <v>55000</v>
      </c>
      <c r="M7" s="10">
        <f>IF(SUM(IF(IF('Model inputs'!B389="",0,1)="",0,IF('Model inputs'!B389="",0,1)),IF(IF('Model inputs'!B390="",0,1)="",0,IF('Model inputs'!B390="",0,1)),IF(IF('Model inputs'!B391="",0,1)="",0,IF('Model inputs'!B391="",0,1)),IF(IF('Model inputs'!B392="",0,1)="",0,IF('Model inputs'!B392="",0,1)),IF(IF('Model inputs'!B393="",0,1)="",0,IF('Model inputs'!B393="",0,1)))=0,"",SUM('Model inputs'!B389,'Model inputs'!B390,'Model inputs'!B391,'Model inputs'!B392,'Model inputs'!B393))</f>
        <v>60000</v>
      </c>
    </row>
    <row r="8">
      <c r="A8" t="inlineStr" s="8">
        <is>
          <t xml:space="preserve">Plan Delivery COGS</t>
        </is>
      </c>
      <c r="B8" s="10">
        <f>IF(SUM(IF(IF('Model inputs'!B394="",0,1)="",0,IF('Model inputs'!B394="",0,1)),IF(IF('Model inputs'!B395="",0,1)="",0,IF('Model inputs'!B395="",0,1)),IF(IF('Model inputs'!B396="",0,1)="",0,IF('Model inputs'!B396="",0,1)),IF(IF('Model inputs'!B397="",0,1)="",0,IF('Model inputs'!B397="",0,1)),IF(IF('Model inputs'!B398="",0,1)="",0,IF('Model inputs'!B398="",0,1)))=0,"",SUM('Model inputs'!B394,'Model inputs'!B395,'Model inputs'!B396,'Model inputs'!B397,'Model inputs'!B398))</f>
        <v>473.25</v>
      </c>
      <c r="C8" s="10">
        <f>IF(SUM(IF(IF('Model inputs'!B399="",0,1)="",0,IF('Model inputs'!B399="",0,1)),IF(IF('Model inputs'!B400="",0,1)="",0,IF('Model inputs'!B400="",0,1)),IF(IF('Model inputs'!B401="",0,1)="",0,IF('Model inputs'!B401="",0,1)),IF(IF('Model inputs'!B402="",0,1)="",0,IF('Model inputs'!B402="",0,1)),IF(IF('Model inputs'!B403="",0,1)="",0,IF('Model inputs'!B403="",0,1)))=0,"",SUM('Model inputs'!B399,'Model inputs'!B400,'Model inputs'!B401,'Model inputs'!B402,'Model inputs'!B403))</f>
        <v>946.5</v>
      </c>
      <c r="D8" s="10">
        <f>IF(SUM(IF(IF('Model inputs'!B404="",0,1)="",0,IF('Model inputs'!B404="",0,1)),IF(IF('Model inputs'!B405="",0,1)="",0,IF('Model inputs'!B405="",0,1)),IF(IF('Model inputs'!B406="",0,1)="",0,IF('Model inputs'!B406="",0,1)),IF(IF('Model inputs'!B407="",0,1)="",0,IF('Model inputs'!B407="",0,1)),IF(IF('Model inputs'!B408="",0,1)="",0,IF('Model inputs'!B408="",0,1)))=0,"",SUM('Model inputs'!B404,'Model inputs'!B405,'Model inputs'!B406,'Model inputs'!B407,'Model inputs'!B408))</f>
        <v>1419.75</v>
      </c>
      <c r="E8" s="10">
        <f>IF(SUM(IF(IF('Model inputs'!B409="",0,1)="",0,IF('Model inputs'!B409="",0,1)),IF(IF('Model inputs'!B410="",0,1)="",0,IF('Model inputs'!B410="",0,1)),IF(IF('Model inputs'!B411="",0,1)="",0,IF('Model inputs'!B411="",0,1)),IF(IF('Model inputs'!B412="",0,1)="",0,IF('Model inputs'!B412="",0,1)),IF(IF('Model inputs'!B413="",0,1)="",0,IF('Model inputs'!B413="",0,1)))=0,"",SUM('Model inputs'!B409,'Model inputs'!B410,'Model inputs'!B411,'Model inputs'!B412,'Model inputs'!B413))</f>
        <v>1893</v>
      </c>
      <c r="F8" s="10">
        <f>IF(SUM(IF(IF('Model inputs'!B414="",0,1)="",0,IF('Model inputs'!B414="",0,1)),IF(IF('Model inputs'!B415="",0,1)="",0,IF('Model inputs'!B415="",0,1)),IF(IF('Model inputs'!B416="",0,1)="",0,IF('Model inputs'!B416="",0,1)),IF(IF('Model inputs'!B417="",0,1)="",0,IF('Model inputs'!B417="",0,1)),IF(IF('Model inputs'!B418="",0,1)="",0,IF('Model inputs'!B418="",0,1)))=0,"",SUM('Model inputs'!B414,'Model inputs'!B415,'Model inputs'!B416,'Model inputs'!B417,'Model inputs'!B418))</f>
        <v>2366.25</v>
      </c>
      <c r="G8" s="10">
        <f>IF(SUM(IF(IF('Model inputs'!B419="",0,1)="",0,IF('Model inputs'!B419="",0,1)),IF(IF('Model inputs'!B420="",0,1)="",0,IF('Model inputs'!B420="",0,1)),IF(IF('Model inputs'!B421="",0,1)="",0,IF('Model inputs'!B421="",0,1)),IF(IF('Model inputs'!B422="",0,1)="",0,IF('Model inputs'!B422="",0,1)),IF(IF('Model inputs'!B423="",0,1)="",0,IF('Model inputs'!B423="",0,1)))=0,"",SUM('Model inputs'!B419,'Model inputs'!B420,'Model inputs'!B421,'Model inputs'!B422,'Model inputs'!B423))</f>
        <v>2839.5</v>
      </c>
      <c r="H8" s="10">
        <f>IF(SUM(IF(IF('Model inputs'!B424="",0,1)="",0,IF('Model inputs'!B424="",0,1)),IF(IF('Model inputs'!B425="",0,1)="",0,IF('Model inputs'!B425="",0,1)),IF(IF('Model inputs'!B426="",0,1)="",0,IF('Model inputs'!B426="",0,1)),IF(IF('Model inputs'!B427="",0,1)="",0,IF('Model inputs'!B427="",0,1)),IF(IF('Model inputs'!B428="",0,1)="",0,IF('Model inputs'!B428="",0,1)))=0,"",SUM('Model inputs'!B424,'Model inputs'!B425,'Model inputs'!B426,'Model inputs'!B427,'Model inputs'!B428))</f>
        <v>3312.75</v>
      </c>
      <c r="I8" s="10">
        <f>IF(SUM(IF(IF('Model inputs'!B429="",0,1)="",0,IF('Model inputs'!B429="",0,1)),IF(IF('Model inputs'!B430="",0,1)="",0,IF('Model inputs'!B430="",0,1)),IF(IF('Model inputs'!B431="",0,1)="",0,IF('Model inputs'!B431="",0,1)),IF(IF('Model inputs'!B432="",0,1)="",0,IF('Model inputs'!B432="",0,1)),IF(IF('Model inputs'!B433="",0,1)="",0,IF('Model inputs'!B433="",0,1)))=0,"",SUM('Model inputs'!B429,'Model inputs'!B430,'Model inputs'!B431,'Model inputs'!B432,'Model inputs'!B433))</f>
        <v>3786</v>
      </c>
      <c r="J8" s="10">
        <f>IF(SUM(IF(IF('Model inputs'!B434="",0,1)="",0,IF('Model inputs'!B434="",0,1)),IF(IF('Model inputs'!B435="",0,1)="",0,IF('Model inputs'!B435="",0,1)),IF(IF('Model inputs'!B436="",0,1)="",0,IF('Model inputs'!B436="",0,1)),IF(IF('Model inputs'!B437="",0,1)="",0,IF('Model inputs'!B437="",0,1)),IF(IF('Model inputs'!B438="",0,1)="",0,IF('Model inputs'!B438="",0,1)))=0,"",SUM('Model inputs'!B434,'Model inputs'!B435,'Model inputs'!B436,'Model inputs'!B437,'Model inputs'!B438))</f>
        <v>4259.25</v>
      </c>
      <c r="K8" s="10">
        <f>IF(SUM(IF(IF('Model inputs'!B439="",0,1)="",0,IF('Model inputs'!B439="",0,1)),IF(IF('Model inputs'!B440="",0,1)="",0,IF('Model inputs'!B440="",0,1)),IF(IF('Model inputs'!B441="",0,1)="",0,IF('Model inputs'!B441="",0,1)),IF(IF('Model inputs'!B442="",0,1)="",0,IF('Model inputs'!B442="",0,1)),IF(IF('Model inputs'!B443="",0,1)="",0,IF('Model inputs'!B443="",0,1)))=0,"",SUM('Model inputs'!B439,'Model inputs'!B440,'Model inputs'!B441,'Model inputs'!B442,'Model inputs'!B443))</f>
        <v>4732.5</v>
      </c>
      <c r="L8" s="10">
        <f>IF(SUM(IF(IF('Model inputs'!B444="",0,1)="",0,IF('Model inputs'!B444="",0,1)),IF(IF('Model inputs'!B445="",0,1)="",0,IF('Model inputs'!B445="",0,1)),IF(IF('Model inputs'!B446="",0,1)="",0,IF('Model inputs'!B446="",0,1)),IF(IF('Model inputs'!B447="",0,1)="",0,IF('Model inputs'!B447="",0,1)),IF(IF('Model inputs'!B448="",0,1)="",0,IF('Model inputs'!B448="",0,1)))=0,"",SUM('Model inputs'!B444,'Model inputs'!B445,'Model inputs'!B446,'Model inputs'!B447,'Model inputs'!B448))</f>
        <v>5205.75</v>
      </c>
      <c r="M8" s="10">
        <f>IF(SUM(IF(IF('Model inputs'!B449="",0,1)="",0,IF('Model inputs'!B449="",0,1)),IF(IF('Model inputs'!B450="",0,1)="",0,IF('Model inputs'!B450="",0,1)),IF(IF('Model inputs'!B451="",0,1)="",0,IF('Model inputs'!B451="",0,1)),IF(IF('Model inputs'!B452="",0,1)="",0,IF('Model inputs'!B452="",0,1)),IF(IF('Model inputs'!B453="",0,1)="",0,IF('Model inputs'!B453="",0,1)))=0,"",SUM('Model inputs'!B449,'Model inputs'!B450,'Model inputs'!B451,'Model inputs'!B452,'Model inputs'!B453))</f>
        <v>5679</v>
      </c>
    </row>
    <row r="9">
      <c r="A9" t="inlineStr" s="8">
        <is>
          <t xml:space="preserve">Plan Gross profit</t>
        </is>
      </c>
      <c r="B9" s="10">
        <f>IF(SUM(IF(IF('Model inputs'!B454="",0,1)="",0,IF('Model inputs'!B454="",0,1)),IF(IF('Model inputs'!B455="",0,1)="",0,IF('Model inputs'!B455="",0,1)),IF(IF('Model inputs'!B456="",0,1)="",0,IF('Model inputs'!B456="",0,1)),IF(IF('Model inputs'!B457="",0,1)="",0,IF('Model inputs'!B457="",0,1)),IF(IF('Model inputs'!B458="",0,1)="",0,IF('Model inputs'!B458="",0,1)))=0,"",SUM('Model inputs'!B454,'Model inputs'!B455,'Model inputs'!B456,'Model inputs'!B457,'Model inputs'!B458))</f>
        <v>4526.75</v>
      </c>
      <c r="C9" s="10">
        <f>IF(SUM(IF(IF('Model inputs'!B459="",0,1)="",0,IF('Model inputs'!B459="",0,1)),IF(IF('Model inputs'!B460="",0,1)="",0,IF('Model inputs'!B460="",0,1)),IF(IF('Model inputs'!B461="",0,1)="",0,IF('Model inputs'!B461="",0,1)),IF(IF('Model inputs'!B462="",0,1)="",0,IF('Model inputs'!B462="",0,1)),IF(IF('Model inputs'!B463="",0,1)="",0,IF('Model inputs'!B463="",0,1)))=0,"",SUM('Model inputs'!B459,'Model inputs'!B460,'Model inputs'!B461,'Model inputs'!B462,'Model inputs'!B463))</f>
        <v>9053.5</v>
      </c>
      <c r="D9" s="10">
        <f>IF(SUM(IF(IF('Model inputs'!B464="",0,1)="",0,IF('Model inputs'!B464="",0,1)),IF(IF('Model inputs'!B465="",0,1)="",0,IF('Model inputs'!B465="",0,1)),IF(IF('Model inputs'!B466="",0,1)="",0,IF('Model inputs'!B466="",0,1)),IF(IF('Model inputs'!B467="",0,1)="",0,IF('Model inputs'!B467="",0,1)),IF(IF('Model inputs'!B468="",0,1)="",0,IF('Model inputs'!B468="",0,1)))=0,"",SUM('Model inputs'!B464,'Model inputs'!B465,'Model inputs'!B466,'Model inputs'!B467,'Model inputs'!B468))</f>
        <v>13580.25</v>
      </c>
      <c r="E9" s="10">
        <f>IF(SUM(IF(IF('Model inputs'!B469="",0,1)="",0,IF('Model inputs'!B469="",0,1)),IF(IF('Model inputs'!B470="",0,1)="",0,IF('Model inputs'!B470="",0,1)),IF(IF('Model inputs'!B471="",0,1)="",0,IF('Model inputs'!B471="",0,1)),IF(IF('Model inputs'!B472="",0,1)="",0,IF('Model inputs'!B472="",0,1)),IF(IF('Model inputs'!B473="",0,1)="",0,IF('Model inputs'!B473="",0,1)))=0,"",SUM('Model inputs'!B469,'Model inputs'!B470,'Model inputs'!B471,'Model inputs'!B472,'Model inputs'!B473))</f>
        <v>18107</v>
      </c>
      <c r="F9" s="10">
        <f>IF(SUM(IF(IF('Model inputs'!B474="",0,1)="",0,IF('Model inputs'!B474="",0,1)),IF(IF('Model inputs'!B475="",0,1)="",0,IF('Model inputs'!B475="",0,1)),IF(IF('Model inputs'!B476="",0,1)="",0,IF('Model inputs'!B476="",0,1)),IF(IF('Model inputs'!B477="",0,1)="",0,IF('Model inputs'!B477="",0,1)),IF(IF('Model inputs'!B478="",0,1)="",0,IF('Model inputs'!B478="",0,1)))=0,"",SUM('Model inputs'!B474,'Model inputs'!B475,'Model inputs'!B476,'Model inputs'!B477,'Model inputs'!B478))</f>
        <v>22633.75</v>
      </c>
      <c r="G9" s="10">
        <f>IF(SUM(IF(IF('Model inputs'!B479="",0,1)="",0,IF('Model inputs'!B479="",0,1)),IF(IF('Model inputs'!B480="",0,1)="",0,IF('Model inputs'!B480="",0,1)),IF(IF('Model inputs'!B481="",0,1)="",0,IF('Model inputs'!B481="",0,1)),IF(IF('Model inputs'!B482="",0,1)="",0,IF('Model inputs'!B482="",0,1)),IF(IF('Model inputs'!B483="",0,1)="",0,IF('Model inputs'!B483="",0,1)))=0,"",SUM('Model inputs'!B479,'Model inputs'!B480,'Model inputs'!B481,'Model inputs'!B482,'Model inputs'!B483))</f>
        <v>27160.5</v>
      </c>
      <c r="H9" s="10">
        <f>IF(SUM(IF(IF('Model inputs'!B484="",0,1)="",0,IF('Model inputs'!B484="",0,1)),IF(IF('Model inputs'!B485="",0,1)="",0,IF('Model inputs'!B485="",0,1)),IF(IF('Model inputs'!B486="",0,1)="",0,IF('Model inputs'!B486="",0,1)),IF(IF('Model inputs'!B487="",0,1)="",0,IF('Model inputs'!B487="",0,1)),IF(IF('Model inputs'!B488="",0,1)="",0,IF('Model inputs'!B488="",0,1)))=0,"",SUM('Model inputs'!B484,'Model inputs'!B485,'Model inputs'!B486,'Model inputs'!B487,'Model inputs'!B488))</f>
        <v>31687.25</v>
      </c>
      <c r="I9" s="10">
        <f>IF(SUM(IF(IF('Model inputs'!B489="",0,1)="",0,IF('Model inputs'!B489="",0,1)),IF(IF('Model inputs'!B490="",0,1)="",0,IF('Model inputs'!B490="",0,1)),IF(IF('Model inputs'!B491="",0,1)="",0,IF('Model inputs'!B491="",0,1)),IF(IF('Model inputs'!B492="",0,1)="",0,IF('Model inputs'!B492="",0,1)),IF(IF('Model inputs'!B493="",0,1)="",0,IF('Model inputs'!B493="",0,1)))=0,"",SUM('Model inputs'!B489,'Model inputs'!B490,'Model inputs'!B491,'Model inputs'!B492,'Model inputs'!B493))</f>
        <v>36214</v>
      </c>
      <c r="J9" s="10">
        <f>IF(SUM(IF(IF('Model inputs'!B494="",0,1)="",0,IF('Model inputs'!B494="",0,1)),IF(IF('Model inputs'!B495="",0,1)="",0,IF('Model inputs'!B495="",0,1)),IF(IF('Model inputs'!B496="",0,1)="",0,IF('Model inputs'!B496="",0,1)),IF(IF('Model inputs'!B497="",0,1)="",0,IF('Model inputs'!B497="",0,1)),IF(IF('Model inputs'!B498="",0,1)="",0,IF('Model inputs'!B498="",0,1)))=0,"",SUM('Model inputs'!B494,'Model inputs'!B495,'Model inputs'!B496,'Model inputs'!B497,'Model inputs'!B498))</f>
        <v>40740.75</v>
      </c>
      <c r="K9" s="10">
        <f>IF(SUM(IF(IF('Model inputs'!B499="",0,1)="",0,IF('Model inputs'!B499="",0,1)),IF(IF('Model inputs'!B500="",0,1)="",0,IF('Model inputs'!B500="",0,1)),IF(IF('Model inputs'!B501="",0,1)="",0,IF('Model inputs'!B501="",0,1)),IF(IF('Model inputs'!B502="",0,1)="",0,IF('Model inputs'!B502="",0,1)),IF(IF('Model inputs'!B503="",0,1)="",0,IF('Model inputs'!B503="",0,1)))=0,"",SUM('Model inputs'!B499,'Model inputs'!B500,'Model inputs'!B501,'Model inputs'!B502,'Model inputs'!B503))</f>
        <v>45267.5</v>
      </c>
      <c r="L9" s="10">
        <f>IF(SUM(IF(IF('Model inputs'!B504="",0,1)="",0,IF('Model inputs'!B504="",0,1)),IF(IF('Model inputs'!B505="",0,1)="",0,IF('Model inputs'!B505="",0,1)),IF(IF('Model inputs'!B506="",0,1)="",0,IF('Model inputs'!B506="",0,1)),IF(IF('Model inputs'!B507="",0,1)="",0,IF('Model inputs'!B507="",0,1)),IF(IF('Model inputs'!B508="",0,1)="",0,IF('Model inputs'!B508="",0,1)))=0,"",SUM('Model inputs'!B504,'Model inputs'!B505,'Model inputs'!B506,'Model inputs'!B507,'Model inputs'!B508))</f>
        <v>49794.25</v>
      </c>
      <c r="M9" s="10">
        <f>IF(SUM(IF(IF('Model inputs'!B509="",0,1)="",0,IF('Model inputs'!B509="",0,1)),IF(IF('Model inputs'!B510="",0,1)="",0,IF('Model inputs'!B510="",0,1)),IF(IF('Model inputs'!B511="",0,1)="",0,IF('Model inputs'!B511="",0,1)),IF(IF('Model inputs'!B512="",0,1)="",0,IF('Model inputs'!B512="",0,1)),IF(IF('Model inputs'!B513="",0,1)="",0,IF('Model inputs'!B513="",0,1)))=0,"",SUM('Model inputs'!B509,'Model inputs'!B510,'Model inputs'!B511,'Model inputs'!B512,'Model inputs'!B513))</f>
        <v>54321</v>
      </c>
    </row>
    <row r="10">
      <c r="A10" t="inlineStr" s="8">
        <is>
          <t xml:space="preserve">Plan Gross margin by pricing</t>
        </is>
      </c>
      <c r="B10" s="11">
        <f>IF(SUM(IF(IF('Model inputs'!B514="",0,1)="",0,IF('Model inputs'!B514="",0,1)),IF(IF('Model inputs'!B515="",0,1)="",0,IF('Model inputs'!B515="",0,1)),IF(IF('Model inputs'!B516="",0,1)="",0,IF('Model inputs'!B516="",0,1)),IF(IF('Model inputs'!B517="",0,1)="",0,IF('Model inputs'!B517="",0,1)),IF(IF('Model inputs'!B518="",0,1)="",0,IF('Model inputs'!B518="",0,1)))=0,"",SUM('Model inputs'!B514,'Model inputs'!B515,'Model inputs'!B516,'Model inputs'!B517,'Model inputs'!B518))</f>
        <v>0.90535</v>
      </c>
      <c r="C10" s="11">
        <f>IF(SUM(IF(IF('Model inputs'!B519="",0,1)="",0,IF('Model inputs'!B519="",0,1)),IF(IF('Model inputs'!B520="",0,1)="",0,IF('Model inputs'!B520="",0,1)),IF(IF('Model inputs'!B521="",0,1)="",0,IF('Model inputs'!B521="",0,1)),IF(IF('Model inputs'!B522="",0,1)="",0,IF('Model inputs'!B522="",0,1)),IF(IF('Model inputs'!B523="",0,1)="",0,IF('Model inputs'!B523="",0,1)))=0,"",SUM('Model inputs'!B519,'Model inputs'!B520,'Model inputs'!B521,'Model inputs'!B522,'Model inputs'!B523))</f>
        <v>0.90535</v>
      </c>
      <c r="D10" s="11">
        <f>IF(SUM(IF(IF('Model inputs'!B524="",0,1)="",0,IF('Model inputs'!B524="",0,1)),IF(IF('Model inputs'!B525="",0,1)="",0,IF('Model inputs'!B525="",0,1)),IF(IF('Model inputs'!B526="",0,1)="",0,IF('Model inputs'!B526="",0,1)),IF(IF('Model inputs'!B527="",0,1)="",0,IF('Model inputs'!B527="",0,1)),IF(IF('Model inputs'!B528="",0,1)="",0,IF('Model inputs'!B528="",0,1)))=0,"",SUM('Model inputs'!B524,'Model inputs'!B525,'Model inputs'!B526,'Model inputs'!B527,'Model inputs'!B528))</f>
        <v>0.90535</v>
      </c>
      <c r="E10" s="11">
        <f>IF(SUM(IF(IF('Model inputs'!B529="",0,1)="",0,IF('Model inputs'!B529="",0,1)),IF(IF('Model inputs'!B530="",0,1)="",0,IF('Model inputs'!B530="",0,1)),IF(IF('Model inputs'!B531="",0,1)="",0,IF('Model inputs'!B531="",0,1)),IF(IF('Model inputs'!B532="",0,1)="",0,IF('Model inputs'!B532="",0,1)),IF(IF('Model inputs'!B533="",0,1)="",0,IF('Model inputs'!B533="",0,1)))=0,"",SUM('Model inputs'!B529,'Model inputs'!B530,'Model inputs'!B531,'Model inputs'!B532,'Model inputs'!B533))</f>
        <v>0.90535</v>
      </c>
      <c r="F10" s="11">
        <f>IF(SUM(IF(IF('Model inputs'!B534="",0,1)="",0,IF('Model inputs'!B534="",0,1)),IF(IF('Model inputs'!B535="",0,1)="",0,IF('Model inputs'!B535="",0,1)),IF(IF('Model inputs'!B536="",0,1)="",0,IF('Model inputs'!B536="",0,1)),IF(IF('Model inputs'!B537="",0,1)="",0,IF('Model inputs'!B537="",0,1)),IF(IF('Model inputs'!B538="",0,1)="",0,IF('Model inputs'!B538="",0,1)))=0,"",SUM('Model inputs'!B534,'Model inputs'!B535,'Model inputs'!B536,'Model inputs'!B537,'Model inputs'!B538))</f>
        <v>0.90535</v>
      </c>
      <c r="G10" s="11">
        <f>IF(SUM(IF(IF('Model inputs'!B539="",0,1)="",0,IF('Model inputs'!B539="",0,1)),IF(IF('Model inputs'!B540="",0,1)="",0,IF('Model inputs'!B540="",0,1)),IF(IF('Model inputs'!B541="",0,1)="",0,IF('Model inputs'!B541="",0,1)),IF(IF('Model inputs'!B542="",0,1)="",0,IF('Model inputs'!B542="",0,1)),IF(IF('Model inputs'!B543="",0,1)="",0,IF('Model inputs'!B543="",0,1)))=0,"",SUM('Model inputs'!B539,'Model inputs'!B540,'Model inputs'!B541,'Model inputs'!B542,'Model inputs'!B543))</f>
        <v>0.90535</v>
      </c>
      <c r="H10" s="11">
        <f>IF(SUM(IF(IF('Model inputs'!B544="",0,1)="",0,IF('Model inputs'!B544="",0,1)),IF(IF('Model inputs'!B545="",0,1)="",0,IF('Model inputs'!B545="",0,1)),IF(IF('Model inputs'!B546="",0,1)="",0,IF('Model inputs'!B546="",0,1)),IF(IF('Model inputs'!B547="",0,1)="",0,IF('Model inputs'!B547="",0,1)),IF(IF('Model inputs'!B548="",0,1)="",0,IF('Model inputs'!B548="",0,1)))=0,"",SUM('Model inputs'!B544,'Model inputs'!B545,'Model inputs'!B546,'Model inputs'!B547,'Model inputs'!B548))</f>
        <v>0.90535</v>
      </c>
      <c r="I10" s="11">
        <f>IF(SUM(IF(IF('Model inputs'!B549="",0,1)="",0,IF('Model inputs'!B549="",0,1)),IF(IF('Model inputs'!B550="",0,1)="",0,IF('Model inputs'!B550="",0,1)),IF(IF('Model inputs'!B551="",0,1)="",0,IF('Model inputs'!B551="",0,1)),IF(IF('Model inputs'!B552="",0,1)="",0,IF('Model inputs'!B552="",0,1)),IF(IF('Model inputs'!B553="",0,1)="",0,IF('Model inputs'!B553="",0,1)))=0,"",SUM('Model inputs'!B549,'Model inputs'!B550,'Model inputs'!B551,'Model inputs'!B552,'Model inputs'!B553))</f>
        <v>0.90535</v>
      </c>
      <c r="J10" s="11">
        <f>IF(SUM(IF(IF('Model inputs'!B554="",0,1)="",0,IF('Model inputs'!B554="",0,1)),IF(IF('Model inputs'!B555="",0,1)="",0,IF('Model inputs'!B555="",0,1)),IF(IF('Model inputs'!B556="",0,1)="",0,IF('Model inputs'!B556="",0,1)),IF(IF('Model inputs'!B557="",0,1)="",0,IF('Model inputs'!B557="",0,1)),IF(IF('Model inputs'!B558="",0,1)="",0,IF('Model inputs'!B558="",0,1)))=0,"",SUM('Model inputs'!B554,'Model inputs'!B555,'Model inputs'!B556,'Model inputs'!B557,'Model inputs'!B558))</f>
        <v>0.90535</v>
      </c>
      <c r="K10" s="11">
        <f>IF(SUM(IF(IF('Model inputs'!B559="",0,1)="",0,IF('Model inputs'!B559="",0,1)),IF(IF('Model inputs'!B560="",0,1)="",0,IF('Model inputs'!B560="",0,1)),IF(IF('Model inputs'!B561="",0,1)="",0,IF('Model inputs'!B561="",0,1)),IF(IF('Model inputs'!B562="",0,1)="",0,IF('Model inputs'!B562="",0,1)),IF(IF('Model inputs'!B563="",0,1)="",0,IF('Model inputs'!B563="",0,1)))=0,"",SUM('Model inputs'!B559,'Model inputs'!B560,'Model inputs'!B561,'Model inputs'!B562,'Model inputs'!B563))</f>
        <v>0.90535</v>
      </c>
      <c r="L10" s="11">
        <f>IF(SUM(IF(IF('Model inputs'!B564="",0,1)="",0,IF('Model inputs'!B564="",0,1)),IF(IF('Model inputs'!B565="",0,1)="",0,IF('Model inputs'!B565="",0,1)),IF(IF('Model inputs'!B566="",0,1)="",0,IF('Model inputs'!B566="",0,1)),IF(IF('Model inputs'!B567="",0,1)="",0,IF('Model inputs'!B567="",0,1)),IF(IF('Model inputs'!B568="",0,1)="",0,IF('Model inputs'!B568="",0,1)))=0,"",SUM('Model inputs'!B564,'Model inputs'!B565,'Model inputs'!B566,'Model inputs'!B567,'Model inputs'!B568))</f>
        <v>0.90535</v>
      </c>
      <c r="M10" s="11">
        <f>IF(SUM(IF(IF('Model inputs'!B569="",0,1)="",0,IF('Model inputs'!B569="",0,1)),IF(IF('Model inputs'!B570="",0,1)="",0,IF('Model inputs'!B570="",0,1)),IF(IF('Model inputs'!B571="",0,1)="",0,IF('Model inputs'!B571="",0,1)),IF(IF('Model inputs'!B572="",0,1)="",0,IF('Model inputs'!B572="",0,1)),IF(IF('Model inputs'!B573="",0,1)="",0,IF('Model inputs'!B573="",0,1)))=0,"",SUM('Model inputs'!B569,'Model inputs'!B570,'Model inputs'!B571,'Model inputs'!B572,'Model inputs'!B573))</f>
        <v>0.90535</v>
      </c>
    </row>
    <row r="11">
      <c r="A11" t="inlineStr" s="8">
        <is>
          <t xml:space="preserve">Plan Account support cost</t>
        </is>
      </c>
      <c r="B11" s="10">
        <f>IF(SUM(IF(IF('Model inputs'!B574="",0,1)="",0,IF('Model inputs'!B574="",0,1)),IF(IF('Model inputs'!B575="",0,1)="",0,IF('Model inputs'!B575="",0,1)),IF(IF('Model inputs'!B576="",0,1)="",0,IF('Model inputs'!B576="",0,1)),IF(IF('Model inputs'!B577="",0,1)="",0,IF('Model inputs'!B577="",0,1)),IF(IF('Model inputs'!B578="",0,1)="",0,IF('Model inputs'!B578="",0,1)))=0,"",SUM('Model inputs'!B574,'Model inputs'!B575,'Model inputs'!B576,'Model inputs'!B577,'Model inputs'!B578))</f>
        <v>37.5</v>
      </c>
      <c r="C11" s="10">
        <f>IF(SUM(IF(IF('Model inputs'!B579="",0,1)="",0,IF('Model inputs'!B579="",0,1)),IF(IF('Model inputs'!B580="",0,1)="",0,IF('Model inputs'!B580="",0,1)),IF(IF('Model inputs'!B581="",0,1)="",0,IF('Model inputs'!B581="",0,1)),IF(IF('Model inputs'!B582="",0,1)="",0,IF('Model inputs'!B582="",0,1)),IF(IF('Model inputs'!B583="",0,1)="",0,IF('Model inputs'!B583="",0,1)))=0,"",SUM('Model inputs'!B579,'Model inputs'!B580,'Model inputs'!B581,'Model inputs'!B582,'Model inputs'!B583))</f>
        <v>75</v>
      </c>
      <c r="D11" s="10">
        <f>IF(SUM(IF(IF('Model inputs'!B584="",0,1)="",0,IF('Model inputs'!B584="",0,1)),IF(IF('Model inputs'!B585="",0,1)="",0,IF('Model inputs'!B585="",0,1)),IF(IF('Model inputs'!B586="",0,1)="",0,IF('Model inputs'!B586="",0,1)),IF(IF('Model inputs'!B587="",0,1)="",0,IF('Model inputs'!B587="",0,1)),IF(IF('Model inputs'!B588="",0,1)="",0,IF('Model inputs'!B588="",0,1)))=0,"",SUM('Model inputs'!B584,'Model inputs'!B585,'Model inputs'!B586,'Model inputs'!B587,'Model inputs'!B588))</f>
        <v>112.5</v>
      </c>
      <c r="E11" s="10">
        <f>IF(SUM(IF(IF('Model inputs'!B589="",0,1)="",0,IF('Model inputs'!B589="",0,1)),IF(IF('Model inputs'!B590="",0,1)="",0,IF('Model inputs'!B590="",0,1)),IF(IF('Model inputs'!B591="",0,1)="",0,IF('Model inputs'!B591="",0,1)),IF(IF('Model inputs'!B592="",0,1)="",0,IF('Model inputs'!B592="",0,1)),IF(IF('Model inputs'!B593="",0,1)="",0,IF('Model inputs'!B593="",0,1)))=0,"",SUM('Model inputs'!B589,'Model inputs'!B590,'Model inputs'!B591,'Model inputs'!B592,'Model inputs'!B593))</f>
        <v>150</v>
      </c>
      <c r="F11" s="10">
        <f>IF(SUM(IF(IF('Model inputs'!B594="",0,1)="",0,IF('Model inputs'!B594="",0,1)),IF(IF('Model inputs'!B595="",0,1)="",0,IF('Model inputs'!B595="",0,1)),IF(IF('Model inputs'!B596="",0,1)="",0,IF('Model inputs'!B596="",0,1)),IF(IF('Model inputs'!B597="",0,1)="",0,IF('Model inputs'!B597="",0,1)),IF(IF('Model inputs'!B598="",0,1)="",0,IF('Model inputs'!B598="",0,1)))=0,"",SUM('Model inputs'!B594,'Model inputs'!B595,'Model inputs'!B596,'Model inputs'!B597,'Model inputs'!B598))</f>
        <v>187.5</v>
      </c>
      <c r="G11" s="10">
        <f>IF(SUM(IF(IF('Model inputs'!B599="",0,1)="",0,IF('Model inputs'!B599="",0,1)),IF(IF('Model inputs'!B600="",0,1)="",0,IF('Model inputs'!B600="",0,1)),IF(IF('Model inputs'!B601="",0,1)="",0,IF('Model inputs'!B601="",0,1)),IF(IF('Model inputs'!B602="",0,1)="",0,IF('Model inputs'!B602="",0,1)),IF(IF('Model inputs'!B603="",0,1)="",0,IF('Model inputs'!B603="",0,1)))=0,"",SUM('Model inputs'!B599,'Model inputs'!B600,'Model inputs'!B601,'Model inputs'!B602,'Model inputs'!B603))</f>
        <v>225</v>
      </c>
      <c r="H11" s="10">
        <f>IF(SUM(IF(IF('Model inputs'!B604="",0,1)="",0,IF('Model inputs'!B604="",0,1)),IF(IF('Model inputs'!B605="",0,1)="",0,IF('Model inputs'!B605="",0,1)),IF(IF('Model inputs'!B606="",0,1)="",0,IF('Model inputs'!B606="",0,1)),IF(IF('Model inputs'!B607="",0,1)="",0,IF('Model inputs'!B607="",0,1)),IF(IF('Model inputs'!B608="",0,1)="",0,IF('Model inputs'!B608="",0,1)))=0,"",SUM('Model inputs'!B604,'Model inputs'!B605,'Model inputs'!B606,'Model inputs'!B607,'Model inputs'!B608))</f>
        <v>262.5</v>
      </c>
      <c r="I11" s="10">
        <f>IF(SUM(IF(IF('Model inputs'!B609="",0,1)="",0,IF('Model inputs'!B609="",0,1)),IF(IF('Model inputs'!B610="",0,1)="",0,IF('Model inputs'!B610="",0,1)),IF(IF('Model inputs'!B611="",0,1)="",0,IF('Model inputs'!B611="",0,1)),IF(IF('Model inputs'!B612="",0,1)="",0,IF('Model inputs'!B612="",0,1)),IF(IF('Model inputs'!B613="",0,1)="",0,IF('Model inputs'!B613="",0,1)))=0,"",SUM('Model inputs'!B609,'Model inputs'!B610,'Model inputs'!B611,'Model inputs'!B612,'Model inputs'!B613))</f>
        <v>300</v>
      </c>
      <c r="J11" s="10">
        <f>IF(SUM(IF(IF('Model inputs'!B614="",0,1)="",0,IF('Model inputs'!B614="",0,1)),IF(IF('Model inputs'!B615="",0,1)="",0,IF('Model inputs'!B615="",0,1)),IF(IF('Model inputs'!B616="",0,1)="",0,IF('Model inputs'!B616="",0,1)),IF(IF('Model inputs'!B617="",0,1)="",0,IF('Model inputs'!B617="",0,1)),IF(IF('Model inputs'!B618="",0,1)="",0,IF('Model inputs'!B618="",0,1)))=0,"",SUM('Model inputs'!B614,'Model inputs'!B615,'Model inputs'!B616,'Model inputs'!B617,'Model inputs'!B618))</f>
        <v>337.5</v>
      </c>
      <c r="K11" s="10">
        <f>IF(SUM(IF(IF('Model inputs'!B619="",0,1)="",0,IF('Model inputs'!B619="",0,1)),IF(IF('Model inputs'!B620="",0,1)="",0,IF('Model inputs'!B620="",0,1)),IF(IF('Model inputs'!B621="",0,1)="",0,IF('Model inputs'!B621="",0,1)),IF(IF('Model inputs'!B622="",0,1)="",0,IF('Model inputs'!B622="",0,1)),IF(IF('Model inputs'!B623="",0,1)="",0,IF('Model inputs'!B623="",0,1)))=0,"",SUM('Model inputs'!B619,'Model inputs'!B620,'Model inputs'!B621,'Model inputs'!B622,'Model inputs'!B623))</f>
        <v>375</v>
      </c>
      <c r="L11" s="10">
        <f>IF(SUM(IF(IF('Model inputs'!B624="",0,1)="",0,IF('Model inputs'!B624="",0,1)),IF(IF('Model inputs'!B625="",0,1)="",0,IF('Model inputs'!B625="",0,1)),IF(IF('Model inputs'!B626="",0,1)="",0,IF('Model inputs'!B626="",0,1)),IF(IF('Model inputs'!B627="",0,1)="",0,IF('Model inputs'!B627="",0,1)),IF(IF('Model inputs'!B628="",0,1)="",0,IF('Model inputs'!B628="",0,1)))=0,"",SUM('Model inputs'!B624,'Model inputs'!B625,'Model inputs'!B626,'Model inputs'!B627,'Model inputs'!B628))</f>
        <v>412.5</v>
      </c>
      <c r="M11" s="10">
        <f>IF(SUM(IF(IF('Model inputs'!B629="",0,1)="",0,IF('Model inputs'!B629="",0,1)),IF(IF('Model inputs'!B630="",0,1)="",0,IF('Model inputs'!B630="",0,1)),IF(IF('Model inputs'!B631="",0,1)="",0,IF('Model inputs'!B631="",0,1)),IF(IF('Model inputs'!B632="",0,1)="",0,IF('Model inputs'!B632="",0,1)),IF(IF('Model inputs'!B633="",0,1)="",0,IF('Model inputs'!B633="",0,1)))=0,"",SUM('Model inputs'!B629,'Model inputs'!B630,'Model inputs'!B631,'Model inputs'!B632,'Model inputs'!B633))</f>
        <v>450</v>
      </c>
    </row>
    <row r="12">
      <c r="A12" t="inlineStr" s="8">
        <is>
          <t xml:space="preserve">Plan Contribution profit</t>
        </is>
      </c>
      <c r="B12" s="10">
        <f>IF(SUM(IF(IF('Model inputs'!B634="",0,1)="",0,IF('Model inputs'!B634="",0,1)),IF(IF('Model inputs'!B635="",0,1)="",0,IF('Model inputs'!B635="",0,1)),IF(IF('Model inputs'!B636="",0,1)="",0,IF('Model inputs'!B636="",0,1)),IF(IF('Model inputs'!B637="",0,1)="",0,IF('Model inputs'!B637="",0,1)),IF(IF('Model inputs'!B638="",0,1)="",0,IF('Model inputs'!B638="",0,1)))=0,"",SUM('Model inputs'!B634,'Model inputs'!B635,'Model inputs'!B636,'Model inputs'!B637,'Model inputs'!B638))</f>
        <v>4339.25</v>
      </c>
      <c r="C12" s="10">
        <f>IF(SUM(IF(IF('Model inputs'!B639="",0,1)="",0,IF('Model inputs'!B639="",0,1)),IF(IF('Model inputs'!B640="",0,1)="",0,IF('Model inputs'!B640="",0,1)),IF(IF('Model inputs'!B641="",0,1)="",0,IF('Model inputs'!B641="",0,1)),IF(IF('Model inputs'!B642="",0,1)="",0,IF('Model inputs'!B642="",0,1)),IF(IF('Model inputs'!B643="",0,1)="",0,IF('Model inputs'!B643="",0,1)))=0,"",SUM('Model inputs'!B639,'Model inputs'!B640,'Model inputs'!B641,'Model inputs'!B642,'Model inputs'!B643))</f>
        <v>8678.5</v>
      </c>
      <c r="D12" s="10">
        <f>IF(SUM(IF(IF('Model inputs'!B644="",0,1)="",0,IF('Model inputs'!B644="",0,1)),IF(IF('Model inputs'!B645="",0,1)="",0,IF('Model inputs'!B645="",0,1)),IF(IF('Model inputs'!B646="",0,1)="",0,IF('Model inputs'!B646="",0,1)),IF(IF('Model inputs'!B647="",0,1)="",0,IF('Model inputs'!B647="",0,1)),IF(IF('Model inputs'!B648="",0,1)="",0,IF('Model inputs'!B648="",0,1)))=0,"",SUM('Model inputs'!B644,'Model inputs'!B645,'Model inputs'!B646,'Model inputs'!B647,'Model inputs'!B648))</f>
        <v>13017.75</v>
      </c>
      <c r="E12" s="10">
        <f>IF(SUM(IF(IF('Model inputs'!B649="",0,1)="",0,IF('Model inputs'!B649="",0,1)),IF(IF('Model inputs'!B650="",0,1)="",0,IF('Model inputs'!B650="",0,1)),IF(IF('Model inputs'!B651="",0,1)="",0,IF('Model inputs'!B651="",0,1)),IF(IF('Model inputs'!B652="",0,1)="",0,IF('Model inputs'!B652="",0,1)),IF(IF('Model inputs'!B653="",0,1)="",0,IF('Model inputs'!B653="",0,1)))=0,"",SUM('Model inputs'!B649,'Model inputs'!B650,'Model inputs'!B651,'Model inputs'!B652,'Model inputs'!B653))</f>
        <v>17357</v>
      </c>
      <c r="F12" s="10">
        <f>IF(SUM(IF(IF('Model inputs'!B654="",0,1)="",0,IF('Model inputs'!B654="",0,1)),IF(IF('Model inputs'!B655="",0,1)="",0,IF('Model inputs'!B655="",0,1)),IF(IF('Model inputs'!B656="",0,1)="",0,IF('Model inputs'!B656="",0,1)),IF(IF('Model inputs'!B657="",0,1)="",0,IF('Model inputs'!B657="",0,1)),IF(IF('Model inputs'!B658="",0,1)="",0,IF('Model inputs'!B658="",0,1)))=0,"",SUM('Model inputs'!B654,'Model inputs'!B655,'Model inputs'!B656,'Model inputs'!B657,'Model inputs'!B658))</f>
        <v>21696.25</v>
      </c>
      <c r="G12" s="10">
        <f>IF(SUM(IF(IF('Model inputs'!B659="",0,1)="",0,IF('Model inputs'!B659="",0,1)),IF(IF('Model inputs'!B660="",0,1)="",0,IF('Model inputs'!B660="",0,1)),IF(IF('Model inputs'!B661="",0,1)="",0,IF('Model inputs'!B661="",0,1)),IF(IF('Model inputs'!B662="",0,1)="",0,IF('Model inputs'!B662="",0,1)),IF(IF('Model inputs'!B663="",0,1)="",0,IF('Model inputs'!B663="",0,1)))=0,"",SUM('Model inputs'!B659,'Model inputs'!B660,'Model inputs'!B661,'Model inputs'!B662,'Model inputs'!B663))</f>
        <v>26035.5</v>
      </c>
      <c r="H12" s="10">
        <f>IF(SUM(IF(IF('Model inputs'!B664="",0,1)="",0,IF('Model inputs'!B664="",0,1)),IF(IF('Model inputs'!B665="",0,1)="",0,IF('Model inputs'!B665="",0,1)),IF(IF('Model inputs'!B666="",0,1)="",0,IF('Model inputs'!B666="",0,1)),IF(IF('Model inputs'!B667="",0,1)="",0,IF('Model inputs'!B667="",0,1)),IF(IF('Model inputs'!B668="",0,1)="",0,IF('Model inputs'!B668="",0,1)))=0,"",SUM('Model inputs'!B664,'Model inputs'!B665,'Model inputs'!B666,'Model inputs'!B667,'Model inputs'!B668))</f>
        <v>30374.75</v>
      </c>
      <c r="I12" s="10">
        <f>IF(SUM(IF(IF('Model inputs'!B669="",0,1)="",0,IF('Model inputs'!B669="",0,1)),IF(IF('Model inputs'!B670="",0,1)="",0,IF('Model inputs'!B670="",0,1)),IF(IF('Model inputs'!B671="",0,1)="",0,IF('Model inputs'!B671="",0,1)),IF(IF('Model inputs'!B672="",0,1)="",0,IF('Model inputs'!B672="",0,1)),IF(IF('Model inputs'!B673="",0,1)="",0,IF('Model inputs'!B673="",0,1)))=0,"",SUM('Model inputs'!B669,'Model inputs'!B670,'Model inputs'!B671,'Model inputs'!B672,'Model inputs'!B673))</f>
        <v>34714</v>
      </c>
      <c r="J12" s="10">
        <f>IF(SUM(IF(IF('Model inputs'!B674="",0,1)="",0,IF('Model inputs'!B674="",0,1)),IF(IF('Model inputs'!B675="",0,1)="",0,IF('Model inputs'!B675="",0,1)),IF(IF('Model inputs'!B676="",0,1)="",0,IF('Model inputs'!B676="",0,1)),IF(IF('Model inputs'!B677="",0,1)="",0,IF('Model inputs'!B677="",0,1)),IF(IF('Model inputs'!B678="",0,1)="",0,IF('Model inputs'!B678="",0,1)))=0,"",SUM('Model inputs'!B674,'Model inputs'!B675,'Model inputs'!B676,'Model inputs'!B677,'Model inputs'!B678))</f>
        <v>39053.25</v>
      </c>
      <c r="K12" s="10">
        <f>IF(SUM(IF(IF('Model inputs'!B679="",0,1)="",0,IF('Model inputs'!B679="",0,1)),IF(IF('Model inputs'!B680="",0,1)="",0,IF('Model inputs'!B680="",0,1)),IF(IF('Model inputs'!B681="",0,1)="",0,IF('Model inputs'!B681="",0,1)),IF(IF('Model inputs'!B682="",0,1)="",0,IF('Model inputs'!B682="",0,1)),IF(IF('Model inputs'!B683="",0,1)="",0,IF('Model inputs'!B683="",0,1)))=0,"",SUM('Model inputs'!B679,'Model inputs'!B680,'Model inputs'!B681,'Model inputs'!B682,'Model inputs'!B683))</f>
        <v>43392.5</v>
      </c>
      <c r="L12" s="10">
        <f>IF(SUM(IF(IF('Model inputs'!B684="",0,1)="",0,IF('Model inputs'!B684="",0,1)),IF(IF('Model inputs'!B685="",0,1)="",0,IF('Model inputs'!B685="",0,1)),IF(IF('Model inputs'!B686="",0,1)="",0,IF('Model inputs'!B686="",0,1)),IF(IF('Model inputs'!B687="",0,1)="",0,IF('Model inputs'!B687="",0,1)),IF(IF('Model inputs'!B688="",0,1)="",0,IF('Model inputs'!B688="",0,1)))=0,"",SUM('Model inputs'!B684,'Model inputs'!B685,'Model inputs'!B686,'Model inputs'!B687,'Model inputs'!B688))</f>
        <v>47731.75</v>
      </c>
      <c r="M12" s="10">
        <f>IF(SUM(IF(IF('Model inputs'!B689="",0,1)="",0,IF('Model inputs'!B689="",0,1)),IF(IF('Model inputs'!B690="",0,1)="",0,IF('Model inputs'!B690="",0,1)),IF(IF('Model inputs'!B691="",0,1)="",0,IF('Model inputs'!B691="",0,1)),IF(IF('Model inputs'!B692="",0,1)="",0,IF('Model inputs'!B692="",0,1)),IF(IF('Model inputs'!B693="",0,1)="",0,IF('Model inputs'!B693="",0,1)))=0,"",SUM('Model inputs'!B689,'Model inputs'!B690,'Model inputs'!B691,'Model inputs'!B692,'Model inputs'!B693))</f>
        <v>52071</v>
      </c>
    </row>
    <row r="13">
      <c r="A13" t="inlineStr" s="8">
        <is>
          <t xml:space="preserve">Plan Contribution margin by pricing</t>
        </is>
      </c>
      <c r="B13" s="11">
        <f>IF(SUM(IF(IF('Model inputs'!B694="",0,1)="",0,IF('Model inputs'!B694="",0,1)),IF(IF('Model inputs'!B695="",0,1)="",0,IF('Model inputs'!B695="",0,1)),IF(IF('Model inputs'!B696="",0,1)="",0,IF('Model inputs'!B696="",0,1)),IF(IF('Model inputs'!B697="",0,1)="",0,IF('Model inputs'!B697="",0,1)),IF(IF('Model inputs'!B698="",0,1)="",0,IF('Model inputs'!B698="",0,1)))=0,"",SUM('Model inputs'!B694,'Model inputs'!B695,'Model inputs'!B696,'Model inputs'!B697,'Model inputs'!B698))</f>
        <v>0.86785</v>
      </c>
      <c r="C13" s="11">
        <f>IF(SUM(IF(IF('Model inputs'!B699="",0,1)="",0,IF('Model inputs'!B699="",0,1)),IF(IF('Model inputs'!B700="",0,1)="",0,IF('Model inputs'!B700="",0,1)),IF(IF('Model inputs'!B701="",0,1)="",0,IF('Model inputs'!B701="",0,1)),IF(IF('Model inputs'!B702="",0,1)="",0,IF('Model inputs'!B702="",0,1)),IF(IF('Model inputs'!B703="",0,1)="",0,IF('Model inputs'!B703="",0,1)))=0,"",SUM('Model inputs'!B699,'Model inputs'!B700,'Model inputs'!B701,'Model inputs'!B702,'Model inputs'!B703))</f>
        <v>0.86785</v>
      </c>
      <c r="D13" s="11">
        <f>IF(SUM(IF(IF('Model inputs'!B704="",0,1)="",0,IF('Model inputs'!B704="",0,1)),IF(IF('Model inputs'!B705="",0,1)="",0,IF('Model inputs'!B705="",0,1)),IF(IF('Model inputs'!B706="",0,1)="",0,IF('Model inputs'!B706="",0,1)),IF(IF('Model inputs'!B707="",0,1)="",0,IF('Model inputs'!B707="",0,1)),IF(IF('Model inputs'!B708="",0,1)="",0,IF('Model inputs'!B708="",0,1)))=0,"",SUM('Model inputs'!B704,'Model inputs'!B705,'Model inputs'!B706,'Model inputs'!B707,'Model inputs'!B708))</f>
        <v>0.86785</v>
      </c>
      <c r="E13" s="11">
        <f>IF(SUM(IF(IF('Model inputs'!B709="",0,1)="",0,IF('Model inputs'!B709="",0,1)),IF(IF('Model inputs'!B710="",0,1)="",0,IF('Model inputs'!B710="",0,1)),IF(IF('Model inputs'!B711="",0,1)="",0,IF('Model inputs'!B711="",0,1)),IF(IF('Model inputs'!B712="",0,1)="",0,IF('Model inputs'!B712="",0,1)),IF(IF('Model inputs'!B713="",0,1)="",0,IF('Model inputs'!B713="",0,1)))=0,"",SUM('Model inputs'!B709,'Model inputs'!B710,'Model inputs'!B711,'Model inputs'!B712,'Model inputs'!B713))</f>
        <v>0.86785</v>
      </c>
      <c r="F13" s="11">
        <f>IF(SUM(IF(IF('Model inputs'!B714="",0,1)="",0,IF('Model inputs'!B714="",0,1)),IF(IF('Model inputs'!B715="",0,1)="",0,IF('Model inputs'!B715="",0,1)),IF(IF('Model inputs'!B716="",0,1)="",0,IF('Model inputs'!B716="",0,1)),IF(IF('Model inputs'!B717="",0,1)="",0,IF('Model inputs'!B717="",0,1)),IF(IF('Model inputs'!B718="",0,1)="",0,IF('Model inputs'!B718="",0,1)))=0,"",SUM('Model inputs'!B714,'Model inputs'!B715,'Model inputs'!B716,'Model inputs'!B717,'Model inputs'!B718))</f>
        <v>0.86785</v>
      </c>
      <c r="G13" s="11">
        <f>IF(SUM(IF(IF('Model inputs'!B719="",0,1)="",0,IF('Model inputs'!B719="",0,1)),IF(IF('Model inputs'!B720="",0,1)="",0,IF('Model inputs'!B720="",0,1)),IF(IF('Model inputs'!B721="",0,1)="",0,IF('Model inputs'!B721="",0,1)),IF(IF('Model inputs'!B722="",0,1)="",0,IF('Model inputs'!B722="",0,1)),IF(IF('Model inputs'!B723="",0,1)="",0,IF('Model inputs'!B723="",0,1)))=0,"",SUM('Model inputs'!B719,'Model inputs'!B720,'Model inputs'!B721,'Model inputs'!B722,'Model inputs'!B723))</f>
        <v>0.86785</v>
      </c>
      <c r="H13" s="11">
        <f>IF(SUM(IF(IF('Model inputs'!B724="",0,1)="",0,IF('Model inputs'!B724="",0,1)),IF(IF('Model inputs'!B725="",0,1)="",0,IF('Model inputs'!B725="",0,1)),IF(IF('Model inputs'!B726="",0,1)="",0,IF('Model inputs'!B726="",0,1)),IF(IF('Model inputs'!B727="",0,1)="",0,IF('Model inputs'!B727="",0,1)),IF(IF('Model inputs'!B728="",0,1)="",0,IF('Model inputs'!B728="",0,1)))=0,"",SUM('Model inputs'!B724,'Model inputs'!B725,'Model inputs'!B726,'Model inputs'!B727,'Model inputs'!B728))</f>
        <v>0.86785</v>
      </c>
      <c r="I13" s="11">
        <f>IF(SUM(IF(IF('Model inputs'!B729="",0,1)="",0,IF('Model inputs'!B729="",0,1)),IF(IF('Model inputs'!B730="",0,1)="",0,IF('Model inputs'!B730="",0,1)),IF(IF('Model inputs'!B731="",0,1)="",0,IF('Model inputs'!B731="",0,1)),IF(IF('Model inputs'!B732="",0,1)="",0,IF('Model inputs'!B732="",0,1)),IF(IF('Model inputs'!B733="",0,1)="",0,IF('Model inputs'!B733="",0,1)))=0,"",SUM('Model inputs'!B729,'Model inputs'!B730,'Model inputs'!B731,'Model inputs'!B732,'Model inputs'!B733))</f>
        <v>0.86785</v>
      </c>
      <c r="J13" s="11">
        <f>IF(SUM(IF(IF('Model inputs'!B734="",0,1)="",0,IF('Model inputs'!B734="",0,1)),IF(IF('Model inputs'!B735="",0,1)="",0,IF('Model inputs'!B735="",0,1)),IF(IF('Model inputs'!B736="",0,1)="",0,IF('Model inputs'!B736="",0,1)),IF(IF('Model inputs'!B737="",0,1)="",0,IF('Model inputs'!B737="",0,1)),IF(IF('Model inputs'!B738="",0,1)="",0,IF('Model inputs'!B738="",0,1)))=0,"",SUM('Model inputs'!B734,'Model inputs'!B735,'Model inputs'!B736,'Model inputs'!B737,'Model inputs'!B738))</f>
        <v>0.86785</v>
      </c>
      <c r="K13" s="11">
        <f>IF(SUM(IF(IF('Model inputs'!B739="",0,1)="",0,IF('Model inputs'!B739="",0,1)),IF(IF('Model inputs'!B740="",0,1)="",0,IF('Model inputs'!B740="",0,1)),IF(IF('Model inputs'!B741="",0,1)="",0,IF('Model inputs'!B741="",0,1)),IF(IF('Model inputs'!B742="",0,1)="",0,IF('Model inputs'!B742="",0,1)),IF(IF('Model inputs'!B743="",0,1)="",0,IF('Model inputs'!B743="",0,1)))=0,"",SUM('Model inputs'!B739,'Model inputs'!B740,'Model inputs'!B741,'Model inputs'!B742,'Model inputs'!B743))</f>
        <v>0.86785</v>
      </c>
      <c r="L13" s="11">
        <f>IF(SUM(IF(IF('Model inputs'!B744="",0,1)="",0,IF('Model inputs'!B744="",0,1)),IF(IF('Model inputs'!B745="",0,1)="",0,IF('Model inputs'!B745="",0,1)),IF(IF('Model inputs'!B746="",0,1)="",0,IF('Model inputs'!B746="",0,1)),IF(IF('Model inputs'!B747="",0,1)="",0,IF('Model inputs'!B747="",0,1)),IF(IF('Model inputs'!B748="",0,1)="",0,IF('Model inputs'!B748="",0,1)))=0,"",SUM('Model inputs'!B744,'Model inputs'!B745,'Model inputs'!B746,'Model inputs'!B747,'Model inputs'!B748))</f>
        <v>0.86785</v>
      </c>
      <c r="M13" s="11">
        <f>IF(SUM(IF(IF('Model inputs'!B749="",0,1)="",0,IF('Model inputs'!B749="",0,1)),IF(IF('Model inputs'!B750="",0,1)="",0,IF('Model inputs'!B750="",0,1)),IF(IF('Model inputs'!B751="",0,1)="",0,IF('Model inputs'!B751="",0,1)),IF(IF('Model inputs'!B752="",0,1)="",0,IF('Model inputs'!B752="",0,1)),IF(IF('Model inputs'!B753="",0,1)="",0,IF('Model inputs'!B753="",0,1)))=0,"",SUM('Model inputs'!B749,'Model inputs'!B750,'Model inputs'!B751,'Model inputs'!B752,'Model inputs'!B753))</f>
        <v>0.86785</v>
      </c>
    </row>
    <row r="14">
      <c r="A14" t="inlineStr" s="8">
        <is>
          <t xml:space="preserve">Fixed costs</t>
        </is>
      </c>
      <c r="B14" s="10">
        <f>'Model inputs'!O79+'Model inputs'!O112+'Model inputs'!O48+'Model inputs'!O66+'Model inputs'!O110+IF(IF(IF(IF(ISERROR('Model inputs'!C105&gt;='Model inputs'!O31),'Model inputs'!C105&gt;='Model inputs'!O31,IF(OR('Model inputs'!C105="",'Model inputs'!O31=""),"",'Model inputs'!C105&gt;='Model inputs'!O31))="",FALSE,IF(ISERROR('Model inputs'!C105&gt;='Model inputs'!O31),'Model inputs'!C105&gt;='Model inputs'!O31,IF(OR('Model inputs'!C105="",'Model inputs'!O31=""),"",'Model inputs'!C105&gt;='Model inputs'!O31))),IF('Model inputs'!O30="","",'Model inputs'!O30),0)="",0,IF(IF(IF(ISERROR('Model inputs'!C105&gt;='Model inputs'!O31),'Model inputs'!C105&gt;='Model inputs'!O31,IF(OR('Model inputs'!C105="",'Model inputs'!O31=""),"",'Model inputs'!C105&gt;='Model inputs'!O31))="",FALSE,IF(ISERROR('Model inputs'!C105&gt;='Model inputs'!O31),'Model inputs'!C105&gt;='Model inputs'!O31,IF(OR('Model inputs'!C105="",'Model inputs'!O31=""),"",'Model inputs'!C105&gt;='Model inputs'!O31))),IF('Model inputs'!O30="","",'Model inputs'!O30),0))</f>
        <v>750</v>
      </c>
      <c r="C14" s="10">
        <f>'Model inputs'!O79+'Model inputs'!O112+'Model inputs'!O48+'Model inputs'!O66+'Model inputs'!O110+IF(IF(IF(IF(ISERROR('Model inputs'!D105&gt;='Model inputs'!O31),'Model inputs'!D105&gt;='Model inputs'!O31,IF(OR('Model inputs'!D105="",'Model inputs'!O31=""),"",'Model inputs'!D105&gt;='Model inputs'!O31))="",FALSE,IF(ISERROR('Model inputs'!D105&gt;='Model inputs'!O31),'Model inputs'!D105&gt;='Model inputs'!O31,IF(OR('Model inputs'!D105="",'Model inputs'!O31=""),"",'Model inputs'!D105&gt;='Model inputs'!O31))),IF('Model inputs'!O30="","",'Model inputs'!O30),0)="",0,IF(IF(IF(ISERROR('Model inputs'!D105&gt;='Model inputs'!O31),'Model inputs'!D105&gt;='Model inputs'!O31,IF(OR('Model inputs'!D105="",'Model inputs'!O31=""),"",'Model inputs'!D105&gt;='Model inputs'!O31))="",FALSE,IF(ISERROR('Model inputs'!D105&gt;='Model inputs'!O31),'Model inputs'!D105&gt;='Model inputs'!O31,IF(OR('Model inputs'!D105="",'Model inputs'!O31=""),"",'Model inputs'!D105&gt;='Model inputs'!O31))),IF('Model inputs'!O30="","",'Model inputs'!O30),0))</f>
        <v>750</v>
      </c>
      <c r="D14" s="10">
        <f>'Model inputs'!O79+'Model inputs'!O112+'Model inputs'!O48+'Model inputs'!O66+'Model inputs'!O110+IF(IF(IF(IF(ISERROR('Model inputs'!E105&gt;='Model inputs'!O31),'Model inputs'!E105&gt;='Model inputs'!O31,IF(OR('Model inputs'!E105="",'Model inputs'!O31=""),"",'Model inputs'!E105&gt;='Model inputs'!O31))="",FALSE,IF(ISERROR('Model inputs'!E105&gt;='Model inputs'!O31),'Model inputs'!E105&gt;='Model inputs'!O31,IF(OR('Model inputs'!E105="",'Model inputs'!O31=""),"",'Model inputs'!E105&gt;='Model inputs'!O31))),IF('Model inputs'!O30="","",'Model inputs'!O30),0)="",0,IF(IF(IF(ISERROR('Model inputs'!E105&gt;='Model inputs'!O31),'Model inputs'!E105&gt;='Model inputs'!O31,IF(OR('Model inputs'!E105="",'Model inputs'!O31=""),"",'Model inputs'!E105&gt;='Model inputs'!O31))="",FALSE,IF(ISERROR('Model inputs'!E105&gt;='Model inputs'!O31),'Model inputs'!E105&gt;='Model inputs'!O31,IF(OR('Model inputs'!E105="",'Model inputs'!O31=""),"",'Model inputs'!E105&gt;='Model inputs'!O31))),IF('Model inputs'!O30="","",'Model inputs'!O30),0))</f>
        <v>750</v>
      </c>
      <c r="E14" s="10">
        <f>'Model inputs'!O79+'Model inputs'!O112+'Model inputs'!O48+'Model inputs'!O66+'Model inputs'!O110+IF(IF(IF(IF(ISERROR('Model inputs'!F105&gt;='Model inputs'!O31),'Model inputs'!F105&gt;='Model inputs'!O31,IF(OR('Model inputs'!F105="",'Model inputs'!O31=""),"",'Model inputs'!F105&gt;='Model inputs'!O31))="",FALSE,IF(ISERROR('Model inputs'!F105&gt;='Model inputs'!O31),'Model inputs'!F105&gt;='Model inputs'!O31,IF(OR('Model inputs'!F105="",'Model inputs'!O31=""),"",'Model inputs'!F105&gt;='Model inputs'!O31))),IF('Model inputs'!O30="","",'Model inputs'!O30),0)="",0,IF(IF(IF(ISERROR('Model inputs'!F105&gt;='Model inputs'!O31),'Model inputs'!F105&gt;='Model inputs'!O31,IF(OR('Model inputs'!F105="",'Model inputs'!O31=""),"",'Model inputs'!F105&gt;='Model inputs'!O31))="",FALSE,IF(ISERROR('Model inputs'!F105&gt;='Model inputs'!O31),'Model inputs'!F105&gt;='Model inputs'!O31,IF(OR('Model inputs'!F105="",'Model inputs'!O31=""),"",'Model inputs'!F105&gt;='Model inputs'!O31))),IF('Model inputs'!O30="","",'Model inputs'!O30),0))</f>
        <v>750</v>
      </c>
      <c r="F14" s="10">
        <f>'Model inputs'!O79+'Model inputs'!O112+'Model inputs'!O48+'Model inputs'!O66+'Model inputs'!O110+IF(IF(IF(IF(ISERROR('Model inputs'!G105&gt;='Model inputs'!O31),'Model inputs'!G105&gt;='Model inputs'!O31,IF(OR('Model inputs'!G105="",'Model inputs'!O31=""),"",'Model inputs'!G105&gt;='Model inputs'!O31))="",FALSE,IF(ISERROR('Model inputs'!G105&gt;='Model inputs'!O31),'Model inputs'!G105&gt;='Model inputs'!O31,IF(OR('Model inputs'!G105="",'Model inputs'!O31=""),"",'Model inputs'!G105&gt;='Model inputs'!O31))),IF('Model inputs'!O30="","",'Model inputs'!O30),0)="",0,IF(IF(IF(ISERROR('Model inputs'!G105&gt;='Model inputs'!O31),'Model inputs'!G105&gt;='Model inputs'!O31,IF(OR('Model inputs'!G105="",'Model inputs'!O31=""),"",'Model inputs'!G105&gt;='Model inputs'!O31))="",FALSE,IF(ISERROR('Model inputs'!G105&gt;='Model inputs'!O31),'Model inputs'!G105&gt;='Model inputs'!O31,IF(OR('Model inputs'!G105="",'Model inputs'!O31=""),"",'Model inputs'!G105&gt;='Model inputs'!O31))),IF('Model inputs'!O30="","",'Model inputs'!O30),0))</f>
        <v>750</v>
      </c>
      <c r="G14" s="10">
        <f>'Model inputs'!O79+'Model inputs'!O112+'Model inputs'!O48+'Model inputs'!O66+'Model inputs'!O110+IF(IF(IF(IF(ISERROR('Model inputs'!H105&gt;='Model inputs'!O31),'Model inputs'!H105&gt;='Model inputs'!O31,IF(OR('Model inputs'!H105="",'Model inputs'!O31=""),"",'Model inputs'!H105&gt;='Model inputs'!O31))="",FALSE,IF(ISERROR('Model inputs'!H105&gt;='Model inputs'!O31),'Model inputs'!H105&gt;='Model inputs'!O31,IF(OR('Model inputs'!H105="",'Model inputs'!O31=""),"",'Model inputs'!H105&gt;='Model inputs'!O31))),IF('Model inputs'!O30="","",'Model inputs'!O30),0)="",0,IF(IF(IF(ISERROR('Model inputs'!H105&gt;='Model inputs'!O31),'Model inputs'!H105&gt;='Model inputs'!O31,IF(OR('Model inputs'!H105="",'Model inputs'!O31=""),"",'Model inputs'!H105&gt;='Model inputs'!O31))="",FALSE,IF(ISERROR('Model inputs'!H105&gt;='Model inputs'!O31),'Model inputs'!H105&gt;='Model inputs'!O31,IF(OR('Model inputs'!H105="",'Model inputs'!O31=""),"",'Model inputs'!H105&gt;='Model inputs'!O31))),IF('Model inputs'!O30="","",'Model inputs'!O30),0))</f>
        <v>1250</v>
      </c>
      <c r="H14" s="10">
        <f>'Model inputs'!O79+'Model inputs'!O112+'Model inputs'!O48+'Model inputs'!O66+'Model inputs'!O110+IF(IF(IF(IF(ISERROR('Model inputs'!I105&gt;='Model inputs'!O31),'Model inputs'!I105&gt;='Model inputs'!O31,IF(OR('Model inputs'!I105="",'Model inputs'!O31=""),"",'Model inputs'!I105&gt;='Model inputs'!O31))="",FALSE,IF(ISERROR('Model inputs'!I105&gt;='Model inputs'!O31),'Model inputs'!I105&gt;='Model inputs'!O31,IF(OR('Model inputs'!I105="",'Model inputs'!O31=""),"",'Model inputs'!I105&gt;='Model inputs'!O31))),IF('Model inputs'!O30="","",'Model inputs'!O30),0)="",0,IF(IF(IF(ISERROR('Model inputs'!I105&gt;='Model inputs'!O31),'Model inputs'!I105&gt;='Model inputs'!O31,IF(OR('Model inputs'!I105="",'Model inputs'!O31=""),"",'Model inputs'!I105&gt;='Model inputs'!O31))="",FALSE,IF(ISERROR('Model inputs'!I105&gt;='Model inputs'!O31),'Model inputs'!I105&gt;='Model inputs'!O31,IF(OR('Model inputs'!I105="",'Model inputs'!O31=""),"",'Model inputs'!I105&gt;='Model inputs'!O31))),IF('Model inputs'!O30="","",'Model inputs'!O30),0))</f>
        <v>1250</v>
      </c>
      <c r="I14" s="10">
        <f>'Model inputs'!O79+'Model inputs'!O112+'Model inputs'!O48+'Model inputs'!O66+'Model inputs'!O110+IF(IF(IF(IF(ISERROR('Model inputs'!J105&gt;='Model inputs'!O31),'Model inputs'!J105&gt;='Model inputs'!O31,IF(OR('Model inputs'!J105="",'Model inputs'!O31=""),"",'Model inputs'!J105&gt;='Model inputs'!O31))="",FALSE,IF(ISERROR('Model inputs'!J105&gt;='Model inputs'!O31),'Model inputs'!J105&gt;='Model inputs'!O31,IF(OR('Model inputs'!J105="",'Model inputs'!O31=""),"",'Model inputs'!J105&gt;='Model inputs'!O31))),IF('Model inputs'!O30="","",'Model inputs'!O30),0)="",0,IF(IF(IF(ISERROR('Model inputs'!J105&gt;='Model inputs'!O31),'Model inputs'!J105&gt;='Model inputs'!O31,IF(OR('Model inputs'!J105="",'Model inputs'!O31=""),"",'Model inputs'!J105&gt;='Model inputs'!O31))="",FALSE,IF(ISERROR('Model inputs'!J105&gt;='Model inputs'!O31),'Model inputs'!J105&gt;='Model inputs'!O31,IF(OR('Model inputs'!J105="",'Model inputs'!O31=""),"",'Model inputs'!J105&gt;='Model inputs'!O31))),IF('Model inputs'!O30="","",'Model inputs'!O30),0))</f>
        <v>1250</v>
      </c>
      <c r="J14" s="10">
        <f>'Model inputs'!O79+'Model inputs'!O112+'Model inputs'!O48+'Model inputs'!O66+'Model inputs'!O110+IF(IF(IF(IF(ISERROR('Model inputs'!K105&gt;='Model inputs'!O31),'Model inputs'!K105&gt;='Model inputs'!O31,IF(OR('Model inputs'!K105="",'Model inputs'!O31=""),"",'Model inputs'!K105&gt;='Model inputs'!O31))="",FALSE,IF(ISERROR('Model inputs'!K105&gt;='Model inputs'!O31),'Model inputs'!K105&gt;='Model inputs'!O31,IF(OR('Model inputs'!K105="",'Model inputs'!O31=""),"",'Model inputs'!K105&gt;='Model inputs'!O31))),IF('Model inputs'!O30="","",'Model inputs'!O30),0)="",0,IF(IF(IF(ISERROR('Model inputs'!K105&gt;='Model inputs'!O31),'Model inputs'!K105&gt;='Model inputs'!O31,IF(OR('Model inputs'!K105="",'Model inputs'!O31=""),"",'Model inputs'!K105&gt;='Model inputs'!O31))="",FALSE,IF(ISERROR('Model inputs'!K105&gt;='Model inputs'!O31),'Model inputs'!K105&gt;='Model inputs'!O31,IF(OR('Model inputs'!K105="",'Model inputs'!O31=""),"",'Model inputs'!K105&gt;='Model inputs'!O31))),IF('Model inputs'!O30="","",'Model inputs'!O30),0))</f>
        <v>1250</v>
      </c>
      <c r="K14" s="10">
        <f>'Model inputs'!O79+'Model inputs'!O112+'Model inputs'!O48+'Model inputs'!O66+'Model inputs'!O110+IF(IF(IF(IF(ISERROR('Model inputs'!L105&gt;='Model inputs'!O31),'Model inputs'!L105&gt;='Model inputs'!O31,IF(OR('Model inputs'!L105="",'Model inputs'!O31=""),"",'Model inputs'!L105&gt;='Model inputs'!O31))="",FALSE,IF(ISERROR('Model inputs'!L105&gt;='Model inputs'!O31),'Model inputs'!L105&gt;='Model inputs'!O31,IF(OR('Model inputs'!L105="",'Model inputs'!O31=""),"",'Model inputs'!L105&gt;='Model inputs'!O31))),IF('Model inputs'!O30="","",'Model inputs'!O30),0)="",0,IF(IF(IF(ISERROR('Model inputs'!L105&gt;='Model inputs'!O31),'Model inputs'!L105&gt;='Model inputs'!O31,IF(OR('Model inputs'!L105="",'Model inputs'!O31=""),"",'Model inputs'!L105&gt;='Model inputs'!O31))="",FALSE,IF(ISERROR('Model inputs'!L105&gt;='Model inputs'!O31),'Model inputs'!L105&gt;='Model inputs'!O31,IF(OR('Model inputs'!L105="",'Model inputs'!O31=""),"",'Model inputs'!L105&gt;='Model inputs'!O31))),IF('Model inputs'!O30="","",'Model inputs'!O30),0))</f>
        <v>1250</v>
      </c>
      <c r="L14" s="10">
        <f>'Model inputs'!O79+'Model inputs'!O112+'Model inputs'!O48+'Model inputs'!O66+'Model inputs'!O110+IF(IF(IF(IF(ISERROR('Model inputs'!M105&gt;='Model inputs'!O31),'Model inputs'!M105&gt;='Model inputs'!O31,IF(OR('Model inputs'!M105="",'Model inputs'!O31=""),"",'Model inputs'!M105&gt;='Model inputs'!O31))="",FALSE,IF(ISERROR('Model inputs'!M105&gt;='Model inputs'!O31),'Model inputs'!M105&gt;='Model inputs'!O31,IF(OR('Model inputs'!M105="",'Model inputs'!O31=""),"",'Model inputs'!M105&gt;='Model inputs'!O31))),IF('Model inputs'!O30="","",'Model inputs'!O30),0)="",0,IF(IF(IF(ISERROR('Model inputs'!M105&gt;='Model inputs'!O31),'Model inputs'!M105&gt;='Model inputs'!O31,IF(OR('Model inputs'!M105="",'Model inputs'!O31=""),"",'Model inputs'!M105&gt;='Model inputs'!O31))="",FALSE,IF(ISERROR('Model inputs'!M105&gt;='Model inputs'!O31),'Model inputs'!M105&gt;='Model inputs'!O31,IF(OR('Model inputs'!M105="",'Model inputs'!O31=""),"",'Model inputs'!M105&gt;='Model inputs'!O31))),IF('Model inputs'!O30="","",'Model inputs'!O30),0))</f>
        <v>1250</v>
      </c>
      <c r="M14" s="10">
        <f>'Model inputs'!O79+'Model inputs'!O112+'Model inputs'!O48+'Model inputs'!O66+'Model inputs'!O110+IF(IF(IF(IF(ISERROR('Model inputs'!N105&gt;='Model inputs'!O31),'Model inputs'!N105&gt;='Model inputs'!O31,IF(OR('Model inputs'!N105="",'Model inputs'!O31=""),"",'Model inputs'!N105&gt;='Model inputs'!O31))="",FALSE,IF(ISERROR('Model inputs'!N105&gt;='Model inputs'!O31),'Model inputs'!N105&gt;='Model inputs'!O31,IF(OR('Model inputs'!N105="",'Model inputs'!O31=""),"",'Model inputs'!N105&gt;='Model inputs'!O31))),IF('Model inputs'!O30="","",'Model inputs'!O30),0)="",0,IF(IF(IF(ISERROR('Model inputs'!N105&gt;='Model inputs'!O31),'Model inputs'!N105&gt;='Model inputs'!O31,IF(OR('Model inputs'!N105="",'Model inputs'!O31=""),"",'Model inputs'!N105&gt;='Model inputs'!O31))="",FALSE,IF(ISERROR('Model inputs'!N105&gt;='Model inputs'!O31),'Model inputs'!N105&gt;='Model inputs'!O31,IF(OR('Model inputs'!N105="",'Model inputs'!O31=""),"",'Model inputs'!N105&gt;='Model inputs'!O31))),IF('Model inputs'!O30="","",'Model inputs'!O30),0))</f>
        <v>1250</v>
      </c>
    </row>
    <row r="15">
      <c r="A15" t="inlineStr" s="8">
        <is>
          <t xml:space="preserve">Monthly operating burn</t>
        </is>
      </c>
      <c r="B15" s="10">
        <f>-'Model inputs'!C104</f>
        <v>-3589.25</v>
      </c>
      <c r="C15" s="10">
        <f>-'Model inputs'!D104</f>
        <v>-7928.5</v>
      </c>
      <c r="D15" s="10">
        <f>-'Model inputs'!E104</f>
        <v>-12267.75</v>
      </c>
      <c r="E15" s="10">
        <f>-'Model inputs'!F104</f>
        <v>-16607</v>
      </c>
      <c r="F15" s="10">
        <f>-'Model inputs'!G104</f>
        <v>-20946.25</v>
      </c>
      <c r="G15" s="10">
        <f>-'Model inputs'!H104</f>
        <v>-24785.5</v>
      </c>
      <c r="H15" s="10">
        <f>-'Model inputs'!I104</f>
        <v>-29124.75</v>
      </c>
      <c r="I15" s="10">
        <f>-'Model inputs'!J104</f>
        <v>-33464</v>
      </c>
      <c r="J15" s="10">
        <f>-'Model inputs'!K104</f>
        <v>-37803.25</v>
      </c>
      <c r="K15" s="10">
        <f>-'Model inputs'!L104</f>
        <v>-42142.5</v>
      </c>
      <c r="L15" s="10">
        <f>-'Model inputs'!M104</f>
        <v>-46481.75</v>
      </c>
      <c r="M15" s="10">
        <f>-'Model inputs'!N104</f>
        <v>-50821</v>
      </c>
    </row>
    <row r="16">
      <c r="A16" t="inlineStr" s="8">
        <is>
          <t xml:space="preserve">Plan Cash collections</t>
        </is>
      </c>
      <c r="B16" s="10">
        <f>IF(SUM(IF(IF('Model inputs'!B754="",0,1)="",0,IF('Model inputs'!B754="",0,1)),IF(IF('Model inputs'!B755="",0,1)="",0,IF('Model inputs'!B755="",0,1)),IF(IF('Model inputs'!B756="",0,1)="",0,IF('Model inputs'!B756="",0,1)),IF(IF('Model inputs'!B757="",0,1)="",0,IF('Model inputs'!B757="",0,1)),IF(IF('Model inputs'!B758="",0,1)="",0,IF('Model inputs'!B758="",0,1)))=0,"",SUM('Model inputs'!B754,'Model inputs'!B755,'Model inputs'!B756,'Model inputs'!B757,'Model inputs'!B758))</f>
        <v>32500</v>
      </c>
      <c r="C16" s="10">
        <f>IF(SUM(IF(IF('Model inputs'!B759="",0,1)="",0,IF('Model inputs'!B759="",0,1)),IF(IF('Model inputs'!B760="",0,1)="",0,IF('Model inputs'!B760="",0,1)),IF(IF('Model inputs'!B761="",0,1)="",0,IF('Model inputs'!B761="",0,1)),IF(IF('Model inputs'!B762="",0,1)="",0,IF('Model inputs'!B762="",0,1)),IF(IF('Model inputs'!B763="",0,1)="",0,IF('Model inputs'!B763="",0,1)))=0,"",SUM('Model inputs'!B759,'Model inputs'!B760,'Model inputs'!B761,'Model inputs'!B762,'Model inputs'!B763))</f>
        <v>35000</v>
      </c>
      <c r="D16" s="10">
        <f>IF(SUM(IF(IF('Model inputs'!B764="",0,1)="",0,IF('Model inputs'!B764="",0,1)),IF(IF('Model inputs'!B765="",0,1)="",0,IF('Model inputs'!B765="",0,1)),IF(IF('Model inputs'!B766="",0,1)="",0,IF('Model inputs'!B766="",0,1)),IF(IF('Model inputs'!B767="",0,1)="",0,IF('Model inputs'!B767="",0,1)),IF(IF('Model inputs'!B768="",0,1)="",0,IF('Model inputs'!B768="",0,1)))=0,"",SUM('Model inputs'!B764,'Model inputs'!B765,'Model inputs'!B766,'Model inputs'!B767,'Model inputs'!B768))</f>
        <v>37500</v>
      </c>
      <c r="E16" s="10">
        <f>IF(SUM(IF(IF('Model inputs'!B769="",0,1)="",0,IF('Model inputs'!B769="",0,1)),IF(IF('Model inputs'!B770="",0,1)="",0,IF('Model inputs'!B770="",0,1)),IF(IF('Model inputs'!B771="",0,1)="",0,IF('Model inputs'!B771="",0,1)),IF(IF('Model inputs'!B772="",0,1)="",0,IF('Model inputs'!B772="",0,1)),IF(IF('Model inputs'!B773="",0,1)="",0,IF('Model inputs'!B773="",0,1)))=0,"",SUM('Model inputs'!B769,'Model inputs'!B770,'Model inputs'!B771,'Model inputs'!B772,'Model inputs'!B773))</f>
        <v>40000</v>
      </c>
      <c r="F16" s="10">
        <f>IF(SUM(IF(IF('Model inputs'!B774="",0,1)="",0,IF('Model inputs'!B774="",0,1)),IF(IF('Model inputs'!B775="",0,1)="",0,IF('Model inputs'!B775="",0,1)),IF(IF('Model inputs'!B776="",0,1)="",0,IF('Model inputs'!B776="",0,1)),IF(IF('Model inputs'!B777="",0,1)="",0,IF('Model inputs'!B777="",0,1)),IF(IF('Model inputs'!B778="",0,1)="",0,IF('Model inputs'!B778="",0,1)))=0,"",SUM('Model inputs'!B774,'Model inputs'!B775,'Model inputs'!B776,'Model inputs'!B777,'Model inputs'!B778))</f>
        <v>42500</v>
      </c>
      <c r="G16" s="10">
        <f>IF(SUM(IF(IF('Model inputs'!B779="",0,1)="",0,IF('Model inputs'!B779="",0,1)),IF(IF('Model inputs'!B780="",0,1)="",0,IF('Model inputs'!B780="",0,1)),IF(IF('Model inputs'!B781="",0,1)="",0,IF('Model inputs'!B781="",0,1)),IF(IF('Model inputs'!B782="",0,1)="",0,IF('Model inputs'!B782="",0,1)),IF(IF('Model inputs'!B783="",0,1)="",0,IF('Model inputs'!B783="",0,1)))=0,"",SUM('Model inputs'!B779,'Model inputs'!B780,'Model inputs'!B781,'Model inputs'!B782,'Model inputs'!B783))</f>
        <v>45000</v>
      </c>
      <c r="H16" s="10">
        <f>IF(SUM(IF(IF('Model inputs'!B784="",0,1)="",0,IF('Model inputs'!B784="",0,1)),IF(IF('Model inputs'!B785="",0,1)="",0,IF('Model inputs'!B785="",0,1)),IF(IF('Model inputs'!B786="",0,1)="",0,IF('Model inputs'!B786="",0,1)),IF(IF('Model inputs'!B787="",0,1)="",0,IF('Model inputs'!B787="",0,1)),IF(IF('Model inputs'!B788="",0,1)="",0,IF('Model inputs'!B788="",0,1)))=0,"",SUM('Model inputs'!B784,'Model inputs'!B785,'Model inputs'!B786,'Model inputs'!B787,'Model inputs'!B788))</f>
        <v>47500</v>
      </c>
      <c r="I16" s="10">
        <f>IF(SUM(IF(IF('Model inputs'!B789="",0,1)="",0,IF('Model inputs'!B789="",0,1)),IF(IF('Model inputs'!B790="",0,1)="",0,IF('Model inputs'!B790="",0,1)),IF(IF('Model inputs'!B791="",0,1)="",0,IF('Model inputs'!B791="",0,1)),IF(IF('Model inputs'!B792="",0,1)="",0,IF('Model inputs'!B792="",0,1)),IF(IF('Model inputs'!B793="",0,1)="",0,IF('Model inputs'!B793="",0,1)))=0,"",SUM('Model inputs'!B789,'Model inputs'!B790,'Model inputs'!B791,'Model inputs'!B792,'Model inputs'!B793))</f>
        <v>50000</v>
      </c>
      <c r="J16" s="10">
        <f>IF(SUM(IF(IF('Model inputs'!B794="",0,1)="",0,IF('Model inputs'!B794="",0,1)),IF(IF('Model inputs'!B795="",0,1)="",0,IF('Model inputs'!B795="",0,1)),IF(IF('Model inputs'!B796="",0,1)="",0,IF('Model inputs'!B796="",0,1)),IF(IF('Model inputs'!B797="",0,1)="",0,IF('Model inputs'!B797="",0,1)),IF(IF('Model inputs'!B798="",0,1)="",0,IF('Model inputs'!B798="",0,1)))=0,"",SUM('Model inputs'!B794,'Model inputs'!B795,'Model inputs'!B796,'Model inputs'!B797,'Model inputs'!B798))</f>
        <v>52500</v>
      </c>
      <c r="K16" s="10">
        <f>IF(SUM(IF(IF('Model inputs'!B799="",0,1)="",0,IF('Model inputs'!B799="",0,1)),IF(IF('Model inputs'!B800="",0,1)="",0,IF('Model inputs'!B800="",0,1)),IF(IF('Model inputs'!B801="",0,1)="",0,IF('Model inputs'!B801="",0,1)),IF(IF('Model inputs'!B802="",0,1)="",0,IF('Model inputs'!B802="",0,1)),IF(IF('Model inputs'!B803="",0,1)="",0,IF('Model inputs'!B803="",0,1)))=0,"",SUM('Model inputs'!B799,'Model inputs'!B800,'Model inputs'!B801,'Model inputs'!B802,'Model inputs'!B803))</f>
        <v>55000</v>
      </c>
      <c r="L16" s="10">
        <f>IF(SUM(IF(IF('Model inputs'!B804="",0,1)="",0,IF('Model inputs'!B804="",0,1)),IF(IF('Model inputs'!B805="",0,1)="",0,IF('Model inputs'!B805="",0,1)),IF(IF('Model inputs'!B806="",0,1)="",0,IF('Model inputs'!B806="",0,1)),IF(IF('Model inputs'!B807="",0,1)="",0,IF('Model inputs'!B807="",0,1)),IF(IF('Model inputs'!B808="",0,1)="",0,IF('Model inputs'!B808="",0,1)))=0,"",SUM('Model inputs'!B804,'Model inputs'!B805,'Model inputs'!B806,'Model inputs'!B807,'Model inputs'!B808))</f>
        <v>57500</v>
      </c>
      <c r="M16" s="10">
        <f>IF(SUM(IF(IF('Model inputs'!B809="",0,1)="",0,IF('Model inputs'!B809="",0,1)),IF(IF('Model inputs'!B810="",0,1)="",0,IF('Model inputs'!B810="",0,1)),IF(IF('Model inputs'!B811="",0,1)="",0,IF('Model inputs'!B811="",0,1)),IF(IF('Model inputs'!B812="",0,1)="",0,IF('Model inputs'!B812="",0,1)),IF(IF('Model inputs'!B813="",0,1)="",0,IF('Model inputs'!B813="",0,1)))=0,"",SUM('Model inputs'!B809,'Model inputs'!B810,'Model inputs'!B811,'Model inputs'!B812,'Model inputs'!B813))</f>
        <v>60000</v>
      </c>
    </row>
    <row r="17">
      <c r="A17" t="inlineStr" s="8">
        <is>
          <t xml:space="preserve">Plan Payment fees</t>
        </is>
      </c>
      <c r="B17" s="10">
        <f>IF(SUM(IF(IF('Model inputs'!B814="",0,1)="",0,IF('Model inputs'!B814="",0,1)),IF(IF('Model inputs'!B815="",0,1)="",0,IF('Model inputs'!B815="",0,1)),IF(IF('Model inputs'!B816="",0,1)="",0,IF('Model inputs'!B816="",0,1)),IF(IF('Model inputs'!B817="",0,1)="",0,IF('Model inputs'!B817="",0,1)),IF(IF('Model inputs'!B818="",0,1)="",0,IF('Model inputs'!B818="",0,1)))=0,"",SUM('Model inputs'!B814,'Model inputs'!B815,'Model inputs'!B816,'Model inputs'!B817,'Model inputs'!B818))</f>
        <v>975</v>
      </c>
      <c r="C17" s="10">
        <f>IF(SUM(IF(IF('Model inputs'!B819="",0,1)="",0,IF('Model inputs'!B819="",0,1)),IF(IF('Model inputs'!B820="",0,1)="",0,IF('Model inputs'!B820="",0,1)),IF(IF('Model inputs'!B821="",0,1)="",0,IF('Model inputs'!B821="",0,1)),IF(IF('Model inputs'!B822="",0,1)="",0,IF('Model inputs'!B822="",0,1)),IF(IF('Model inputs'!B823="",0,1)="",0,IF('Model inputs'!B823="",0,1)))=0,"",SUM('Model inputs'!B819,'Model inputs'!B820,'Model inputs'!B821,'Model inputs'!B822,'Model inputs'!B823))</f>
        <v>1050</v>
      </c>
      <c r="D17" s="10">
        <f>IF(SUM(IF(IF('Model inputs'!B824="",0,1)="",0,IF('Model inputs'!B824="",0,1)),IF(IF('Model inputs'!B825="",0,1)="",0,IF('Model inputs'!B825="",0,1)),IF(IF('Model inputs'!B826="",0,1)="",0,IF('Model inputs'!B826="",0,1)),IF(IF('Model inputs'!B827="",0,1)="",0,IF('Model inputs'!B827="",0,1)),IF(IF('Model inputs'!B828="",0,1)="",0,IF('Model inputs'!B828="",0,1)))=0,"",SUM('Model inputs'!B824,'Model inputs'!B825,'Model inputs'!B826,'Model inputs'!B827,'Model inputs'!B828))</f>
        <v>1125</v>
      </c>
      <c r="E17" s="10">
        <f>IF(SUM(IF(IF('Model inputs'!B829="",0,1)="",0,IF('Model inputs'!B829="",0,1)),IF(IF('Model inputs'!B830="",0,1)="",0,IF('Model inputs'!B830="",0,1)),IF(IF('Model inputs'!B831="",0,1)="",0,IF('Model inputs'!B831="",0,1)),IF(IF('Model inputs'!B832="",0,1)="",0,IF('Model inputs'!B832="",0,1)),IF(IF('Model inputs'!B833="",0,1)="",0,IF('Model inputs'!B833="",0,1)))=0,"",SUM('Model inputs'!B829,'Model inputs'!B830,'Model inputs'!B831,'Model inputs'!B832,'Model inputs'!B833))</f>
        <v>1200</v>
      </c>
      <c r="F17" s="10">
        <f>IF(SUM(IF(IF('Model inputs'!B834="",0,1)="",0,IF('Model inputs'!B834="",0,1)),IF(IF('Model inputs'!B835="",0,1)="",0,IF('Model inputs'!B835="",0,1)),IF(IF('Model inputs'!B836="",0,1)="",0,IF('Model inputs'!B836="",0,1)),IF(IF('Model inputs'!B837="",0,1)="",0,IF('Model inputs'!B837="",0,1)),IF(IF('Model inputs'!B838="",0,1)="",0,IF('Model inputs'!B838="",0,1)))=0,"",SUM('Model inputs'!B834,'Model inputs'!B835,'Model inputs'!B836,'Model inputs'!B837,'Model inputs'!B838))</f>
        <v>1275</v>
      </c>
      <c r="G17" s="10">
        <f>IF(SUM(IF(IF('Model inputs'!B839="",0,1)="",0,IF('Model inputs'!B839="",0,1)),IF(IF('Model inputs'!B840="",0,1)="",0,IF('Model inputs'!B840="",0,1)),IF(IF('Model inputs'!B841="",0,1)="",0,IF('Model inputs'!B841="",0,1)),IF(IF('Model inputs'!B842="",0,1)="",0,IF('Model inputs'!B842="",0,1)),IF(IF('Model inputs'!B843="",0,1)="",0,IF('Model inputs'!B843="",0,1)))=0,"",SUM('Model inputs'!B839,'Model inputs'!B840,'Model inputs'!B841,'Model inputs'!B842,'Model inputs'!B843))</f>
        <v>1350</v>
      </c>
      <c r="H17" s="10">
        <f>IF(SUM(IF(IF('Model inputs'!B844="",0,1)="",0,IF('Model inputs'!B844="",0,1)),IF(IF('Model inputs'!B845="",0,1)="",0,IF('Model inputs'!B845="",0,1)),IF(IF('Model inputs'!B846="",0,1)="",0,IF('Model inputs'!B846="",0,1)),IF(IF('Model inputs'!B847="",0,1)="",0,IF('Model inputs'!B847="",0,1)),IF(IF('Model inputs'!B848="",0,1)="",0,IF('Model inputs'!B848="",0,1)))=0,"",SUM('Model inputs'!B844,'Model inputs'!B845,'Model inputs'!B846,'Model inputs'!B847,'Model inputs'!B848))</f>
        <v>1425</v>
      </c>
      <c r="I17" s="10">
        <f>IF(SUM(IF(IF('Model inputs'!B849="",0,1)="",0,IF('Model inputs'!B849="",0,1)),IF(IF('Model inputs'!B850="",0,1)="",0,IF('Model inputs'!B850="",0,1)),IF(IF('Model inputs'!B851="",0,1)="",0,IF('Model inputs'!B851="",0,1)),IF(IF('Model inputs'!B852="",0,1)="",0,IF('Model inputs'!B852="",0,1)),IF(IF('Model inputs'!B853="",0,1)="",0,IF('Model inputs'!B853="",0,1)))=0,"",SUM('Model inputs'!B849,'Model inputs'!B850,'Model inputs'!B851,'Model inputs'!B852,'Model inputs'!B853))</f>
        <v>1500</v>
      </c>
      <c r="J17" s="10">
        <f>IF(SUM(IF(IF('Model inputs'!B854="",0,1)="",0,IF('Model inputs'!B854="",0,1)),IF(IF('Model inputs'!B855="",0,1)="",0,IF('Model inputs'!B855="",0,1)),IF(IF('Model inputs'!B856="",0,1)="",0,IF('Model inputs'!B856="",0,1)),IF(IF('Model inputs'!B857="",0,1)="",0,IF('Model inputs'!B857="",0,1)),IF(IF('Model inputs'!B858="",0,1)="",0,IF('Model inputs'!B858="",0,1)))=0,"",SUM('Model inputs'!B854,'Model inputs'!B855,'Model inputs'!B856,'Model inputs'!B857,'Model inputs'!B858))</f>
        <v>1575</v>
      </c>
      <c r="K17" s="10">
        <f>IF(SUM(IF(IF('Model inputs'!B859="",0,1)="",0,IF('Model inputs'!B859="",0,1)),IF(IF('Model inputs'!B860="",0,1)="",0,IF('Model inputs'!B860="",0,1)),IF(IF('Model inputs'!B861="",0,1)="",0,IF('Model inputs'!B861="",0,1)),IF(IF('Model inputs'!B862="",0,1)="",0,IF('Model inputs'!B862="",0,1)),IF(IF('Model inputs'!B863="",0,1)="",0,IF('Model inputs'!B863="",0,1)))=0,"",SUM('Model inputs'!B859,'Model inputs'!B860,'Model inputs'!B861,'Model inputs'!B862,'Model inputs'!B863))</f>
        <v>1650</v>
      </c>
      <c r="L17" s="10">
        <f>IF(SUM(IF(IF('Model inputs'!B864="",0,1)="",0,IF('Model inputs'!B864="",0,1)),IF(IF('Model inputs'!B865="",0,1)="",0,IF('Model inputs'!B865="",0,1)),IF(IF('Model inputs'!B866="",0,1)="",0,IF('Model inputs'!B866="",0,1)),IF(IF('Model inputs'!B867="",0,1)="",0,IF('Model inputs'!B867="",0,1)),IF(IF('Model inputs'!B868="",0,1)="",0,IF('Model inputs'!B868="",0,1)))=0,"",SUM('Model inputs'!B864,'Model inputs'!B865,'Model inputs'!B866,'Model inputs'!B867,'Model inputs'!B868))</f>
        <v>1725</v>
      </c>
      <c r="M17" s="10">
        <f>IF(SUM(IF(IF('Model inputs'!B869="",0,1)="",0,IF('Model inputs'!B869="",0,1)),IF(IF('Model inputs'!B870="",0,1)="",0,IF('Model inputs'!B870="",0,1)),IF(IF('Model inputs'!B871="",0,1)="",0,IF('Model inputs'!B871="",0,1)),IF(IF('Model inputs'!B872="",0,1)="",0,IF('Model inputs'!B872="",0,1)),IF(IF('Model inputs'!B873="",0,1)="",0,IF('Model inputs'!B873="",0,1)))=0,"",SUM('Model inputs'!B869,'Model inputs'!B870,'Model inputs'!B871,'Model inputs'!B872,'Model inputs'!B873))</f>
        <v>1800</v>
      </c>
    </row>
    <row r="18">
      <c r="A18" t="inlineStr" s="8">
        <is>
          <t xml:space="preserve">Plan Net cash burn</t>
        </is>
      </c>
      <c r="B18" s="10">
        <f>IF(SUM(IF(IF('Model inputs'!B874="",0,1)="",0,IF('Model inputs'!B874="",0,1)),IF(IF('Model inputs'!B875="",0,1)="",0,IF('Model inputs'!B875="",0,1)),IF(IF('Model inputs'!B876="",0,1)="",0,IF('Model inputs'!B876="",0,1)),IF(IF('Model inputs'!B877="",0,1)="",0,IF('Model inputs'!B877="",0,1)),IF(IF('Model inputs'!B878="",0,1)="",0,IF('Model inputs'!B878="",0,1)))=0,"",SUM('Model inputs'!B874,'Model inputs'!B875,'Model inputs'!B876,'Model inputs'!B877,'Model inputs'!B878))</f>
        <v>-30264.25</v>
      </c>
      <c r="C18" s="10">
        <f>IF(SUM(IF(IF('Model inputs'!B879="",0,1)="",0,IF('Model inputs'!B879="",0,1)),IF(IF('Model inputs'!B880="",0,1)="",0,IF('Model inputs'!B880="",0,1)),IF(IF('Model inputs'!B881="",0,1)="",0,IF('Model inputs'!B881="",0,1)),IF(IF('Model inputs'!B882="",0,1)="",0,IF('Model inputs'!B882="",0,1)),IF(IF('Model inputs'!B883="",0,1)="",0,IF('Model inputs'!B883="",0,1)))=0,"",SUM('Model inputs'!B879,'Model inputs'!B880,'Model inputs'!B881,'Model inputs'!B882,'Model inputs'!B883))</f>
        <v>-32178.5</v>
      </c>
      <c r="D18" s="10">
        <f>IF(SUM(IF(IF('Model inputs'!B884="",0,1)="",0,IF('Model inputs'!B884="",0,1)),IF(IF('Model inputs'!B885="",0,1)="",0,IF('Model inputs'!B885="",0,1)),IF(IF('Model inputs'!B886="",0,1)="",0,IF('Model inputs'!B886="",0,1)),IF(IF('Model inputs'!B887="",0,1)="",0,IF('Model inputs'!B887="",0,1)),IF(IF('Model inputs'!B888="",0,1)="",0,IF('Model inputs'!B888="",0,1)))=0,"",SUM('Model inputs'!B884,'Model inputs'!B885,'Model inputs'!B886,'Model inputs'!B887,'Model inputs'!B888))</f>
        <v>-34092.75</v>
      </c>
      <c r="E18" s="10">
        <f>IF(SUM(IF(IF('Model inputs'!B889="",0,1)="",0,IF('Model inputs'!B889="",0,1)),IF(IF('Model inputs'!B890="",0,1)="",0,IF('Model inputs'!B890="",0,1)),IF(IF('Model inputs'!B891="",0,1)="",0,IF('Model inputs'!B891="",0,1)),IF(IF('Model inputs'!B892="",0,1)="",0,IF('Model inputs'!B892="",0,1)),IF(IF('Model inputs'!B893="",0,1)="",0,IF('Model inputs'!B893="",0,1)))=0,"",SUM('Model inputs'!B889,'Model inputs'!B890,'Model inputs'!B891,'Model inputs'!B892,'Model inputs'!B893))</f>
        <v>-36007</v>
      </c>
      <c r="F18" s="10">
        <f>IF(SUM(IF(IF('Model inputs'!B894="",0,1)="",0,IF('Model inputs'!B894="",0,1)),IF(IF('Model inputs'!B895="",0,1)="",0,IF('Model inputs'!B895="",0,1)),IF(IF('Model inputs'!B896="",0,1)="",0,IF('Model inputs'!B896="",0,1)),IF(IF('Model inputs'!B897="",0,1)="",0,IF('Model inputs'!B897="",0,1)),IF(IF('Model inputs'!B898="",0,1)="",0,IF('Model inputs'!B898="",0,1)))=0,"",SUM('Model inputs'!B894,'Model inputs'!B895,'Model inputs'!B896,'Model inputs'!B897,'Model inputs'!B898))</f>
        <v>-37921.25</v>
      </c>
      <c r="G18" s="10">
        <f>IF(SUM(IF(IF('Model inputs'!B899="",0,1)="",0,IF('Model inputs'!B899="",0,1)),IF(IF('Model inputs'!B900="",0,1)="",0,IF('Model inputs'!B900="",0,1)),IF(IF('Model inputs'!B901="",0,1)="",0,IF('Model inputs'!B901="",0,1)),IF(IF('Model inputs'!B902="",0,1)="",0,IF('Model inputs'!B902="",0,1)),IF(IF('Model inputs'!B903="",0,1)="",0,IF('Model inputs'!B903="",0,1)))=0,"",SUM('Model inputs'!B899,'Model inputs'!B900,'Model inputs'!B901,'Model inputs'!B902,'Model inputs'!B903))</f>
        <v>-39335.5</v>
      </c>
      <c r="H18" s="10">
        <f>IF(SUM(IF(IF('Model inputs'!B904="",0,1)="",0,IF('Model inputs'!B904="",0,1)),IF(IF('Model inputs'!B905="",0,1)="",0,IF('Model inputs'!B905="",0,1)),IF(IF('Model inputs'!B906="",0,1)="",0,IF('Model inputs'!B906="",0,1)),IF(IF('Model inputs'!B907="",0,1)="",0,IF('Model inputs'!B907="",0,1)),IF(IF('Model inputs'!B908="",0,1)="",0,IF('Model inputs'!B908="",0,1)))=0,"",SUM('Model inputs'!B904,'Model inputs'!B905,'Model inputs'!B906,'Model inputs'!B907,'Model inputs'!B908))</f>
        <v>-41249.75</v>
      </c>
      <c r="I18" s="10">
        <f>IF(SUM(IF(IF('Model inputs'!B909="",0,1)="",0,IF('Model inputs'!B909="",0,1)),IF(IF('Model inputs'!B910="",0,1)="",0,IF('Model inputs'!B910="",0,1)),IF(IF('Model inputs'!B911="",0,1)="",0,IF('Model inputs'!B911="",0,1)),IF(IF('Model inputs'!B912="",0,1)="",0,IF('Model inputs'!B912="",0,1)),IF(IF('Model inputs'!B913="",0,1)="",0,IF('Model inputs'!B913="",0,1)))=0,"",SUM('Model inputs'!B909,'Model inputs'!B910,'Model inputs'!B911,'Model inputs'!B912,'Model inputs'!B913))</f>
        <v>-43164</v>
      </c>
      <c r="J18" s="10">
        <f>IF(SUM(IF(IF('Model inputs'!B914="",0,1)="",0,IF('Model inputs'!B914="",0,1)),IF(IF('Model inputs'!B915="",0,1)="",0,IF('Model inputs'!B915="",0,1)),IF(IF('Model inputs'!B916="",0,1)="",0,IF('Model inputs'!B916="",0,1)),IF(IF('Model inputs'!B917="",0,1)="",0,IF('Model inputs'!B917="",0,1)),IF(IF('Model inputs'!B918="",0,1)="",0,IF('Model inputs'!B918="",0,1)))=0,"",SUM('Model inputs'!B914,'Model inputs'!B915,'Model inputs'!B916,'Model inputs'!B917,'Model inputs'!B918))</f>
        <v>-45078.25</v>
      </c>
      <c r="K18" s="10">
        <f>IF(SUM(IF(IF('Model inputs'!B919="",0,1)="",0,IF('Model inputs'!B919="",0,1)),IF(IF('Model inputs'!B920="",0,1)="",0,IF('Model inputs'!B920="",0,1)),IF(IF('Model inputs'!B921="",0,1)="",0,IF('Model inputs'!B921="",0,1)),IF(IF('Model inputs'!B922="",0,1)="",0,IF('Model inputs'!B922="",0,1)),IF(IF('Model inputs'!B923="",0,1)="",0,IF('Model inputs'!B923="",0,1)))=0,"",SUM('Model inputs'!B919,'Model inputs'!B920,'Model inputs'!B921,'Model inputs'!B922,'Model inputs'!B923))</f>
        <v>-46992.5</v>
      </c>
      <c r="L18" s="10">
        <f>IF(SUM(IF(IF('Model inputs'!B924="",0,1)="",0,IF('Model inputs'!B924="",0,1)),IF(IF('Model inputs'!B925="",0,1)="",0,IF('Model inputs'!B925="",0,1)),IF(IF('Model inputs'!B926="",0,1)="",0,IF('Model inputs'!B926="",0,1)),IF(IF('Model inputs'!B927="",0,1)="",0,IF('Model inputs'!B927="",0,1)),IF(IF('Model inputs'!B928="",0,1)="",0,IF('Model inputs'!B928="",0,1)))=0,"",SUM('Model inputs'!B924,'Model inputs'!B925,'Model inputs'!B926,'Model inputs'!B927,'Model inputs'!B928))</f>
        <v>-48906.75</v>
      </c>
      <c r="M18" s="10">
        <f>IF(SUM(IF(IF('Model inputs'!B929="",0,1)="",0,IF('Model inputs'!B929="",0,1)),IF(IF('Model inputs'!B930="",0,1)="",0,IF('Model inputs'!B930="",0,1)),IF(IF('Model inputs'!B931="",0,1)="",0,IF('Model inputs'!B931="",0,1)),IF(IF('Model inputs'!B932="",0,1)="",0,IF('Model inputs'!B932="",0,1)),IF(IF('Model inputs'!B933="",0,1)="",0,IF('Model inputs'!B933="",0,1)))=0,"",SUM('Model inputs'!B929,'Model inputs'!B930,'Model inputs'!B931,'Model inputs'!B932,'Model inputs'!B933))</f>
        <v>-50821</v>
      </c>
    </row>
    <row r="19">
      <c r="A19" t="inlineStr" s="8">
        <is>
          <t xml:space="preserve">Cumulative net cash burn</t>
        </is>
      </c>
      <c r="B19" s="10">
        <f>IF(IF(IF(IF(ISERROR('Model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inputs'!B47))="",0,IF(IF(IF(ISERROR('Model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inputs'!B47)))+'DealScope 12-month financial pr'!B18</f>
        <v>-30264.25</v>
      </c>
      <c r="C19" s="10">
        <f>IF(IF(IF(IF(ISERROR('Model inputs'!D105=1),'Model inputs'!D105=1,IF('Model inputs'!D105="","",'Model inputs'!D105=1))="",FALSE,IF(ISERROR('Model inputs'!D105=1),'Model inputs'!D105=1,IF('Model inputs'!D105="","",'Model inputs'!D105=1))),0,IF('DealScope 12-month financial pr'!B19="","",'DealScope 12-month financial pr'!B19))="",0,IF(IF(IF(ISERROR('Model inputs'!D105=1),'Model inputs'!D105=1,IF('Model inputs'!D105="","",'Model inputs'!D105=1))="",FALSE,IF(ISERROR('Model inputs'!D105=1),'Model inputs'!D105=1,IF('Model inputs'!D105="","",'Model inputs'!D105=1))),0,IF('DealScope 12-month financial pr'!B19="","",'DealScope 12-month financial pr'!B19)))+'DealScope 12-month financial pr'!C18</f>
        <v>-62442.75</v>
      </c>
      <c r="D19" s="10">
        <f>IF(IF(IF(IF(ISERROR('Model inputs'!E105=1),'Model inputs'!E105=1,IF('Model inputs'!E105="","",'Model inputs'!E105=1))="",FALSE,IF(ISERROR('Model inputs'!E105=1),'Model inputs'!E105=1,IF('Model inputs'!E105="","",'Model inputs'!E105=1))),0,IF('DealScope 12-month financial pr'!C19="","",'DealScope 12-month financial pr'!C19))="",0,IF(IF(IF(ISERROR('Model inputs'!E105=1),'Model inputs'!E105=1,IF('Model inputs'!E105="","",'Model inputs'!E105=1))="",FALSE,IF(ISERROR('Model inputs'!E105=1),'Model inputs'!E105=1,IF('Model inputs'!E105="","",'Model inputs'!E105=1))),0,IF('DealScope 12-month financial pr'!C19="","",'DealScope 12-month financial pr'!C19)))+'DealScope 12-month financial pr'!D18</f>
        <v>-96535.5</v>
      </c>
      <c r="E19" s="10">
        <f>IF(IF(IF(IF(ISERROR('Model inputs'!F105=1),'Model inputs'!F105=1,IF('Model inputs'!F105="","",'Model inputs'!F105=1))="",FALSE,IF(ISERROR('Model inputs'!F105=1),'Model inputs'!F105=1,IF('Model inputs'!F105="","",'Model inputs'!F105=1))),0,IF('DealScope 12-month financial pr'!D19="","",'DealScope 12-month financial pr'!D19))="",0,IF(IF(IF(ISERROR('Model inputs'!F105=1),'Model inputs'!F105=1,IF('Model inputs'!F105="","",'Model inputs'!F105=1))="",FALSE,IF(ISERROR('Model inputs'!F105=1),'Model inputs'!F105=1,IF('Model inputs'!F105="","",'Model inputs'!F105=1))),0,IF('DealScope 12-month financial pr'!D19="","",'DealScope 12-month financial pr'!D19)))+'DealScope 12-month financial pr'!E18</f>
        <v>-132542.5</v>
      </c>
      <c r="F19" s="10">
        <f>IF(IF(IF(IF(ISERROR('Model inputs'!G105=1),'Model inputs'!G105=1,IF('Model inputs'!G105="","",'Model inputs'!G105=1))="",FALSE,IF(ISERROR('Model inputs'!G105=1),'Model inputs'!G105=1,IF('Model inputs'!G105="","",'Model inputs'!G105=1))),0,IF('DealScope 12-month financial pr'!E19="","",'DealScope 12-month financial pr'!E19))="",0,IF(IF(IF(ISERROR('Model inputs'!G105=1),'Model inputs'!G105=1,IF('Model inputs'!G105="","",'Model inputs'!G105=1))="",FALSE,IF(ISERROR('Model inputs'!G105=1),'Model inputs'!G105=1,IF('Model inputs'!G105="","",'Model inputs'!G105=1))),0,IF('DealScope 12-month financial pr'!E19="","",'DealScope 12-month financial pr'!E19)))+'DealScope 12-month financial pr'!F18</f>
        <v>-170463.75</v>
      </c>
      <c r="G19" s="10">
        <f>IF(IF(IF(IF(ISERROR('Model inputs'!H105=1),'Model inputs'!H105=1,IF('Model inputs'!H105="","",'Model inputs'!H105=1))="",FALSE,IF(ISERROR('Model inputs'!H105=1),'Model inputs'!H105=1,IF('Model inputs'!H105="","",'Model inputs'!H105=1))),0,IF('DealScope 12-month financial pr'!F19="","",'DealScope 12-month financial pr'!F19))="",0,IF(IF(IF(ISERROR('Model inputs'!H105=1),'Model inputs'!H105=1,IF('Model inputs'!H105="","",'Model inputs'!H105=1))="",FALSE,IF(ISERROR('Model inputs'!H105=1),'Model inputs'!H105=1,IF('Model inputs'!H105="","",'Model inputs'!H105=1))),0,IF('DealScope 12-month financial pr'!F19="","",'DealScope 12-month financial pr'!F19)))+'DealScope 12-month financial pr'!G18</f>
        <v>-209799.25</v>
      </c>
      <c r="H19" s="10">
        <f>IF(IF(IF(IF(ISERROR('Model inputs'!I105=1),'Model inputs'!I105=1,IF('Model inputs'!I105="","",'Model inputs'!I105=1))="",FALSE,IF(ISERROR('Model inputs'!I105=1),'Model inputs'!I105=1,IF('Model inputs'!I105="","",'Model inputs'!I105=1))),0,IF('DealScope 12-month financial pr'!G19="","",'DealScope 12-month financial pr'!G19))="",0,IF(IF(IF(ISERROR('Model inputs'!I105=1),'Model inputs'!I105=1,IF('Model inputs'!I105="","",'Model inputs'!I105=1))="",FALSE,IF(ISERROR('Model inputs'!I105=1),'Model inputs'!I105=1,IF('Model inputs'!I105="","",'Model inputs'!I105=1))),0,IF('DealScope 12-month financial pr'!G19="","",'DealScope 12-month financial pr'!G19)))+'DealScope 12-month financial pr'!H18</f>
        <v>-251049</v>
      </c>
      <c r="I19" s="10">
        <f>IF(IF(IF(IF(ISERROR('Model inputs'!J105=1),'Model inputs'!J105=1,IF('Model inputs'!J105="","",'Model inputs'!J105=1))="",FALSE,IF(ISERROR('Model inputs'!J105=1),'Model inputs'!J105=1,IF('Model inputs'!J105="","",'Model inputs'!J105=1))),0,IF('DealScope 12-month financial pr'!H19="","",'DealScope 12-month financial pr'!H19))="",0,IF(IF(IF(ISERROR('Model inputs'!J105=1),'Model inputs'!J105=1,IF('Model inputs'!J105="","",'Model inputs'!J105=1))="",FALSE,IF(ISERROR('Model inputs'!J105=1),'Model inputs'!J105=1,IF('Model inputs'!J105="","",'Model inputs'!J105=1))),0,IF('DealScope 12-month financial pr'!H19="","",'DealScope 12-month financial pr'!H19)))+'DealScope 12-month financial pr'!I18</f>
        <v>-294213</v>
      </c>
      <c r="J19" s="10">
        <f>IF(IF(IF(IF(ISERROR('Model inputs'!K105=1),'Model inputs'!K105=1,IF('Model inputs'!K105="","",'Model inputs'!K105=1))="",FALSE,IF(ISERROR('Model inputs'!K105=1),'Model inputs'!K105=1,IF('Model inputs'!K105="","",'Model inputs'!K105=1))),0,IF('DealScope 12-month financial pr'!I19="","",'DealScope 12-month financial pr'!I19))="",0,IF(IF(IF(ISERROR('Model inputs'!K105=1),'Model inputs'!K105=1,IF('Model inputs'!K105="","",'Model inputs'!K105=1))="",FALSE,IF(ISERROR('Model inputs'!K105=1),'Model inputs'!K105=1,IF('Model inputs'!K105="","",'Model inputs'!K105=1))),0,IF('DealScope 12-month financial pr'!I19="","",'DealScope 12-month financial pr'!I19)))+'DealScope 12-month financial pr'!J18</f>
        <v>-339291.25</v>
      </c>
      <c r="K19" s="10">
        <f>IF(IF(IF(IF(ISERROR('Model inputs'!L105=1),'Model inputs'!L105=1,IF('Model inputs'!L105="","",'Model inputs'!L105=1))="",FALSE,IF(ISERROR('Model inputs'!L105=1),'Model inputs'!L105=1,IF('Model inputs'!L105="","",'Model inputs'!L105=1))),0,IF('DealScope 12-month financial pr'!J19="","",'DealScope 12-month financial pr'!J19))="",0,IF(IF(IF(ISERROR('Model inputs'!L105=1),'Model inputs'!L105=1,IF('Model inputs'!L105="","",'Model inputs'!L105=1))="",FALSE,IF(ISERROR('Model inputs'!L105=1),'Model inputs'!L105=1,IF('Model inputs'!L105="","",'Model inputs'!L105=1))),0,IF('DealScope 12-month financial pr'!J19="","",'DealScope 12-month financial pr'!J19)))+'DealScope 12-month financial pr'!K18</f>
        <v>-386283.75</v>
      </c>
      <c r="L19" s="10">
        <f>IF(IF(IF(IF(ISERROR('Model inputs'!M105=1),'Model inputs'!M105=1,IF('Model inputs'!M105="","",'Model inputs'!M105=1))="",FALSE,IF(ISERROR('Model inputs'!M105=1),'Model inputs'!M105=1,IF('Model inputs'!M105="","",'Model inputs'!M105=1))),0,IF('DealScope 12-month financial pr'!K19="","",'DealScope 12-month financial pr'!K19))="",0,IF(IF(IF(ISERROR('Model inputs'!M105=1),'Model inputs'!M105=1,IF('Model inputs'!M105="","",'Model inputs'!M105=1))="",FALSE,IF(ISERROR('Model inputs'!M105=1),'Model inputs'!M105=1,IF('Model inputs'!M105="","",'Model inputs'!M105=1))),0,IF('DealScope 12-month financial pr'!K19="","",'DealScope 12-month financial pr'!K19)))+'DealScope 12-month financial pr'!L18</f>
        <v>-435190.5</v>
      </c>
      <c r="M19" s="10">
        <f>IF(IF(IF(IF(ISERROR('Model inputs'!N105=1),'Model inputs'!N105=1,IF('Model inputs'!N105="","",'Model inputs'!N105=1))="",FALSE,IF(ISERROR('Model inputs'!N105=1),'Model inputs'!N105=1,IF('Model inputs'!N105="","",'Model inputs'!N105=1))),0,IF('DealScope 12-month financial pr'!L19="","",'DealScope 12-month financial pr'!L19))="",0,IF(IF(IF(ISERROR('Model inputs'!N105=1),'Model inputs'!N105=1,IF('Model inputs'!N105="","",'Model inputs'!N105=1))="",FALSE,IF(ISERROR('Model inputs'!N105=1),'Model inputs'!N105=1,IF('Model inputs'!N105="","",'Model inputs'!N105=1))),0,IF('DealScope 12-month financial pr'!L19="","",'DealScope 12-month financial pr'!L19)))+'DealScope 12-month financial pr'!M18</f>
        <v>-486011.5</v>
      </c>
    </row>
    <row r="20">
      <c r="A20" t="inlineStr" s="8">
        <is>
          <t xml:space="preserve">Cumulative funding gap</t>
        </is>
      </c>
      <c r="B20" s="10">
        <f>MAX(IF(IF(IF(IF(ISERROR('Model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inputs'!B47))="",0,IF(IF(IF(ISERROR('Model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inputs'!B47)))+'DealScope 12-month financial pr'!B18,0)</f>
        <v>0</v>
      </c>
      <c r="C20" s="10">
        <f>MAX(IF(IF(IF(IF(ISERROR('Model inputs'!D105=1),'Model inputs'!D105=1,IF('Model inputs'!D105="","",'Model inputs'!D105=1))="",FALSE,IF(ISERROR('Model inputs'!D105=1),'Model inputs'!D105=1,IF('Model inputs'!D105="","",'Model inputs'!D105=1))),0,IF('DealScope 12-month financial pr'!B19="","",'DealScope 12-month financial pr'!B19))="",0,IF(IF(IF(ISERROR('Model inputs'!D105=1),'Model inputs'!D105=1,IF('Model inputs'!D105="","",'Model inputs'!D105=1))="",FALSE,IF(ISERROR('Model inputs'!D105=1),'Model inputs'!D105=1,IF('Model inputs'!D105="","",'Model inputs'!D105=1))),0,IF('DealScope 12-month financial pr'!B19="","",'DealScope 12-month financial pr'!B19)))+'DealScope 12-month financial pr'!C18,0)</f>
        <v>0</v>
      </c>
      <c r="D20" s="10">
        <f>MAX(IF(IF(IF(IF(ISERROR('Model inputs'!E105=1),'Model inputs'!E105=1,IF('Model inputs'!E105="","",'Model inputs'!E105=1))="",FALSE,IF(ISERROR('Model inputs'!E105=1),'Model inputs'!E105=1,IF('Model inputs'!E105="","",'Model inputs'!E105=1))),0,IF('DealScope 12-month financial pr'!C19="","",'DealScope 12-month financial pr'!C19))="",0,IF(IF(IF(ISERROR('Model inputs'!E105=1),'Model inputs'!E105=1,IF('Model inputs'!E105="","",'Model inputs'!E105=1))="",FALSE,IF(ISERROR('Model inputs'!E105=1),'Model inputs'!E105=1,IF('Model inputs'!E105="","",'Model inputs'!E105=1))),0,IF('DealScope 12-month financial pr'!C19="","",'DealScope 12-month financial pr'!C19)))+'DealScope 12-month financial pr'!D18,0)</f>
        <v>0</v>
      </c>
      <c r="E20" s="10">
        <f>MAX(IF(IF(IF(IF(ISERROR('Model inputs'!F105=1),'Model inputs'!F105=1,IF('Model inputs'!F105="","",'Model inputs'!F105=1))="",FALSE,IF(ISERROR('Model inputs'!F105=1),'Model inputs'!F105=1,IF('Model inputs'!F105="","",'Model inputs'!F105=1))),0,IF('DealScope 12-month financial pr'!D19="","",'DealScope 12-month financial pr'!D19))="",0,IF(IF(IF(ISERROR('Model inputs'!F105=1),'Model inputs'!F105=1,IF('Model inputs'!F105="","",'Model inputs'!F105=1))="",FALSE,IF(ISERROR('Model inputs'!F105=1),'Model inputs'!F105=1,IF('Model inputs'!F105="","",'Model inputs'!F105=1))),0,IF('DealScope 12-month financial pr'!D19="","",'DealScope 12-month financial pr'!D19)))+'DealScope 12-month financial pr'!E18,0)</f>
        <v>0</v>
      </c>
      <c r="F20" s="10">
        <f>MAX(IF(IF(IF(IF(ISERROR('Model inputs'!G105=1),'Model inputs'!G105=1,IF('Model inputs'!G105="","",'Model inputs'!G105=1))="",FALSE,IF(ISERROR('Model inputs'!G105=1),'Model inputs'!G105=1,IF('Model inputs'!G105="","",'Model inputs'!G105=1))),0,IF('DealScope 12-month financial pr'!E19="","",'DealScope 12-month financial pr'!E19))="",0,IF(IF(IF(ISERROR('Model inputs'!G105=1),'Model inputs'!G105=1,IF('Model inputs'!G105="","",'Model inputs'!G105=1))="",FALSE,IF(ISERROR('Model inputs'!G105=1),'Model inputs'!G105=1,IF('Model inputs'!G105="","",'Model inputs'!G105=1))),0,IF('DealScope 12-month financial pr'!E19="","",'DealScope 12-month financial pr'!E19)))+'DealScope 12-month financial pr'!F18,0)</f>
        <v>0</v>
      </c>
      <c r="G20" s="10">
        <f>MAX(IF(IF(IF(IF(ISERROR('Model inputs'!H105=1),'Model inputs'!H105=1,IF('Model inputs'!H105="","",'Model inputs'!H105=1))="",FALSE,IF(ISERROR('Model inputs'!H105=1),'Model inputs'!H105=1,IF('Model inputs'!H105="","",'Model inputs'!H105=1))),0,IF('DealScope 12-month financial pr'!F19="","",'DealScope 12-month financial pr'!F19))="",0,IF(IF(IF(ISERROR('Model inputs'!H105=1),'Model inputs'!H105=1,IF('Model inputs'!H105="","",'Model inputs'!H105=1))="",FALSE,IF(ISERROR('Model inputs'!H105=1),'Model inputs'!H105=1,IF('Model inputs'!H105="","",'Model inputs'!H105=1))),0,IF('DealScope 12-month financial pr'!F19="","",'DealScope 12-month financial pr'!F19)))+'DealScope 12-month financial pr'!G18,0)</f>
        <v>0</v>
      </c>
      <c r="H20" s="10">
        <f>MAX(IF(IF(IF(IF(ISERROR('Model inputs'!I105=1),'Model inputs'!I105=1,IF('Model inputs'!I105="","",'Model inputs'!I105=1))="",FALSE,IF(ISERROR('Model inputs'!I105=1),'Model inputs'!I105=1,IF('Model inputs'!I105="","",'Model inputs'!I105=1))),0,IF('DealScope 12-month financial pr'!G19="","",'DealScope 12-month financial pr'!G19))="",0,IF(IF(IF(ISERROR('Model inputs'!I105=1),'Model inputs'!I105=1,IF('Model inputs'!I105="","",'Model inputs'!I105=1))="",FALSE,IF(ISERROR('Model inputs'!I105=1),'Model inputs'!I105=1,IF('Model inputs'!I105="","",'Model inputs'!I105=1))),0,IF('DealScope 12-month financial pr'!G19="","",'DealScope 12-month financial pr'!G19)))+'DealScope 12-month financial pr'!H18,0)</f>
        <v>0</v>
      </c>
      <c r="I20" s="10">
        <f>MAX(IF(IF(IF(IF(ISERROR('Model inputs'!J105=1),'Model inputs'!J105=1,IF('Model inputs'!J105="","",'Model inputs'!J105=1))="",FALSE,IF(ISERROR('Model inputs'!J105=1),'Model inputs'!J105=1,IF('Model inputs'!J105="","",'Model inputs'!J105=1))),0,IF('DealScope 12-month financial pr'!H19="","",'DealScope 12-month financial pr'!H19))="",0,IF(IF(IF(ISERROR('Model inputs'!J105=1),'Model inputs'!J105=1,IF('Model inputs'!J105="","",'Model inputs'!J105=1))="",FALSE,IF(ISERROR('Model inputs'!J105=1),'Model inputs'!J105=1,IF('Model inputs'!J105="","",'Model inputs'!J105=1))),0,IF('DealScope 12-month financial pr'!H19="","",'DealScope 12-month financial pr'!H19)))+'DealScope 12-month financial pr'!I18,0)</f>
        <v>0</v>
      </c>
      <c r="J20" s="10">
        <f>MAX(IF(IF(IF(IF(ISERROR('Model inputs'!K105=1),'Model inputs'!K105=1,IF('Model inputs'!K105="","",'Model inputs'!K105=1))="",FALSE,IF(ISERROR('Model inputs'!K105=1),'Model inputs'!K105=1,IF('Model inputs'!K105="","",'Model inputs'!K105=1))),0,IF('DealScope 12-month financial pr'!I19="","",'DealScope 12-month financial pr'!I19))="",0,IF(IF(IF(ISERROR('Model inputs'!K105=1),'Model inputs'!K105=1,IF('Model inputs'!K105="","",'Model inputs'!K105=1))="",FALSE,IF(ISERROR('Model inputs'!K105=1),'Model inputs'!K105=1,IF('Model inputs'!K105="","",'Model inputs'!K105=1))),0,IF('DealScope 12-month financial pr'!I19="","",'DealScope 12-month financial pr'!I19)))+'DealScope 12-month financial pr'!J18,0)</f>
        <v>0</v>
      </c>
      <c r="K20" s="10">
        <f>MAX(IF(IF(IF(IF(ISERROR('Model inputs'!L105=1),'Model inputs'!L105=1,IF('Model inputs'!L105="","",'Model inputs'!L105=1))="",FALSE,IF(ISERROR('Model inputs'!L105=1),'Model inputs'!L105=1,IF('Model inputs'!L105="","",'Model inputs'!L105=1))),0,IF('DealScope 12-month financial pr'!J19="","",'DealScope 12-month financial pr'!J19))="",0,IF(IF(IF(ISERROR('Model inputs'!L105=1),'Model inputs'!L105=1,IF('Model inputs'!L105="","",'Model inputs'!L105=1))="",FALSE,IF(ISERROR('Model inputs'!L105=1),'Model inputs'!L105=1,IF('Model inputs'!L105="","",'Model inputs'!L105=1))),0,IF('DealScope 12-month financial pr'!J19="","",'DealScope 12-month financial pr'!J19)))+'DealScope 12-month financial pr'!K18,0)</f>
        <v>0</v>
      </c>
      <c r="L20" s="10">
        <f>MAX(IF(IF(IF(IF(ISERROR('Model inputs'!M105=1),'Model inputs'!M105=1,IF('Model inputs'!M105="","",'Model inputs'!M105=1))="",FALSE,IF(ISERROR('Model inputs'!M105=1),'Model inputs'!M105=1,IF('Model inputs'!M105="","",'Model inputs'!M105=1))),0,IF('DealScope 12-month financial pr'!K19="","",'DealScope 12-month financial pr'!K19))="",0,IF(IF(IF(ISERROR('Model inputs'!M105=1),'Model inputs'!M105=1,IF('Model inputs'!M105="","",'Model inputs'!M105=1))="",FALSE,IF(ISERROR('Model inputs'!M105=1),'Model inputs'!M105=1,IF('Model inputs'!M105="","",'Model inputs'!M105=1))),0,IF('DealScope 12-month financial pr'!K19="","",'DealScope 12-month financial pr'!K19)))+'DealScope 12-month financial pr'!L18,0)</f>
        <v>0</v>
      </c>
      <c r="M20" s="10">
        <f>MAX(IF(IF(IF(IF(ISERROR('Model inputs'!N105=1),'Model inputs'!N105=1,IF('Model inputs'!N105="","",'Model inputs'!N105=1))="",FALSE,IF(ISERROR('Model inputs'!N105=1),'Model inputs'!N105=1,IF('Model inputs'!N105="","",'Model inputs'!N105=1))),0,IF('DealScope 12-month financial pr'!L19="","",'DealScope 12-month financial pr'!L19))="",0,IF(IF(IF(ISERROR('Model inputs'!N105=1),'Model inputs'!N105=1,IF('Model inputs'!N105="","",'Model inputs'!N105=1))="",FALSE,IF(ISERROR('Model inputs'!N105=1),'Model inputs'!N105=1,IF('Model inputs'!N105="","",'Model inputs'!N105=1))),0,IF('DealScope 12-month financial pr'!L19="","",'DealScope 12-month financial pr'!L19)))+'DealScope 12-month financial pr'!M18,0)</f>
        <v>0</v>
      </c>
    </row>
    <row r="21">
      <c r="A21" t="inlineStr" s="8">
        <is>
          <t xml:space="preserve">Conditional cash balance</t>
        </is>
      </c>
      <c r="B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pr'!B19,"")</f>
        <v/>
      </c>
      <c r="C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pr'!C19,"")</f>
        <v/>
      </c>
      <c r="D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pr'!D19,"")</f>
        <v/>
      </c>
      <c r="E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pr'!E19,"")</f>
        <v/>
      </c>
      <c r="F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pr'!F19,"")</f>
        <v/>
      </c>
      <c r="G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pr'!G19,"")</f>
        <v/>
      </c>
      <c r="H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pr'!H19,"")</f>
        <v/>
      </c>
      <c r="I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pr'!I19,"")</f>
        <v/>
      </c>
      <c r="J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pr'!J19,"")</f>
        <v/>
      </c>
      <c r="K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pr'!K19,"")</f>
        <v/>
      </c>
      <c r="L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pr'!L19,"")</f>
        <v/>
      </c>
      <c r="M21" t="str" s="10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pr'!M19,"")</f>
        <v/>
      </c>
    </row>
    <row r="22">
      <c r="A22" t="inlineStr" s="8">
        <is>
          <t xml:space="preserve">Deferred subscription revenue</t>
        </is>
      </c>
      <c r="B22" s="10">
        <f>IF(IF(IF(IF(ISERROR('Model inputs'!C105=1),'Model inputs'!C105=1,IF('Model inputs'!C105="","",'Model inputs'!C105=1))="",FALSE,IF(ISERROR('Model inputs'!C105=1),'Model inputs'!C105=1,IF('Model inputs'!C105="","",'Model inputs'!C105=1))),0,IF('Model inputs'!B49="","",'Model inputs'!B49))="",0,IF(IF(IF(ISERROR('Model inputs'!C105=1),'Model inputs'!C105=1,IF('Model inputs'!C105="","",'Model inputs'!C105=1))="",FALSE,IF(ISERROR('Model inputs'!C105=1),'Model inputs'!C105=1,IF('Model inputs'!C105="","",'Model inputs'!C105=1))),0,IF('Model inputs'!B49="","",'Model inputs'!B49)))+'DealScope 12-month financial pr'!B16-'DealScope 12-month financial pr'!B7</f>
        <v>27500</v>
      </c>
      <c r="C22" s="10">
        <f>IF(IF(IF(IF(ISERROR('Model inputs'!D105=1),'Model inputs'!D105=1,IF('Model inputs'!D105="","",'Model inputs'!D105=1))="",FALSE,IF(ISERROR('Model inputs'!D105=1),'Model inputs'!D105=1,IF('Model inputs'!D105="","",'Model inputs'!D105=1))),0,IF('DealScope 12-month financial pr'!B22="","",'DealScope 12-month financial pr'!B22))="",0,IF(IF(IF(ISERROR('Model inputs'!D105=1),'Model inputs'!D105=1,IF('Model inputs'!D105="","",'Model inputs'!D105=1))="",FALSE,IF(ISERROR('Model inputs'!D105=1),'Model inputs'!D105=1,IF('Model inputs'!D105="","",'Model inputs'!D105=1))),0,IF('DealScope 12-month financial pr'!B22="","",'DealScope 12-month financial pr'!B22)))+'DealScope 12-month financial pr'!C16-'DealScope 12-month financial pr'!C7</f>
        <v>52500</v>
      </c>
      <c r="D22" s="10">
        <f>IF(IF(IF(IF(ISERROR('Model inputs'!E105=1),'Model inputs'!E105=1,IF('Model inputs'!E105="","",'Model inputs'!E105=1))="",FALSE,IF(ISERROR('Model inputs'!E105=1),'Model inputs'!E105=1,IF('Model inputs'!E105="","",'Model inputs'!E105=1))),0,IF('DealScope 12-month financial pr'!C22="","",'DealScope 12-month financial pr'!C22))="",0,IF(IF(IF(ISERROR('Model inputs'!E105=1),'Model inputs'!E105=1,IF('Model inputs'!E105="","",'Model inputs'!E105=1))="",FALSE,IF(ISERROR('Model inputs'!E105=1),'Model inputs'!E105=1,IF('Model inputs'!E105="","",'Model inputs'!E105=1))),0,IF('DealScope 12-month financial pr'!C22="","",'DealScope 12-month financial pr'!C22)))+'DealScope 12-month financial pr'!D16-'DealScope 12-month financial pr'!D7</f>
        <v>75000</v>
      </c>
      <c r="E22" s="10">
        <f>IF(IF(IF(IF(ISERROR('Model inputs'!F105=1),'Model inputs'!F105=1,IF('Model inputs'!F105="","",'Model inputs'!F105=1))="",FALSE,IF(ISERROR('Model inputs'!F105=1),'Model inputs'!F105=1,IF('Model inputs'!F105="","",'Model inputs'!F105=1))),0,IF('DealScope 12-month financial pr'!D22="","",'DealScope 12-month financial pr'!D22))="",0,IF(IF(IF(ISERROR('Model inputs'!F105=1),'Model inputs'!F105=1,IF('Model inputs'!F105="","",'Model inputs'!F105=1))="",FALSE,IF(ISERROR('Model inputs'!F105=1),'Model inputs'!F105=1,IF('Model inputs'!F105="","",'Model inputs'!F105=1))),0,IF('DealScope 12-month financial pr'!D22="","",'DealScope 12-month financial pr'!D22)))+'DealScope 12-month financial pr'!E16-'DealScope 12-month financial pr'!E7</f>
        <v>95000</v>
      </c>
      <c r="F22" s="10">
        <f>IF(IF(IF(IF(ISERROR('Model inputs'!G105=1),'Model inputs'!G105=1,IF('Model inputs'!G105="","",'Model inputs'!G105=1))="",FALSE,IF(ISERROR('Model inputs'!G105=1),'Model inputs'!G105=1,IF('Model inputs'!G105="","",'Model inputs'!G105=1))),0,IF('DealScope 12-month financial pr'!E22="","",'DealScope 12-month financial pr'!E22))="",0,IF(IF(IF(ISERROR('Model inputs'!G105=1),'Model inputs'!G105=1,IF('Model inputs'!G105="","",'Model inputs'!G105=1))="",FALSE,IF(ISERROR('Model inputs'!G105=1),'Model inputs'!G105=1,IF('Model inputs'!G105="","",'Model inputs'!G105=1))),0,IF('DealScope 12-month financial pr'!E22="","",'DealScope 12-month financial pr'!E22)))+'DealScope 12-month financial pr'!F16-'DealScope 12-month financial pr'!F7</f>
        <v>112500</v>
      </c>
      <c r="G22" s="10">
        <f>IF(IF(IF(IF(ISERROR('Model inputs'!H105=1),'Model inputs'!H105=1,IF('Model inputs'!H105="","",'Model inputs'!H105=1))="",FALSE,IF(ISERROR('Model inputs'!H105=1),'Model inputs'!H105=1,IF('Model inputs'!H105="","",'Model inputs'!H105=1))),0,IF('DealScope 12-month financial pr'!F22="","",'DealScope 12-month financial pr'!F22))="",0,IF(IF(IF(ISERROR('Model inputs'!H105=1),'Model inputs'!H105=1,IF('Model inputs'!H105="","",'Model inputs'!H105=1))="",FALSE,IF(ISERROR('Model inputs'!H105=1),'Model inputs'!H105=1,IF('Model inputs'!H105="","",'Model inputs'!H105=1))),0,IF('DealScope 12-month financial pr'!F22="","",'DealScope 12-month financial pr'!F22)))+'DealScope 12-month financial pr'!G16-'DealScope 12-month financial pr'!G7</f>
        <v>127500</v>
      </c>
      <c r="H22" s="10">
        <f>IF(IF(IF(IF(ISERROR('Model inputs'!I105=1),'Model inputs'!I105=1,IF('Model inputs'!I105="","",'Model inputs'!I105=1))="",FALSE,IF(ISERROR('Model inputs'!I105=1),'Model inputs'!I105=1,IF('Model inputs'!I105="","",'Model inputs'!I105=1))),0,IF('DealScope 12-month financial pr'!G22="","",'DealScope 12-month financial pr'!G22))="",0,IF(IF(IF(ISERROR('Model inputs'!I105=1),'Model inputs'!I105=1,IF('Model inputs'!I105="","",'Model inputs'!I105=1))="",FALSE,IF(ISERROR('Model inputs'!I105=1),'Model inputs'!I105=1,IF('Model inputs'!I105="","",'Model inputs'!I105=1))),0,IF('DealScope 12-month financial pr'!G22="","",'DealScope 12-month financial pr'!G22)))+'DealScope 12-month financial pr'!H16-'DealScope 12-month financial pr'!H7</f>
        <v>140000</v>
      </c>
      <c r="I22" s="10">
        <f>IF(IF(IF(IF(ISERROR('Model inputs'!J105=1),'Model inputs'!J105=1,IF('Model inputs'!J105="","",'Model inputs'!J105=1))="",FALSE,IF(ISERROR('Model inputs'!J105=1),'Model inputs'!J105=1,IF('Model inputs'!J105="","",'Model inputs'!J105=1))),0,IF('DealScope 12-month financial pr'!H22="","",'DealScope 12-month financial pr'!H22))="",0,IF(IF(IF(ISERROR('Model inputs'!J105=1),'Model inputs'!J105=1,IF('Model inputs'!J105="","",'Model inputs'!J105=1))="",FALSE,IF(ISERROR('Model inputs'!J105=1),'Model inputs'!J105=1,IF('Model inputs'!J105="","",'Model inputs'!J105=1))),0,IF('DealScope 12-month financial pr'!H22="","",'DealScope 12-month financial pr'!H22)))+'DealScope 12-month financial pr'!I16-'DealScope 12-month financial pr'!I7</f>
        <v>150000</v>
      </c>
      <c r="J22" s="10">
        <f>IF(IF(IF(IF(ISERROR('Model inputs'!K105=1),'Model inputs'!K105=1,IF('Model inputs'!K105="","",'Model inputs'!K105=1))="",FALSE,IF(ISERROR('Model inputs'!K105=1),'Model inputs'!K105=1,IF('Model inputs'!K105="","",'Model inputs'!K105=1))),0,IF('DealScope 12-month financial pr'!I22="","",'DealScope 12-month financial pr'!I22))="",0,IF(IF(IF(ISERROR('Model inputs'!K105=1),'Model inputs'!K105=1,IF('Model inputs'!K105="","",'Model inputs'!K105=1))="",FALSE,IF(ISERROR('Model inputs'!K105=1),'Model inputs'!K105=1,IF('Model inputs'!K105="","",'Model inputs'!K105=1))),0,IF('DealScope 12-month financial pr'!I22="","",'DealScope 12-month financial pr'!I22)))+'DealScope 12-month financial pr'!J16-'DealScope 12-month financial pr'!J7</f>
        <v>157500</v>
      </c>
      <c r="K22" s="10">
        <f>IF(IF(IF(IF(ISERROR('Model inputs'!L105=1),'Model inputs'!L105=1,IF('Model inputs'!L105="","",'Model inputs'!L105=1))="",FALSE,IF(ISERROR('Model inputs'!L105=1),'Model inputs'!L105=1,IF('Model inputs'!L105="","",'Model inputs'!L105=1))),0,IF('DealScope 12-month financial pr'!J22="","",'DealScope 12-month financial pr'!J22))="",0,IF(IF(IF(ISERROR('Model inputs'!L105=1),'Model inputs'!L105=1,IF('Model inputs'!L105="","",'Model inputs'!L105=1))="",FALSE,IF(ISERROR('Model inputs'!L105=1),'Model inputs'!L105=1,IF('Model inputs'!L105="","",'Model inputs'!L105=1))),0,IF('DealScope 12-month financial pr'!J22="","",'DealScope 12-month financial pr'!J22)))+'DealScope 12-month financial pr'!K16-'DealScope 12-month financial pr'!K7</f>
        <v>162500</v>
      </c>
      <c r="L22" s="10">
        <f>IF(IF(IF(IF(ISERROR('Model inputs'!M105=1),'Model inputs'!M105=1,IF('Model inputs'!M105="","",'Model inputs'!M105=1))="",FALSE,IF(ISERROR('Model inputs'!M105=1),'Model inputs'!M105=1,IF('Model inputs'!M105="","",'Model inputs'!M105=1))),0,IF('DealScope 12-month financial pr'!K22="","",'DealScope 12-month financial pr'!K22))="",0,IF(IF(IF(ISERROR('Model inputs'!M105=1),'Model inputs'!M105=1,IF('Model inputs'!M105="","",'Model inputs'!M105=1))="",FALSE,IF(ISERROR('Model inputs'!M105=1),'Model inputs'!M105=1,IF('Model inputs'!M105="","",'Model inputs'!M105=1))),0,IF('DealScope 12-month financial pr'!K22="","",'DealScope 12-month financial pr'!K22)))+'DealScope 12-month financial pr'!L16-'DealScope 12-month financial pr'!L7</f>
        <v>165000</v>
      </c>
      <c r="M22" s="10">
        <f>IF(IF(IF(IF(ISERROR('Model inputs'!N105=1),'Model inputs'!N105=1,IF('Model inputs'!N105="","",'Model inputs'!N105=1))="",FALSE,IF(ISERROR('Model inputs'!N105=1),'Model inputs'!N105=1,IF('Model inputs'!N105="","",'Model inputs'!N105=1))),0,IF('DealScope 12-month financial pr'!L22="","",'DealScope 12-month financial pr'!L22))="",0,IF(IF(IF(ISERROR('Model inputs'!N105=1),'Model inputs'!N105=1,IF('Model inputs'!N105="","",'Model inputs'!N105=1))="",FALSE,IF(ISERROR('Model inputs'!N105=1),'Model inputs'!N105=1,IF('Model inputs'!N105="","",'Model inputs'!N105=1))),0,IF('DealScope 12-month financial pr'!L22="","",'DealScope 12-month financial pr'!L22)))+'DealScope 12-month financial pr'!M16-'DealScope 12-month financial pr'!M7</f>
        <v>165000</v>
      </c>
    </row>
    <row r="23">
      <c r="A23" t="inlineStr" s="8">
        <is>
          <t xml:space="preserve">QA hours required</t>
        </is>
      </c>
      <c r="B23" s="9">
        <f>'DealScope 12-month financial pr'!B6*'Model inputs'!O107</f>
        <v>7.5</v>
      </c>
      <c r="C23" s="9">
        <f>'DealScope 12-month financial pr'!C6*'Model inputs'!O107</f>
        <v>15</v>
      </c>
      <c r="D23" s="9">
        <f>'DealScope 12-month financial pr'!D6*'Model inputs'!O107</f>
        <v>22.5</v>
      </c>
      <c r="E23" s="9">
        <f>'DealScope 12-month financial pr'!E6*'Model inputs'!O107</f>
        <v>30</v>
      </c>
      <c r="F23" s="9">
        <f>'DealScope 12-month financial pr'!F6*'Model inputs'!O107</f>
        <v>37.5</v>
      </c>
      <c r="G23" s="9">
        <f>'DealScope 12-month financial pr'!G6*'Model inputs'!O107</f>
        <v>45</v>
      </c>
      <c r="H23" s="9">
        <f>'DealScope 12-month financial pr'!H6*'Model inputs'!O107</f>
        <v>52.5</v>
      </c>
      <c r="I23" s="9">
        <f>'DealScope 12-month financial pr'!I6*'Model inputs'!O107</f>
        <v>60</v>
      </c>
      <c r="J23" s="9">
        <f>'DealScope 12-month financial pr'!J6*'Model inputs'!O107</f>
        <v>67.5</v>
      </c>
      <c r="K23" s="9">
        <f>'DealScope 12-month financial pr'!K6*'Model inputs'!O107</f>
        <v>75</v>
      </c>
      <c r="L23" s="9">
        <f>'DealScope 12-month financial pr'!L6*'Model inputs'!O107</f>
        <v>82.5</v>
      </c>
      <c r="M23" s="9">
        <f>'DealScope 12-month financial pr'!M6*'Model inputs'!O107</f>
        <v>90</v>
      </c>
    </row>
    <row r="24">
      <c r="A24" t="inlineStr" s="8">
        <is>
          <t xml:space="preserve">Support hours required</t>
        </is>
      </c>
      <c r="B24" s="9">
        <f>'DealScope 12-month financial pr'!B5*'Model inputs'!O113</f>
        <v>0.625</v>
      </c>
      <c r="C24" s="9">
        <f>'DealScope 12-month financial pr'!C5*'Model inputs'!O113</f>
        <v>1.25</v>
      </c>
      <c r="D24" s="9">
        <f>'DealScope 12-month financial pr'!D5*'Model inputs'!O113</f>
        <v>1.875</v>
      </c>
      <c r="E24" s="9">
        <f>'DealScope 12-month financial pr'!E5*'Model inputs'!O113</f>
        <v>2.5</v>
      </c>
      <c r="F24" s="9">
        <f>'DealScope 12-month financial pr'!F5*'Model inputs'!O113</f>
        <v>3.125</v>
      </c>
      <c r="G24" s="9">
        <f>'DealScope 12-month financial pr'!G5*'Model inputs'!O113</f>
        <v>3.75</v>
      </c>
      <c r="H24" s="9">
        <f>'DealScope 12-month financial pr'!H5*'Model inputs'!O113</f>
        <v>4.375</v>
      </c>
      <c r="I24" s="9">
        <f>'DealScope 12-month financial pr'!I5*'Model inputs'!O113</f>
        <v>5</v>
      </c>
      <c r="J24" s="9">
        <f>'DealScope 12-month financial pr'!J5*'Model inputs'!O113</f>
        <v>5.625</v>
      </c>
      <c r="K24" s="9">
        <f>'DealScope 12-month financial pr'!K5*'Model inputs'!O113</f>
        <v>6.25</v>
      </c>
      <c r="L24" s="9">
        <f>'DealScope 12-month financial pr'!L5*'Model inputs'!O113</f>
        <v>6.875</v>
      </c>
      <c r="M24" s="9">
        <f>'DealScope 12-month financial pr'!M5*'Model inputs'!O113</f>
        <v>7.5</v>
      </c>
    </row>
    <row r="25">
      <c r="A25" t="inlineStr" s="6">
        <is>
          <t xml:space="preserve">Credits required</t>
        </is>
      </c>
      <c r="B25" s="7">
        <f>'DealScope 12-month financial pr'!B6*'Model inputs'!O45</f>
        <v>130</v>
      </c>
      <c r="C25" s="7">
        <f>'DealScope 12-month financial pr'!C6*'Model inputs'!O45</f>
        <v>260</v>
      </c>
      <c r="D25" s="7">
        <f>'DealScope 12-month financial pr'!D6*'Model inputs'!O45</f>
        <v>390</v>
      </c>
      <c r="E25" s="7">
        <f>'DealScope 12-month financial pr'!E6*'Model inputs'!O45</f>
        <v>520</v>
      </c>
      <c r="F25" s="7">
        <f>'DealScope 12-month financial pr'!F6*'Model inputs'!O45</f>
        <v>650</v>
      </c>
      <c r="G25" s="7">
        <f>'DealScope 12-month financial pr'!G6*'Model inputs'!O45</f>
        <v>780</v>
      </c>
      <c r="H25" s="7">
        <f>'DealScope 12-month financial pr'!H6*'Model inputs'!O45</f>
        <v>910</v>
      </c>
      <c r="I25" s="7">
        <f>'DealScope 12-month financial pr'!I6*'Model inputs'!O45</f>
        <v>1040</v>
      </c>
      <c r="J25" s="7">
        <f>'DealScope 12-month financial pr'!J6*'Model inputs'!O45</f>
        <v>1170</v>
      </c>
      <c r="K25" s="7">
        <f>'DealScope 12-month financial pr'!K6*'Model inputs'!O45</f>
        <v>1300</v>
      </c>
      <c r="L25" s="7">
        <f>'DealScope 12-month financial pr'!L6*'Model inputs'!O45</f>
        <v>1430</v>
      </c>
      <c r="M25" s="7">
        <f>'DealScope 12-month financial pr'!M6*'Model inputs'!O45</f>
        <v>1560</v>
      </c>
    </row>
  </sheetData>
  <mergeCells count="1">
    <mergeCell ref="A1:M1"/>
  </mergeCells>
</worksheet>
</file>

<file path=xl/worksheets/sheet2.xml><?xml version="1.0" encoding="utf-8"?>
<worksheet xmlns="http://schemas.openxmlformats.org/spreadsheetml/2006/main">
  <dimension ref="A1:M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DealScope variable cost detail</t>
        </is>
      </c>
    </row>
    <row r="2" ht="20" customHeight="1">
      <c r="A2" t="inlineStr" s="2">
        <is>
          <t xml:space="preserve">DealScope — Financial projection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</row>
    <row r="5">
      <c r="A5" t="inlineStr" s="6">
        <is>
          <t xml:space="preserve">Monthly Crustdata cost</t>
        </is>
      </c>
      <c r="B5" s="12">
        <f>'DealScope 12-month financial pr'!B6*'Model inputs'!O44</f>
        <v>13</v>
      </c>
      <c r="C5" s="12">
        <f>'DealScope 12-month financial pr'!C6*'Model inputs'!O44</f>
        <v>26</v>
      </c>
      <c r="D5" s="12">
        <f>'DealScope 12-month financial pr'!D6*'Model inputs'!O44</f>
        <v>39</v>
      </c>
      <c r="E5" s="12">
        <f>'DealScope 12-month financial pr'!E6*'Model inputs'!O44</f>
        <v>52</v>
      </c>
      <c r="F5" s="12">
        <f>'DealScope 12-month financial pr'!F6*'Model inputs'!O44</f>
        <v>65</v>
      </c>
      <c r="G5" s="12">
        <f>'DealScope 12-month financial pr'!G6*'Model inputs'!O44</f>
        <v>78</v>
      </c>
      <c r="H5" s="12">
        <f>'DealScope 12-month financial pr'!H6*'Model inputs'!O44</f>
        <v>91</v>
      </c>
      <c r="I5" s="12">
        <f>'DealScope 12-month financial pr'!I6*'Model inputs'!O44</f>
        <v>104</v>
      </c>
      <c r="J5" s="12">
        <f>'DealScope 12-month financial pr'!J6*'Model inputs'!O44</f>
        <v>117</v>
      </c>
      <c r="K5" s="12">
        <f>'DealScope 12-month financial pr'!K6*'Model inputs'!O44</f>
        <v>130</v>
      </c>
      <c r="L5" s="12">
        <f>'DealScope 12-month financial pr'!L6*'Model inputs'!O44</f>
        <v>143</v>
      </c>
      <c r="M5" s="12">
        <f>'DealScope 12-month financial pr'!M6*'Model inputs'!O44</f>
        <v>156</v>
      </c>
    </row>
    <row r="6">
      <c r="A6" t="inlineStr" s="8">
        <is>
          <t xml:space="preserve">Monthly LLM inference</t>
        </is>
      </c>
      <c r="B6" s="10">
        <f>'DealScope 12-month financial pr'!B6*'Model inputs'!O81</f>
        <v>0.25</v>
      </c>
      <c r="C6" s="10">
        <f>'DealScope 12-month financial pr'!C6*'Model inputs'!O81</f>
        <v>0.5</v>
      </c>
      <c r="D6" s="10">
        <f>'DealScope 12-month financial pr'!D6*'Model inputs'!O81</f>
        <v>0.75</v>
      </c>
      <c r="E6" s="10">
        <f>'DealScope 12-month financial pr'!E6*'Model inputs'!O81</f>
        <v>1</v>
      </c>
      <c r="F6" s="10">
        <f>'DealScope 12-month financial pr'!F6*'Model inputs'!O81</f>
        <v>1.25</v>
      </c>
      <c r="G6" s="10">
        <f>'DealScope 12-month financial pr'!G6*'Model inputs'!O81</f>
        <v>1.5</v>
      </c>
      <c r="H6" s="10">
        <f>'DealScope 12-month financial pr'!H6*'Model inputs'!O81</f>
        <v>1.75</v>
      </c>
      <c r="I6" s="10">
        <f>'DealScope 12-month financial pr'!I6*'Model inputs'!O81</f>
        <v>2</v>
      </c>
      <c r="J6" s="10">
        <f>'DealScope 12-month financial pr'!J6*'Model inputs'!O81</f>
        <v>2.25</v>
      </c>
      <c r="K6" s="10">
        <f>'DealScope 12-month financial pr'!K6*'Model inputs'!O81</f>
        <v>2.5</v>
      </c>
      <c r="L6" s="10">
        <f>'DealScope 12-month financial pr'!L6*'Model inputs'!O81</f>
        <v>2.75</v>
      </c>
      <c r="M6" s="10">
        <f>'DealScope 12-month financial pr'!M6*'Model inputs'!O81</f>
        <v>3</v>
      </c>
    </row>
    <row r="7">
      <c r="A7" t="inlineStr" s="8">
        <is>
          <t xml:space="preserve">Monthly analyst QA cost</t>
        </is>
      </c>
      <c r="B7" s="10">
        <f>'DealScope 12-month financial pr'!B6*'Model inputs'!O106</f>
        <v>450</v>
      </c>
      <c r="C7" s="10">
        <f>'DealScope 12-month financial pr'!C6*'Model inputs'!O106</f>
        <v>900</v>
      </c>
      <c r="D7" s="10">
        <f>'DealScope 12-month financial pr'!D6*'Model inputs'!O106</f>
        <v>1350</v>
      </c>
      <c r="E7" s="10">
        <f>'DealScope 12-month financial pr'!E6*'Model inputs'!O106</f>
        <v>1800</v>
      </c>
      <c r="F7" s="10">
        <f>'DealScope 12-month financial pr'!F6*'Model inputs'!O106</f>
        <v>2250</v>
      </c>
      <c r="G7" s="10">
        <f>'DealScope 12-month financial pr'!G6*'Model inputs'!O106</f>
        <v>2700</v>
      </c>
      <c r="H7" s="10">
        <f>'DealScope 12-month financial pr'!H6*'Model inputs'!O106</f>
        <v>3150</v>
      </c>
      <c r="I7" s="10">
        <f>'DealScope 12-month financial pr'!I6*'Model inputs'!O106</f>
        <v>3600</v>
      </c>
      <c r="J7" s="10">
        <f>'DealScope 12-month financial pr'!J6*'Model inputs'!O106</f>
        <v>4050</v>
      </c>
      <c r="K7" s="10">
        <f>'DealScope 12-month financial pr'!K6*'Model inputs'!O106</f>
        <v>4500</v>
      </c>
      <c r="L7" s="10">
        <f>'DealScope 12-month financial pr'!L6*'Model inputs'!O106</f>
        <v>4950</v>
      </c>
      <c r="M7" s="10">
        <f>'DealScope 12-month financial pr'!M6*'Model inputs'!O106</f>
        <v>5400</v>
      </c>
    </row>
    <row r="8">
      <c r="A8" t="inlineStr" s="8">
        <is>
          <t xml:space="preserve">Monthly delivery tooling</t>
        </is>
      </c>
      <c r="B8" s="10">
        <f>'DealScope 12-month financial pr'!B6*'Model inputs'!O56</f>
        <v>10</v>
      </c>
      <c r="C8" s="10">
        <f>'DealScope 12-month financial pr'!C6*'Model inputs'!O56</f>
        <v>20</v>
      </c>
      <c r="D8" s="10">
        <f>'DealScope 12-month financial pr'!D6*'Model inputs'!O56</f>
        <v>30</v>
      </c>
      <c r="E8" s="10">
        <f>'DealScope 12-month financial pr'!E6*'Model inputs'!O56</f>
        <v>40</v>
      </c>
      <c r="F8" s="10">
        <f>'DealScope 12-month financial pr'!F6*'Model inputs'!O56</f>
        <v>50</v>
      </c>
      <c r="G8" s="10">
        <f>'DealScope 12-month financial pr'!G6*'Model inputs'!O56</f>
        <v>60</v>
      </c>
      <c r="H8" s="10">
        <f>'DealScope 12-month financial pr'!H6*'Model inputs'!O56</f>
        <v>70</v>
      </c>
      <c r="I8" s="10">
        <f>'DealScope 12-month financial pr'!I6*'Model inputs'!O56</f>
        <v>80</v>
      </c>
      <c r="J8" s="10">
        <f>'DealScope 12-month financial pr'!J6*'Model inputs'!O56</f>
        <v>90</v>
      </c>
      <c r="K8" s="10">
        <f>'DealScope 12-month financial pr'!K6*'Model inputs'!O56</f>
        <v>100</v>
      </c>
      <c r="L8" s="10">
        <f>'DealScope 12-month financial pr'!L6*'Model inputs'!O56</f>
        <v>110</v>
      </c>
      <c r="M8" s="10">
        <f>'DealScope 12-month financial pr'!M6*'Model inputs'!O56</f>
        <v>120</v>
      </c>
    </row>
    <row r="9">
      <c r="A9" t="inlineStr" s="8">
        <is>
          <t xml:space="preserve">Plan Account support cost</t>
        </is>
      </c>
      <c r="B9" s="10">
        <f>IF(SUM(IF(IF('Model inputs'!B574="",0,1)="",0,IF('Model inputs'!B574="",0,1)),IF(IF('Model inputs'!B575="",0,1)="",0,IF('Model inputs'!B575="",0,1)),IF(IF('Model inputs'!B576="",0,1)="",0,IF('Model inputs'!B576="",0,1)),IF(IF('Model inputs'!B577="",0,1)="",0,IF('Model inputs'!B577="",0,1)),IF(IF('Model inputs'!B578="",0,1)="",0,IF('Model inputs'!B578="",0,1)))=0,"",SUM('Model inputs'!B574,'Model inputs'!B575,'Model inputs'!B576,'Model inputs'!B577,'Model inputs'!B578))</f>
        <v>37.5</v>
      </c>
      <c r="C9" s="10">
        <f>IF(SUM(IF(IF('Model inputs'!B579="",0,1)="",0,IF('Model inputs'!B579="",0,1)),IF(IF('Model inputs'!B580="",0,1)="",0,IF('Model inputs'!B580="",0,1)),IF(IF('Model inputs'!B581="",0,1)="",0,IF('Model inputs'!B581="",0,1)),IF(IF('Model inputs'!B582="",0,1)="",0,IF('Model inputs'!B582="",0,1)),IF(IF('Model inputs'!B583="",0,1)="",0,IF('Model inputs'!B583="",0,1)))=0,"",SUM('Model inputs'!B579,'Model inputs'!B580,'Model inputs'!B581,'Model inputs'!B582,'Model inputs'!B583))</f>
        <v>75</v>
      </c>
      <c r="D9" s="10">
        <f>IF(SUM(IF(IF('Model inputs'!B584="",0,1)="",0,IF('Model inputs'!B584="",0,1)),IF(IF('Model inputs'!B585="",0,1)="",0,IF('Model inputs'!B585="",0,1)),IF(IF('Model inputs'!B586="",0,1)="",0,IF('Model inputs'!B586="",0,1)),IF(IF('Model inputs'!B587="",0,1)="",0,IF('Model inputs'!B587="",0,1)),IF(IF('Model inputs'!B588="",0,1)="",0,IF('Model inputs'!B588="",0,1)))=0,"",SUM('Model inputs'!B584,'Model inputs'!B585,'Model inputs'!B586,'Model inputs'!B587,'Model inputs'!B588))</f>
        <v>112.5</v>
      </c>
      <c r="E9" s="10">
        <f>IF(SUM(IF(IF('Model inputs'!B589="",0,1)="",0,IF('Model inputs'!B589="",0,1)),IF(IF('Model inputs'!B590="",0,1)="",0,IF('Model inputs'!B590="",0,1)),IF(IF('Model inputs'!B591="",0,1)="",0,IF('Model inputs'!B591="",0,1)),IF(IF('Model inputs'!B592="",0,1)="",0,IF('Model inputs'!B592="",0,1)),IF(IF('Model inputs'!B593="",0,1)="",0,IF('Model inputs'!B593="",0,1)))=0,"",SUM('Model inputs'!B589,'Model inputs'!B590,'Model inputs'!B591,'Model inputs'!B592,'Model inputs'!B593))</f>
        <v>150</v>
      </c>
      <c r="F9" s="10">
        <f>IF(SUM(IF(IF('Model inputs'!B594="",0,1)="",0,IF('Model inputs'!B594="",0,1)),IF(IF('Model inputs'!B595="",0,1)="",0,IF('Model inputs'!B595="",0,1)),IF(IF('Model inputs'!B596="",0,1)="",0,IF('Model inputs'!B596="",0,1)),IF(IF('Model inputs'!B597="",0,1)="",0,IF('Model inputs'!B597="",0,1)),IF(IF('Model inputs'!B598="",0,1)="",0,IF('Model inputs'!B598="",0,1)))=0,"",SUM('Model inputs'!B594,'Model inputs'!B595,'Model inputs'!B596,'Model inputs'!B597,'Model inputs'!B598))</f>
        <v>187.5</v>
      </c>
      <c r="G9" s="10">
        <f>IF(SUM(IF(IF('Model inputs'!B599="",0,1)="",0,IF('Model inputs'!B599="",0,1)),IF(IF('Model inputs'!B600="",0,1)="",0,IF('Model inputs'!B600="",0,1)),IF(IF('Model inputs'!B601="",0,1)="",0,IF('Model inputs'!B601="",0,1)),IF(IF('Model inputs'!B602="",0,1)="",0,IF('Model inputs'!B602="",0,1)),IF(IF('Model inputs'!B603="",0,1)="",0,IF('Model inputs'!B603="",0,1)))=0,"",SUM('Model inputs'!B599,'Model inputs'!B600,'Model inputs'!B601,'Model inputs'!B602,'Model inputs'!B603))</f>
        <v>225</v>
      </c>
      <c r="H9" s="10">
        <f>IF(SUM(IF(IF('Model inputs'!B604="",0,1)="",0,IF('Model inputs'!B604="",0,1)),IF(IF('Model inputs'!B605="",0,1)="",0,IF('Model inputs'!B605="",0,1)),IF(IF('Model inputs'!B606="",0,1)="",0,IF('Model inputs'!B606="",0,1)),IF(IF('Model inputs'!B607="",0,1)="",0,IF('Model inputs'!B607="",0,1)),IF(IF('Model inputs'!B608="",0,1)="",0,IF('Model inputs'!B608="",0,1)))=0,"",SUM('Model inputs'!B604,'Model inputs'!B605,'Model inputs'!B606,'Model inputs'!B607,'Model inputs'!B608))</f>
        <v>262.5</v>
      </c>
      <c r="I9" s="10">
        <f>IF(SUM(IF(IF('Model inputs'!B609="",0,1)="",0,IF('Model inputs'!B609="",0,1)),IF(IF('Model inputs'!B610="",0,1)="",0,IF('Model inputs'!B610="",0,1)),IF(IF('Model inputs'!B611="",0,1)="",0,IF('Model inputs'!B611="",0,1)),IF(IF('Model inputs'!B612="",0,1)="",0,IF('Model inputs'!B612="",0,1)),IF(IF('Model inputs'!B613="",0,1)="",0,IF('Model inputs'!B613="",0,1)))=0,"",SUM('Model inputs'!B609,'Model inputs'!B610,'Model inputs'!B611,'Model inputs'!B612,'Model inputs'!B613))</f>
        <v>300</v>
      </c>
      <c r="J9" s="10">
        <f>IF(SUM(IF(IF('Model inputs'!B614="",0,1)="",0,IF('Model inputs'!B614="",0,1)),IF(IF('Model inputs'!B615="",0,1)="",0,IF('Model inputs'!B615="",0,1)),IF(IF('Model inputs'!B616="",0,1)="",0,IF('Model inputs'!B616="",0,1)),IF(IF('Model inputs'!B617="",0,1)="",0,IF('Model inputs'!B617="",0,1)),IF(IF('Model inputs'!B618="",0,1)="",0,IF('Model inputs'!B618="",0,1)))=0,"",SUM('Model inputs'!B614,'Model inputs'!B615,'Model inputs'!B616,'Model inputs'!B617,'Model inputs'!B618))</f>
        <v>337.5</v>
      </c>
      <c r="K9" s="10">
        <f>IF(SUM(IF(IF('Model inputs'!B619="",0,1)="",0,IF('Model inputs'!B619="",0,1)),IF(IF('Model inputs'!B620="",0,1)="",0,IF('Model inputs'!B620="",0,1)),IF(IF('Model inputs'!B621="",0,1)="",0,IF('Model inputs'!B621="",0,1)),IF(IF('Model inputs'!B622="",0,1)="",0,IF('Model inputs'!B622="",0,1)),IF(IF('Model inputs'!B623="",0,1)="",0,IF('Model inputs'!B623="",0,1)))=0,"",SUM('Model inputs'!B619,'Model inputs'!B620,'Model inputs'!B621,'Model inputs'!B622,'Model inputs'!B623))</f>
        <v>375</v>
      </c>
      <c r="L9" s="10">
        <f>IF(SUM(IF(IF('Model inputs'!B624="",0,1)="",0,IF('Model inputs'!B624="",0,1)),IF(IF('Model inputs'!B625="",0,1)="",0,IF('Model inputs'!B625="",0,1)),IF(IF('Model inputs'!B626="",0,1)="",0,IF('Model inputs'!B626="",0,1)),IF(IF('Model inputs'!B627="",0,1)="",0,IF('Model inputs'!B627="",0,1)),IF(IF('Model inputs'!B628="",0,1)="",0,IF('Model inputs'!B628="",0,1)))=0,"",SUM('Model inputs'!B624,'Model inputs'!B625,'Model inputs'!B626,'Model inputs'!B627,'Model inputs'!B628))</f>
        <v>412.5</v>
      </c>
      <c r="M9" s="10">
        <f>IF(SUM(IF(IF('Model inputs'!B629="",0,1)="",0,IF('Model inputs'!B629="",0,1)),IF(IF('Model inputs'!B630="",0,1)="",0,IF('Model inputs'!B630="",0,1)),IF(IF('Model inputs'!B631="",0,1)="",0,IF('Model inputs'!B631="",0,1)),IF(IF('Model inputs'!B632="",0,1)="",0,IF('Model inputs'!B632="",0,1)),IF(IF('Model inputs'!B633="",0,1)="",0,IF('Model inputs'!B633="",0,1)))=0,"",SUM('Model inputs'!B629,'Model inputs'!B630,'Model inputs'!B631,'Model inputs'!B632,'Model inputs'!B633))</f>
        <v>450</v>
      </c>
    </row>
    <row r="10">
      <c r="A10" t="inlineStr" s="8">
        <is>
          <t xml:space="preserve">Plan Payment fees</t>
        </is>
      </c>
      <c r="B10" s="10">
        <f>IF(SUM(IF(IF('Model inputs'!B814="",0,1)="",0,IF('Model inputs'!B814="",0,1)),IF(IF('Model inputs'!B815="",0,1)="",0,IF('Model inputs'!B815="",0,1)),IF(IF('Model inputs'!B816="",0,1)="",0,IF('Model inputs'!B816="",0,1)),IF(IF('Model inputs'!B817="",0,1)="",0,IF('Model inputs'!B817="",0,1)),IF(IF('Model inputs'!B818="",0,1)="",0,IF('Model inputs'!B818="",0,1)))=0,"",SUM('Model inputs'!B814,'Model inputs'!B815,'Model inputs'!B816,'Model inputs'!B817,'Model inputs'!B818))</f>
        <v>975</v>
      </c>
      <c r="C10" s="10">
        <f>IF(SUM(IF(IF('Model inputs'!B819="",0,1)="",0,IF('Model inputs'!B819="",0,1)),IF(IF('Model inputs'!B820="",0,1)="",0,IF('Model inputs'!B820="",0,1)),IF(IF('Model inputs'!B821="",0,1)="",0,IF('Model inputs'!B821="",0,1)),IF(IF('Model inputs'!B822="",0,1)="",0,IF('Model inputs'!B822="",0,1)),IF(IF('Model inputs'!B823="",0,1)="",0,IF('Model inputs'!B823="",0,1)))=0,"",SUM('Model inputs'!B819,'Model inputs'!B820,'Model inputs'!B821,'Model inputs'!B822,'Model inputs'!B823))</f>
        <v>1050</v>
      </c>
      <c r="D10" s="10">
        <f>IF(SUM(IF(IF('Model inputs'!B824="",0,1)="",0,IF('Model inputs'!B824="",0,1)),IF(IF('Model inputs'!B825="",0,1)="",0,IF('Model inputs'!B825="",0,1)),IF(IF('Model inputs'!B826="",0,1)="",0,IF('Model inputs'!B826="",0,1)),IF(IF('Model inputs'!B827="",0,1)="",0,IF('Model inputs'!B827="",0,1)),IF(IF('Model inputs'!B828="",0,1)="",0,IF('Model inputs'!B828="",0,1)))=0,"",SUM('Model inputs'!B824,'Model inputs'!B825,'Model inputs'!B826,'Model inputs'!B827,'Model inputs'!B828))</f>
        <v>1125</v>
      </c>
      <c r="E10" s="10">
        <f>IF(SUM(IF(IF('Model inputs'!B829="",0,1)="",0,IF('Model inputs'!B829="",0,1)),IF(IF('Model inputs'!B830="",0,1)="",0,IF('Model inputs'!B830="",0,1)),IF(IF('Model inputs'!B831="",0,1)="",0,IF('Model inputs'!B831="",0,1)),IF(IF('Model inputs'!B832="",0,1)="",0,IF('Model inputs'!B832="",0,1)),IF(IF('Model inputs'!B833="",0,1)="",0,IF('Model inputs'!B833="",0,1)))=0,"",SUM('Model inputs'!B829,'Model inputs'!B830,'Model inputs'!B831,'Model inputs'!B832,'Model inputs'!B833))</f>
        <v>1200</v>
      </c>
      <c r="F10" s="10">
        <f>IF(SUM(IF(IF('Model inputs'!B834="",0,1)="",0,IF('Model inputs'!B834="",0,1)),IF(IF('Model inputs'!B835="",0,1)="",0,IF('Model inputs'!B835="",0,1)),IF(IF('Model inputs'!B836="",0,1)="",0,IF('Model inputs'!B836="",0,1)),IF(IF('Model inputs'!B837="",0,1)="",0,IF('Model inputs'!B837="",0,1)),IF(IF('Model inputs'!B838="",0,1)="",0,IF('Model inputs'!B838="",0,1)))=0,"",SUM('Model inputs'!B834,'Model inputs'!B835,'Model inputs'!B836,'Model inputs'!B837,'Model inputs'!B838))</f>
        <v>1275</v>
      </c>
      <c r="G10" s="10">
        <f>IF(SUM(IF(IF('Model inputs'!B839="",0,1)="",0,IF('Model inputs'!B839="",0,1)),IF(IF('Model inputs'!B840="",0,1)="",0,IF('Model inputs'!B840="",0,1)),IF(IF('Model inputs'!B841="",0,1)="",0,IF('Model inputs'!B841="",0,1)),IF(IF('Model inputs'!B842="",0,1)="",0,IF('Model inputs'!B842="",0,1)),IF(IF('Model inputs'!B843="",0,1)="",0,IF('Model inputs'!B843="",0,1)))=0,"",SUM('Model inputs'!B839,'Model inputs'!B840,'Model inputs'!B841,'Model inputs'!B842,'Model inputs'!B843))</f>
        <v>1350</v>
      </c>
      <c r="H10" s="10">
        <f>IF(SUM(IF(IF('Model inputs'!B844="",0,1)="",0,IF('Model inputs'!B844="",0,1)),IF(IF('Model inputs'!B845="",0,1)="",0,IF('Model inputs'!B845="",0,1)),IF(IF('Model inputs'!B846="",0,1)="",0,IF('Model inputs'!B846="",0,1)),IF(IF('Model inputs'!B847="",0,1)="",0,IF('Model inputs'!B847="",0,1)),IF(IF('Model inputs'!B848="",0,1)="",0,IF('Model inputs'!B848="",0,1)))=0,"",SUM('Model inputs'!B844,'Model inputs'!B845,'Model inputs'!B846,'Model inputs'!B847,'Model inputs'!B848))</f>
        <v>1425</v>
      </c>
      <c r="I10" s="10">
        <f>IF(SUM(IF(IF('Model inputs'!B849="",0,1)="",0,IF('Model inputs'!B849="",0,1)),IF(IF('Model inputs'!B850="",0,1)="",0,IF('Model inputs'!B850="",0,1)),IF(IF('Model inputs'!B851="",0,1)="",0,IF('Model inputs'!B851="",0,1)),IF(IF('Model inputs'!B852="",0,1)="",0,IF('Model inputs'!B852="",0,1)),IF(IF('Model inputs'!B853="",0,1)="",0,IF('Model inputs'!B853="",0,1)))=0,"",SUM('Model inputs'!B849,'Model inputs'!B850,'Model inputs'!B851,'Model inputs'!B852,'Model inputs'!B853))</f>
        <v>1500</v>
      </c>
      <c r="J10" s="10">
        <f>IF(SUM(IF(IF('Model inputs'!B854="",0,1)="",0,IF('Model inputs'!B854="",0,1)),IF(IF('Model inputs'!B855="",0,1)="",0,IF('Model inputs'!B855="",0,1)),IF(IF('Model inputs'!B856="",0,1)="",0,IF('Model inputs'!B856="",0,1)),IF(IF('Model inputs'!B857="",0,1)="",0,IF('Model inputs'!B857="",0,1)),IF(IF('Model inputs'!B858="",0,1)="",0,IF('Model inputs'!B858="",0,1)))=0,"",SUM('Model inputs'!B854,'Model inputs'!B855,'Model inputs'!B856,'Model inputs'!B857,'Model inputs'!B858))</f>
        <v>1575</v>
      </c>
      <c r="K10" s="10">
        <f>IF(SUM(IF(IF('Model inputs'!B859="",0,1)="",0,IF('Model inputs'!B859="",0,1)),IF(IF('Model inputs'!B860="",0,1)="",0,IF('Model inputs'!B860="",0,1)),IF(IF('Model inputs'!B861="",0,1)="",0,IF('Model inputs'!B861="",0,1)),IF(IF('Model inputs'!B862="",0,1)="",0,IF('Model inputs'!B862="",0,1)),IF(IF('Model inputs'!B863="",0,1)="",0,IF('Model inputs'!B863="",0,1)))=0,"",SUM('Model inputs'!B859,'Model inputs'!B860,'Model inputs'!B861,'Model inputs'!B862,'Model inputs'!B863))</f>
        <v>1650</v>
      </c>
      <c r="L10" s="10">
        <f>IF(SUM(IF(IF('Model inputs'!B864="",0,1)="",0,IF('Model inputs'!B864="",0,1)),IF(IF('Model inputs'!B865="",0,1)="",0,IF('Model inputs'!B865="",0,1)),IF(IF('Model inputs'!B866="",0,1)="",0,IF('Model inputs'!B866="",0,1)),IF(IF('Model inputs'!B867="",0,1)="",0,IF('Model inputs'!B867="",0,1)),IF(IF('Model inputs'!B868="",0,1)="",0,IF('Model inputs'!B868="",0,1)))=0,"",SUM('Model inputs'!B864,'Model inputs'!B865,'Model inputs'!B866,'Model inputs'!B867,'Model inputs'!B868))</f>
        <v>1725</v>
      </c>
      <c r="M10" s="10">
        <f>IF(SUM(IF(IF('Model inputs'!B869="",0,1)="",0,IF('Model inputs'!B869="",0,1)),IF(IF('Model inputs'!B870="",0,1)="",0,IF('Model inputs'!B870="",0,1)),IF(IF('Model inputs'!B871="",0,1)="",0,IF('Model inputs'!B871="",0,1)),IF(IF('Model inputs'!B872="",0,1)="",0,IF('Model inputs'!B872="",0,1)),IF(IF('Model inputs'!B873="",0,1)="",0,IF('Model inputs'!B873="",0,1)))=0,"",SUM('Model inputs'!B869,'Model inputs'!B870,'Model inputs'!B871,'Model inputs'!B872,'Model inputs'!B873))</f>
        <v>1800</v>
      </c>
    </row>
    <row r="11">
      <c r="A11" t="inlineStr" s="8">
        <is>
          <t xml:space="preserve">QA hours required</t>
        </is>
      </c>
      <c r="B11" s="9">
        <f>'DealScope 12-month financial pr'!B6*'Model inputs'!O107</f>
        <v>7.5</v>
      </c>
      <c r="C11" s="9">
        <f>'DealScope 12-month financial pr'!C6*'Model inputs'!O107</f>
        <v>15</v>
      </c>
      <c r="D11" s="9">
        <f>'DealScope 12-month financial pr'!D6*'Model inputs'!O107</f>
        <v>22.5</v>
      </c>
      <c r="E11" s="9">
        <f>'DealScope 12-month financial pr'!E6*'Model inputs'!O107</f>
        <v>30</v>
      </c>
      <c r="F11" s="9">
        <f>'DealScope 12-month financial pr'!F6*'Model inputs'!O107</f>
        <v>37.5</v>
      </c>
      <c r="G11" s="9">
        <f>'DealScope 12-month financial pr'!G6*'Model inputs'!O107</f>
        <v>45</v>
      </c>
      <c r="H11" s="9">
        <f>'DealScope 12-month financial pr'!H6*'Model inputs'!O107</f>
        <v>52.5</v>
      </c>
      <c r="I11" s="9">
        <f>'DealScope 12-month financial pr'!I6*'Model inputs'!O107</f>
        <v>60</v>
      </c>
      <c r="J11" s="9">
        <f>'DealScope 12-month financial pr'!J6*'Model inputs'!O107</f>
        <v>67.5</v>
      </c>
      <c r="K11" s="9">
        <f>'DealScope 12-month financial pr'!K6*'Model inputs'!O107</f>
        <v>75</v>
      </c>
      <c r="L11" s="9">
        <f>'DealScope 12-month financial pr'!L6*'Model inputs'!O107</f>
        <v>82.5</v>
      </c>
      <c r="M11" s="9">
        <f>'DealScope 12-month financial pr'!M6*'Model inputs'!O107</f>
        <v>90</v>
      </c>
    </row>
    <row r="12">
      <c r="A12" t="inlineStr" s="6">
        <is>
          <t xml:space="preserve">Support hours required</t>
        </is>
      </c>
      <c r="B12" s="7">
        <f>'DealScope 12-month financial pr'!B5*'Model inputs'!O113</f>
        <v>0.625</v>
      </c>
      <c r="C12" s="7">
        <f>'DealScope 12-month financial pr'!C5*'Model inputs'!O113</f>
        <v>1.25</v>
      </c>
      <c r="D12" s="7">
        <f>'DealScope 12-month financial pr'!D5*'Model inputs'!O113</f>
        <v>1.875</v>
      </c>
      <c r="E12" s="7">
        <f>'DealScope 12-month financial pr'!E5*'Model inputs'!O113</f>
        <v>2.5</v>
      </c>
      <c r="F12" s="7">
        <f>'DealScope 12-month financial pr'!F5*'Model inputs'!O113</f>
        <v>3.125</v>
      </c>
      <c r="G12" s="7">
        <f>'DealScope 12-month financial pr'!G5*'Model inputs'!O113</f>
        <v>3.75</v>
      </c>
      <c r="H12" s="7">
        <f>'DealScope 12-month financial pr'!H5*'Model inputs'!O113</f>
        <v>4.375</v>
      </c>
      <c r="I12" s="7">
        <f>'DealScope 12-month financial pr'!I5*'Model inputs'!O113</f>
        <v>5</v>
      </c>
      <c r="J12" s="7">
        <f>'DealScope 12-month financial pr'!J5*'Model inputs'!O113</f>
        <v>5.625</v>
      </c>
      <c r="K12" s="7">
        <f>'DealScope 12-month financial pr'!K5*'Model inputs'!O113</f>
        <v>6.25</v>
      </c>
      <c r="L12" s="7">
        <f>'DealScope 12-month financial pr'!L5*'Model inputs'!O113</f>
        <v>6.875</v>
      </c>
      <c r="M12" s="7">
        <f>'DealScope 12-month financial pr'!M5*'Model inputs'!O113</f>
        <v>7.5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M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DealScope conditional cash and runway</t>
        </is>
      </c>
    </row>
    <row r="2" ht="20" customHeight="1">
      <c r="A2" t="inlineStr" s="2">
        <is>
          <t xml:space="preserve">DealScope — Financial projection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</row>
    <row r="5">
      <c r="A5" t="inlineStr" s="6">
        <is>
          <t xml:space="preserve">Conditional cash balance</t>
        </is>
      </c>
      <c r="B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pr'!B19,"")</f>
        <v/>
      </c>
      <c r="C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pr'!C19,"")</f>
        <v/>
      </c>
      <c r="D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pr'!D19,"")</f>
        <v/>
      </c>
      <c r="E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pr'!E19,"")</f>
        <v/>
      </c>
      <c r="F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pr'!F19,"")</f>
        <v/>
      </c>
      <c r="G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pr'!G19,"")</f>
        <v/>
      </c>
      <c r="H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pr'!H19,"")</f>
        <v/>
      </c>
      <c r="I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pr'!I19,"")</f>
        <v/>
      </c>
      <c r="J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pr'!J19,"")</f>
        <v/>
      </c>
      <c r="K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pr'!K19,"")</f>
        <v/>
      </c>
      <c r="L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pr'!L19,"")</f>
        <v/>
      </c>
      <c r="M5" t="str" s="12">
        <f>IF(IF(IF(ISERROR('Model inputs'!O28=1),'Model inputs'!O28=1,IF('Model inputs'!O28="","",'Model inputs'!O28=1))="",FALSE,IF(ISERROR('Model inputs'!O28=1),'Model inputs'!O28=1,IF('Model inputs'!O28="","",'Model inputs'!O28=1))),IF('Model inputs'!O18="",0,'Model inputs'!O18)-'DealScope 12-month financial pr'!M19,"")</f>
        <v/>
      </c>
    </row>
    <row r="6">
      <c r="A6" t="inlineStr" s="8">
        <is>
          <t xml:space="preserve">Conditional remaining runway months</t>
        </is>
      </c>
      <c r="B6" t="str" s="9">
        <f>IF(IF(IF(IFERROR(IF(ISERROR('Model inputs'!O28=1),'Model inputs'!O28=1,IF('Model inputs'!O28="","",'Model inputs'!O28=1))=FALSE,FALSE),FALSE,IF(IFERROR('Model inputs'!B934=FALSE,FALSE),FALSE,IF(IFERROR('Model inputs'!B935=FALSE,FALSE),FALSE,IF(OR(IF(ISERROR('Model inputs'!O28=1),'Model inputs'!O28=1,IF('Model inputs'!O28="","",'Model inputs'!O28=1))="",'Model inputs'!B934="",'Model inputs'!B935=""),"",AND(IF(ISERROR('Model inputs'!O28=1),'Model inputs'!O28=1,IF('Model inputs'!O28="","",'Model inputs'!O28=1)),'Model inputs'!B934,'Model inputs'!B935)))))="",FALSE,IF(IFERROR(IF(ISERROR('Model inputs'!O28=1),'Model inputs'!O28=1,IF('Model inputs'!O28="","",'Model inputs'!O28=1))=FALSE,FALSE),FALSE,IF(IFERROR('Model inputs'!B934=FALSE,FALSE),FALSE,IF(IFERROR('Model inputs'!B935=FALSE,FALSE),FALSE,IF(OR(IF(ISERROR('Model inputs'!O28=1),'Model inputs'!O28=1,IF('Model inputs'!O28="","",'Model inputs'!O28=1))="",'Model inputs'!B934="",'Model inputs'!B935=""),"",AND(IF(ISERROR('Model inputs'!O28=1),'Model inputs'!O28=1,IF('Model inputs'!O28="","",'Model inputs'!O28=1)),'Model inputs'!B934,'Model inputs'!B935)))))),IF('DealScope conditional cash and'!B5="",0,'DealScope conditional cash and'!B5)/'DealScope forecast overview'!B14,"")</f>
        <v/>
      </c>
      <c r="C6" t="str" s="9">
        <f>IF(IF(IF(IFERROR(IF(ISERROR('Model inputs'!O28=1),'Model inputs'!O28=1,IF('Model inputs'!O28="","",'Model inputs'!O28=1))=FALSE,FALSE),FALSE,IF(IFERROR('Model inputs'!B934=FALSE,FALSE),FALSE,IF(IFERROR('Model inputs'!B936=FALSE,FALSE),FALSE,IF(OR(IF(ISERROR('Model inputs'!O28=1),'Model inputs'!O28=1,IF('Model inputs'!O28="","",'Model inputs'!O28=1))="",'Model inputs'!B934="",'Model inputs'!B936=""),"",AND(IF(ISERROR('Model inputs'!O28=1),'Model inputs'!O28=1,IF('Model inputs'!O28="","",'Model inputs'!O28=1)),'Model inputs'!B934,'Model inputs'!B936)))))="",FALSE,IF(IFERROR(IF(ISERROR('Model inputs'!O28=1),'Model inputs'!O28=1,IF('Model inputs'!O28="","",'Model inputs'!O28=1))=FALSE,FALSE),FALSE,IF(IFERROR('Model inputs'!B934=FALSE,FALSE),FALSE,IF(IFERROR('Model inputs'!B936=FALSE,FALSE),FALSE,IF(OR(IF(ISERROR('Model inputs'!O28=1),'Model inputs'!O28=1,IF('Model inputs'!O28="","",'Model inputs'!O28=1))="",'Model inputs'!B934="",'Model inputs'!B936=""),"",AND(IF(ISERROR('Model inputs'!O28=1),'Model inputs'!O28=1,IF('Model inputs'!O28="","",'Model inputs'!O28=1)),'Model inputs'!B934,'Model inputs'!B936)))))),IF('DealScope conditional cash and'!C5="",0,'DealScope conditional cash and'!C5)/'DealScope forecast overview'!B14,"")</f>
        <v/>
      </c>
      <c r="D6" t="str" s="9">
        <f>IF(IF(IF(IFERROR(IF(ISERROR('Model inputs'!O28=1),'Model inputs'!O28=1,IF('Model inputs'!O28="","",'Model inputs'!O28=1))=FALSE,FALSE),FALSE,IF(IFERROR('Model inputs'!B934=FALSE,FALSE),FALSE,IF(IFERROR('Model inputs'!B937=FALSE,FALSE),FALSE,IF(OR(IF(ISERROR('Model inputs'!O28=1),'Model inputs'!O28=1,IF('Model inputs'!O28="","",'Model inputs'!O28=1))="",'Model inputs'!B934="",'Model inputs'!B937=""),"",AND(IF(ISERROR('Model inputs'!O28=1),'Model inputs'!O28=1,IF('Model inputs'!O28="","",'Model inputs'!O28=1)),'Model inputs'!B934,'Model inputs'!B937)))))="",FALSE,IF(IFERROR(IF(ISERROR('Model inputs'!O28=1),'Model inputs'!O28=1,IF('Model inputs'!O28="","",'Model inputs'!O28=1))=FALSE,FALSE),FALSE,IF(IFERROR('Model inputs'!B934=FALSE,FALSE),FALSE,IF(IFERROR('Model inputs'!B937=FALSE,FALSE),FALSE,IF(OR(IF(ISERROR('Model inputs'!O28=1),'Model inputs'!O28=1,IF('Model inputs'!O28="","",'Model inputs'!O28=1))="",'Model inputs'!B934="",'Model inputs'!B937=""),"",AND(IF(ISERROR('Model inputs'!O28=1),'Model inputs'!O28=1,IF('Model inputs'!O28="","",'Model inputs'!O28=1)),'Model inputs'!B934,'Model inputs'!B937)))))),IF('DealScope conditional cash and'!D5="",0,'DealScope conditional cash and'!D5)/'DealScope forecast overview'!B14,"")</f>
        <v/>
      </c>
      <c r="E6" t="str" s="9">
        <f>IF(IF(IF(IFERROR(IF(ISERROR('Model inputs'!O28=1),'Model inputs'!O28=1,IF('Model inputs'!O28="","",'Model inputs'!O28=1))=FALSE,FALSE),FALSE,IF(IFERROR('Model inputs'!B934=FALSE,FALSE),FALSE,IF(IFERROR('Model inputs'!B938=FALSE,FALSE),FALSE,IF(OR(IF(ISERROR('Model inputs'!O28=1),'Model inputs'!O28=1,IF('Model inputs'!O28="","",'Model inputs'!O28=1))="",'Model inputs'!B934="",'Model inputs'!B938=""),"",AND(IF(ISERROR('Model inputs'!O28=1),'Model inputs'!O28=1,IF('Model inputs'!O28="","",'Model inputs'!O28=1)),'Model inputs'!B934,'Model inputs'!B938)))))="",FALSE,IF(IFERROR(IF(ISERROR('Model inputs'!O28=1),'Model inputs'!O28=1,IF('Model inputs'!O28="","",'Model inputs'!O28=1))=FALSE,FALSE),FALSE,IF(IFERROR('Model inputs'!B934=FALSE,FALSE),FALSE,IF(IFERROR('Model inputs'!B938=FALSE,FALSE),FALSE,IF(OR(IF(ISERROR('Model inputs'!O28=1),'Model inputs'!O28=1,IF('Model inputs'!O28="","",'Model inputs'!O28=1))="",'Model inputs'!B934="",'Model inputs'!B938=""),"",AND(IF(ISERROR('Model inputs'!O28=1),'Model inputs'!O28=1,IF('Model inputs'!O28="","",'Model inputs'!O28=1)),'Model inputs'!B934,'Model inputs'!B938)))))),IF('DealScope conditional cash and'!E5="",0,'DealScope conditional cash and'!E5)/'DealScope forecast overview'!B14,"")</f>
        <v/>
      </c>
      <c r="F6" t="str" s="9">
        <f>IF(IF(IF(IFERROR(IF(ISERROR('Model inputs'!O28=1),'Model inputs'!O28=1,IF('Model inputs'!O28="","",'Model inputs'!O28=1))=FALSE,FALSE),FALSE,IF(IFERROR('Model inputs'!B934=FALSE,FALSE),FALSE,IF(IFERROR('Model inputs'!B939=FALSE,FALSE),FALSE,IF(OR(IF(ISERROR('Model inputs'!O28=1),'Model inputs'!O28=1,IF('Model inputs'!O28="","",'Model inputs'!O28=1))="",'Model inputs'!B934="",'Model inputs'!B939=""),"",AND(IF(ISERROR('Model inputs'!O28=1),'Model inputs'!O28=1,IF('Model inputs'!O28="","",'Model inputs'!O28=1)),'Model inputs'!B934,'Model inputs'!B939)))))="",FALSE,IF(IFERROR(IF(ISERROR('Model inputs'!O28=1),'Model inputs'!O28=1,IF('Model inputs'!O28="","",'Model inputs'!O28=1))=FALSE,FALSE),FALSE,IF(IFERROR('Model inputs'!B934=FALSE,FALSE),FALSE,IF(IFERROR('Model inputs'!B939=FALSE,FALSE),FALSE,IF(OR(IF(ISERROR('Model inputs'!O28=1),'Model inputs'!O28=1,IF('Model inputs'!O28="","",'Model inputs'!O28=1))="",'Model inputs'!B934="",'Model inputs'!B939=""),"",AND(IF(ISERROR('Model inputs'!O28=1),'Model inputs'!O28=1,IF('Model inputs'!O28="","",'Model inputs'!O28=1)),'Model inputs'!B934,'Model inputs'!B939)))))),IF('DealScope conditional cash and'!F5="",0,'DealScope conditional cash and'!F5)/'DealScope forecast overview'!B14,"")</f>
        <v/>
      </c>
      <c r="G6" t="str" s="9">
        <f>IF(IF(IF(IFERROR(IF(ISERROR('Model inputs'!O28=1),'Model inputs'!O28=1,IF('Model inputs'!O28="","",'Model inputs'!O28=1))=FALSE,FALSE),FALSE,IF(IFERROR('Model inputs'!B934=FALSE,FALSE),FALSE,IF(IFERROR('Model inputs'!B940=FALSE,FALSE),FALSE,IF(OR(IF(ISERROR('Model inputs'!O28=1),'Model inputs'!O28=1,IF('Model inputs'!O28="","",'Model inputs'!O28=1))="",'Model inputs'!B934="",'Model inputs'!B940=""),"",AND(IF(ISERROR('Model inputs'!O28=1),'Model inputs'!O28=1,IF('Model inputs'!O28="","",'Model inputs'!O28=1)),'Model inputs'!B934,'Model inputs'!B940)))))="",FALSE,IF(IFERROR(IF(ISERROR('Model inputs'!O28=1),'Model inputs'!O28=1,IF('Model inputs'!O28="","",'Model inputs'!O28=1))=FALSE,FALSE),FALSE,IF(IFERROR('Model inputs'!B934=FALSE,FALSE),FALSE,IF(IFERROR('Model inputs'!B940=FALSE,FALSE),FALSE,IF(OR(IF(ISERROR('Model inputs'!O28=1),'Model inputs'!O28=1,IF('Model inputs'!O28="","",'Model inputs'!O28=1))="",'Model inputs'!B934="",'Model inputs'!B940=""),"",AND(IF(ISERROR('Model inputs'!O28=1),'Model inputs'!O28=1,IF('Model inputs'!O28="","",'Model inputs'!O28=1)),'Model inputs'!B934,'Model inputs'!B940)))))),IF('DealScope conditional cash and'!G5="",0,'DealScope conditional cash and'!G5)/'DealScope forecast overview'!B14,"")</f>
        <v/>
      </c>
      <c r="H6" t="str" s="9">
        <f>IF(IF(IF(IFERROR(IF(ISERROR('Model inputs'!O28=1),'Model inputs'!O28=1,IF('Model inputs'!O28="","",'Model inputs'!O28=1))=FALSE,FALSE),FALSE,IF(IFERROR('Model inputs'!B934=FALSE,FALSE),FALSE,IF(IFERROR('Model inputs'!B941=FALSE,FALSE),FALSE,IF(OR(IF(ISERROR('Model inputs'!O28=1),'Model inputs'!O28=1,IF('Model inputs'!O28="","",'Model inputs'!O28=1))="",'Model inputs'!B934="",'Model inputs'!B941=""),"",AND(IF(ISERROR('Model inputs'!O28=1),'Model inputs'!O28=1,IF('Model inputs'!O28="","",'Model inputs'!O28=1)),'Model inputs'!B934,'Model inputs'!B941)))))="",FALSE,IF(IFERROR(IF(ISERROR('Model inputs'!O28=1),'Model inputs'!O28=1,IF('Model inputs'!O28="","",'Model inputs'!O28=1))=FALSE,FALSE),FALSE,IF(IFERROR('Model inputs'!B934=FALSE,FALSE),FALSE,IF(IFERROR('Model inputs'!B941=FALSE,FALSE),FALSE,IF(OR(IF(ISERROR('Model inputs'!O28=1),'Model inputs'!O28=1,IF('Model inputs'!O28="","",'Model inputs'!O28=1))="",'Model inputs'!B934="",'Model inputs'!B941=""),"",AND(IF(ISERROR('Model inputs'!O28=1),'Model inputs'!O28=1,IF('Model inputs'!O28="","",'Model inputs'!O28=1)),'Model inputs'!B934,'Model inputs'!B941)))))),IF('DealScope conditional cash and'!H5="",0,'DealScope conditional cash and'!H5)/'DealScope forecast overview'!B14,"")</f>
        <v/>
      </c>
      <c r="I6" t="str" s="9">
        <f>IF(IF(IF(IFERROR(IF(ISERROR('Model inputs'!O28=1),'Model inputs'!O28=1,IF('Model inputs'!O28="","",'Model inputs'!O28=1))=FALSE,FALSE),FALSE,IF(IFERROR('Model inputs'!B934=FALSE,FALSE),FALSE,IF(IFERROR('Model inputs'!B942=FALSE,FALSE),FALSE,IF(OR(IF(ISERROR('Model inputs'!O28=1),'Model inputs'!O28=1,IF('Model inputs'!O28="","",'Model inputs'!O28=1))="",'Model inputs'!B934="",'Model inputs'!B942=""),"",AND(IF(ISERROR('Model inputs'!O28=1),'Model inputs'!O28=1,IF('Model inputs'!O28="","",'Model inputs'!O28=1)),'Model inputs'!B934,'Model inputs'!B942)))))="",FALSE,IF(IFERROR(IF(ISERROR('Model inputs'!O28=1),'Model inputs'!O28=1,IF('Model inputs'!O28="","",'Model inputs'!O28=1))=FALSE,FALSE),FALSE,IF(IFERROR('Model inputs'!B934=FALSE,FALSE),FALSE,IF(IFERROR('Model inputs'!B942=FALSE,FALSE),FALSE,IF(OR(IF(ISERROR('Model inputs'!O28=1),'Model inputs'!O28=1,IF('Model inputs'!O28="","",'Model inputs'!O28=1))="",'Model inputs'!B934="",'Model inputs'!B942=""),"",AND(IF(ISERROR('Model inputs'!O28=1),'Model inputs'!O28=1,IF('Model inputs'!O28="","",'Model inputs'!O28=1)),'Model inputs'!B934,'Model inputs'!B942)))))),IF('DealScope conditional cash and'!I5="",0,'DealScope conditional cash and'!I5)/'DealScope forecast overview'!B14,"")</f>
        <v/>
      </c>
      <c r="J6" t="str" s="9">
        <f>IF(IF(IF(IFERROR(IF(ISERROR('Model inputs'!O28=1),'Model inputs'!O28=1,IF('Model inputs'!O28="","",'Model inputs'!O28=1))=FALSE,FALSE),FALSE,IF(IFERROR('Model inputs'!B934=FALSE,FALSE),FALSE,IF(IFERROR('Model inputs'!B943=FALSE,FALSE),FALSE,IF(OR(IF(ISERROR('Model inputs'!O28=1),'Model inputs'!O28=1,IF('Model inputs'!O28="","",'Model inputs'!O28=1))="",'Model inputs'!B934="",'Model inputs'!B943=""),"",AND(IF(ISERROR('Model inputs'!O28=1),'Model inputs'!O28=1,IF('Model inputs'!O28="","",'Model inputs'!O28=1)),'Model inputs'!B934,'Model inputs'!B943)))))="",FALSE,IF(IFERROR(IF(ISERROR('Model inputs'!O28=1),'Model inputs'!O28=1,IF('Model inputs'!O28="","",'Model inputs'!O28=1))=FALSE,FALSE),FALSE,IF(IFERROR('Model inputs'!B934=FALSE,FALSE),FALSE,IF(IFERROR('Model inputs'!B943=FALSE,FALSE),FALSE,IF(OR(IF(ISERROR('Model inputs'!O28=1),'Model inputs'!O28=1,IF('Model inputs'!O28="","",'Model inputs'!O28=1))="",'Model inputs'!B934="",'Model inputs'!B943=""),"",AND(IF(ISERROR('Model inputs'!O28=1),'Model inputs'!O28=1,IF('Model inputs'!O28="","",'Model inputs'!O28=1)),'Model inputs'!B934,'Model inputs'!B943)))))),IF('DealScope conditional cash and'!J5="",0,'DealScope conditional cash and'!J5)/'DealScope forecast overview'!B14,"")</f>
        <v/>
      </c>
      <c r="K6" t="str" s="9">
        <f>IF(IF(IF(IFERROR(IF(ISERROR('Model inputs'!O28=1),'Model inputs'!O28=1,IF('Model inputs'!O28="","",'Model inputs'!O28=1))=FALSE,FALSE),FALSE,IF(IFERROR('Model inputs'!B934=FALSE,FALSE),FALSE,IF(IFERROR('Model inputs'!B944=FALSE,FALSE),FALSE,IF(OR(IF(ISERROR('Model inputs'!O28=1),'Model inputs'!O28=1,IF('Model inputs'!O28="","",'Model inputs'!O28=1))="",'Model inputs'!B934="",'Model inputs'!B944=""),"",AND(IF(ISERROR('Model inputs'!O28=1),'Model inputs'!O28=1,IF('Model inputs'!O28="","",'Model inputs'!O28=1)),'Model inputs'!B934,'Model inputs'!B944)))))="",FALSE,IF(IFERROR(IF(ISERROR('Model inputs'!O28=1),'Model inputs'!O28=1,IF('Model inputs'!O28="","",'Model inputs'!O28=1))=FALSE,FALSE),FALSE,IF(IFERROR('Model inputs'!B934=FALSE,FALSE),FALSE,IF(IFERROR('Model inputs'!B944=FALSE,FALSE),FALSE,IF(OR(IF(ISERROR('Model inputs'!O28=1),'Model inputs'!O28=1,IF('Model inputs'!O28="","",'Model inputs'!O28=1))="",'Model inputs'!B934="",'Model inputs'!B944=""),"",AND(IF(ISERROR('Model inputs'!O28=1),'Model inputs'!O28=1,IF('Model inputs'!O28="","",'Model inputs'!O28=1)),'Model inputs'!B934,'Model inputs'!B944)))))),IF('DealScope conditional cash and'!K5="",0,'DealScope conditional cash and'!K5)/'DealScope forecast overview'!B14,"")</f>
        <v/>
      </c>
      <c r="L6" t="str" s="9">
        <f>IF(IF(IF(IFERROR(IF(ISERROR('Model inputs'!O28=1),'Model inputs'!O28=1,IF('Model inputs'!O28="","",'Model inputs'!O28=1))=FALSE,FALSE),FALSE,IF(IFERROR('Model inputs'!B934=FALSE,FALSE),FALSE,IF(IFERROR('Model inputs'!B945=FALSE,FALSE),FALSE,IF(OR(IF(ISERROR('Model inputs'!O28=1),'Model inputs'!O28=1,IF('Model inputs'!O28="","",'Model inputs'!O28=1))="",'Model inputs'!B934="",'Model inputs'!B945=""),"",AND(IF(ISERROR('Model inputs'!O28=1),'Model inputs'!O28=1,IF('Model inputs'!O28="","",'Model inputs'!O28=1)),'Model inputs'!B934,'Model inputs'!B945)))))="",FALSE,IF(IFERROR(IF(ISERROR('Model inputs'!O28=1),'Model inputs'!O28=1,IF('Model inputs'!O28="","",'Model inputs'!O28=1))=FALSE,FALSE),FALSE,IF(IFERROR('Model inputs'!B934=FALSE,FALSE),FALSE,IF(IFERROR('Model inputs'!B945=FALSE,FALSE),FALSE,IF(OR(IF(ISERROR('Model inputs'!O28=1),'Model inputs'!O28=1,IF('Model inputs'!O28="","",'Model inputs'!O28=1))="",'Model inputs'!B934="",'Model inputs'!B945=""),"",AND(IF(ISERROR('Model inputs'!O28=1),'Model inputs'!O28=1,IF('Model inputs'!O28="","",'Model inputs'!O28=1)),'Model inputs'!B934,'Model inputs'!B945)))))),IF('DealScope conditional cash and'!L5="",0,'DealScope conditional cash and'!L5)/'DealScope forecast overview'!B14,"")</f>
        <v/>
      </c>
      <c r="M6" t="str" s="9">
        <f>IF(IF(IF(IFERROR(IF(ISERROR('Model inputs'!O28=1),'Model inputs'!O28=1,IF('Model inputs'!O28="","",'Model inputs'!O28=1))=FALSE,FALSE),FALSE,IF(IFERROR('Model inputs'!B934=FALSE,FALSE),FALSE,IF(IFERROR('Model inputs'!B946=FALSE,FALSE),FALSE,IF(OR(IF(ISERROR('Model inputs'!O28=1),'Model inputs'!O28=1,IF('Model inputs'!O28="","",'Model inputs'!O28=1))="",'Model inputs'!B934="",'Model inputs'!B946=""),"",AND(IF(ISERROR('Model inputs'!O28=1),'Model inputs'!O28=1,IF('Model inputs'!O28="","",'Model inputs'!O28=1)),'Model inputs'!B934,'Model inputs'!B946)))))="",FALSE,IF(IFERROR(IF(ISERROR('Model inputs'!O28=1),'Model inputs'!O28=1,IF('Model inputs'!O28="","",'Model inputs'!O28=1))=FALSE,FALSE),FALSE,IF(IFERROR('Model inputs'!B934=FALSE,FALSE),FALSE,IF(IFERROR('Model inputs'!B946=FALSE,FALSE),FALSE,IF(OR(IF(ISERROR('Model inputs'!O28=1),'Model inputs'!O28=1,IF('Model inputs'!O28="","",'Model inputs'!O28=1))="",'Model inputs'!B934="",'Model inputs'!B946=""),"",AND(IF(ISERROR('Model inputs'!O28=1),'Model inputs'!O28=1,IF('Model inputs'!O28="","",'Model inputs'!O28=1)),'Model inputs'!B934,'Model inputs'!B946)))))),IF('DealScope conditional cash and'!M5="",0,'DealScope conditional cash and'!M5)/'DealScope forecast overview'!B14,"")</f>
        <v/>
      </c>
    </row>
    <row r="7">
      <c r="A7" t="inlineStr" s="8">
        <is>
          <t xml:space="preserve">Cumulative funding gap</t>
        </is>
      </c>
      <c r="B7" s="10">
        <f>MAX(IF(IF(IF(IF(ISERROR('Model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inputs'!B47))="",0,IF(IF(IF(ISERROR('Model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inputs'!B47)))+'DealScope 12-month financial pr'!B18,0)</f>
        <v>0</v>
      </c>
      <c r="C7" s="10">
        <f>MAX(IF(IF(IF(IF(ISERROR('Model inputs'!D105=1),'Model inputs'!D105=1,IF('Model inputs'!D105="","",'Model inputs'!D105=1))="",FALSE,IF(ISERROR('Model inputs'!D105=1),'Model inputs'!D105=1,IF('Model inputs'!D105="","",'Model inputs'!D105=1))),0,IF('DealScope 12-month financial pr'!B19="","",'DealScope 12-month financial pr'!B19))="",0,IF(IF(IF(ISERROR('Model inputs'!D105=1),'Model inputs'!D105=1,IF('Model inputs'!D105="","",'Model inputs'!D105=1))="",FALSE,IF(ISERROR('Model inputs'!D105=1),'Model inputs'!D105=1,IF('Model inputs'!D105="","",'Model inputs'!D105=1))),0,IF('DealScope 12-month financial pr'!B19="","",'DealScope 12-month financial pr'!B19)))+'DealScope 12-month financial pr'!C18,0)</f>
        <v>0</v>
      </c>
      <c r="D7" s="10">
        <f>MAX(IF(IF(IF(IF(ISERROR('Model inputs'!E105=1),'Model inputs'!E105=1,IF('Model inputs'!E105="","",'Model inputs'!E105=1))="",FALSE,IF(ISERROR('Model inputs'!E105=1),'Model inputs'!E105=1,IF('Model inputs'!E105="","",'Model inputs'!E105=1))),0,IF('DealScope 12-month financial pr'!C19="","",'DealScope 12-month financial pr'!C19))="",0,IF(IF(IF(ISERROR('Model inputs'!E105=1),'Model inputs'!E105=1,IF('Model inputs'!E105="","",'Model inputs'!E105=1))="",FALSE,IF(ISERROR('Model inputs'!E105=1),'Model inputs'!E105=1,IF('Model inputs'!E105="","",'Model inputs'!E105=1))),0,IF('DealScope 12-month financial pr'!C19="","",'DealScope 12-month financial pr'!C19)))+'DealScope 12-month financial pr'!D18,0)</f>
        <v>0</v>
      </c>
      <c r="E7" s="10">
        <f>MAX(IF(IF(IF(IF(ISERROR('Model inputs'!F105=1),'Model inputs'!F105=1,IF('Model inputs'!F105="","",'Model inputs'!F105=1))="",FALSE,IF(ISERROR('Model inputs'!F105=1),'Model inputs'!F105=1,IF('Model inputs'!F105="","",'Model inputs'!F105=1))),0,IF('DealScope 12-month financial pr'!D19="","",'DealScope 12-month financial pr'!D19))="",0,IF(IF(IF(ISERROR('Model inputs'!F105=1),'Model inputs'!F105=1,IF('Model inputs'!F105="","",'Model inputs'!F105=1))="",FALSE,IF(ISERROR('Model inputs'!F105=1),'Model inputs'!F105=1,IF('Model inputs'!F105="","",'Model inputs'!F105=1))),0,IF('DealScope 12-month financial pr'!D19="","",'DealScope 12-month financial pr'!D19)))+'DealScope 12-month financial pr'!E18,0)</f>
        <v>0</v>
      </c>
      <c r="F7" s="10">
        <f>MAX(IF(IF(IF(IF(ISERROR('Model inputs'!G105=1),'Model inputs'!G105=1,IF('Model inputs'!G105="","",'Model inputs'!G105=1))="",FALSE,IF(ISERROR('Model inputs'!G105=1),'Model inputs'!G105=1,IF('Model inputs'!G105="","",'Model inputs'!G105=1))),0,IF('DealScope 12-month financial pr'!E19="","",'DealScope 12-month financial pr'!E19))="",0,IF(IF(IF(ISERROR('Model inputs'!G105=1),'Model inputs'!G105=1,IF('Model inputs'!G105="","",'Model inputs'!G105=1))="",FALSE,IF(ISERROR('Model inputs'!G105=1),'Model inputs'!G105=1,IF('Model inputs'!G105="","",'Model inputs'!G105=1))),0,IF('DealScope 12-month financial pr'!E19="","",'DealScope 12-month financial pr'!E19)))+'DealScope 12-month financial pr'!F18,0)</f>
        <v>0</v>
      </c>
      <c r="G7" s="10">
        <f>MAX(IF(IF(IF(IF(ISERROR('Model inputs'!H105=1),'Model inputs'!H105=1,IF('Model inputs'!H105="","",'Model inputs'!H105=1))="",FALSE,IF(ISERROR('Model inputs'!H105=1),'Model inputs'!H105=1,IF('Model inputs'!H105="","",'Model inputs'!H105=1))),0,IF('DealScope 12-month financial pr'!F19="","",'DealScope 12-month financial pr'!F19))="",0,IF(IF(IF(ISERROR('Model inputs'!H105=1),'Model inputs'!H105=1,IF('Model inputs'!H105="","",'Model inputs'!H105=1))="",FALSE,IF(ISERROR('Model inputs'!H105=1),'Model inputs'!H105=1,IF('Model inputs'!H105="","",'Model inputs'!H105=1))),0,IF('DealScope 12-month financial pr'!F19="","",'DealScope 12-month financial pr'!F19)))+'DealScope 12-month financial pr'!G18,0)</f>
        <v>0</v>
      </c>
      <c r="H7" s="10">
        <f>MAX(IF(IF(IF(IF(ISERROR('Model inputs'!I105=1),'Model inputs'!I105=1,IF('Model inputs'!I105="","",'Model inputs'!I105=1))="",FALSE,IF(ISERROR('Model inputs'!I105=1),'Model inputs'!I105=1,IF('Model inputs'!I105="","",'Model inputs'!I105=1))),0,IF('DealScope 12-month financial pr'!G19="","",'DealScope 12-month financial pr'!G19))="",0,IF(IF(IF(ISERROR('Model inputs'!I105=1),'Model inputs'!I105=1,IF('Model inputs'!I105="","",'Model inputs'!I105=1))="",FALSE,IF(ISERROR('Model inputs'!I105=1),'Model inputs'!I105=1,IF('Model inputs'!I105="","",'Model inputs'!I105=1))),0,IF('DealScope 12-month financial pr'!G19="","",'DealScope 12-month financial pr'!G19)))+'DealScope 12-month financial pr'!H18,0)</f>
        <v>0</v>
      </c>
      <c r="I7" s="10">
        <f>MAX(IF(IF(IF(IF(ISERROR('Model inputs'!J105=1),'Model inputs'!J105=1,IF('Model inputs'!J105="","",'Model inputs'!J105=1))="",FALSE,IF(ISERROR('Model inputs'!J105=1),'Model inputs'!J105=1,IF('Model inputs'!J105="","",'Model inputs'!J105=1))),0,IF('DealScope 12-month financial pr'!H19="","",'DealScope 12-month financial pr'!H19))="",0,IF(IF(IF(ISERROR('Model inputs'!J105=1),'Model inputs'!J105=1,IF('Model inputs'!J105="","",'Model inputs'!J105=1))="",FALSE,IF(ISERROR('Model inputs'!J105=1),'Model inputs'!J105=1,IF('Model inputs'!J105="","",'Model inputs'!J105=1))),0,IF('DealScope 12-month financial pr'!H19="","",'DealScope 12-month financial pr'!H19)))+'DealScope 12-month financial pr'!I18,0)</f>
        <v>0</v>
      </c>
      <c r="J7" s="10">
        <f>MAX(IF(IF(IF(IF(ISERROR('Model inputs'!K105=1),'Model inputs'!K105=1,IF('Model inputs'!K105="","",'Model inputs'!K105=1))="",FALSE,IF(ISERROR('Model inputs'!K105=1),'Model inputs'!K105=1,IF('Model inputs'!K105="","",'Model inputs'!K105=1))),0,IF('DealScope 12-month financial pr'!I19="","",'DealScope 12-month financial pr'!I19))="",0,IF(IF(IF(ISERROR('Model inputs'!K105=1),'Model inputs'!K105=1,IF('Model inputs'!K105="","",'Model inputs'!K105=1))="",FALSE,IF(ISERROR('Model inputs'!K105=1),'Model inputs'!K105=1,IF('Model inputs'!K105="","",'Model inputs'!K105=1))),0,IF('DealScope 12-month financial pr'!I19="","",'DealScope 12-month financial pr'!I19)))+'DealScope 12-month financial pr'!J18,0)</f>
        <v>0</v>
      </c>
      <c r="K7" s="10">
        <f>MAX(IF(IF(IF(IF(ISERROR('Model inputs'!L105=1),'Model inputs'!L105=1,IF('Model inputs'!L105="","",'Model inputs'!L105=1))="",FALSE,IF(ISERROR('Model inputs'!L105=1),'Model inputs'!L105=1,IF('Model inputs'!L105="","",'Model inputs'!L105=1))),0,IF('DealScope 12-month financial pr'!J19="","",'DealScope 12-month financial pr'!J19))="",0,IF(IF(IF(ISERROR('Model inputs'!L105=1),'Model inputs'!L105=1,IF('Model inputs'!L105="","",'Model inputs'!L105=1))="",FALSE,IF(ISERROR('Model inputs'!L105=1),'Model inputs'!L105=1,IF('Model inputs'!L105="","",'Model inputs'!L105=1))),0,IF('DealScope 12-month financial pr'!J19="","",'DealScope 12-month financial pr'!J19)))+'DealScope 12-month financial pr'!K18,0)</f>
        <v>0</v>
      </c>
      <c r="L7" s="10">
        <f>MAX(IF(IF(IF(IF(ISERROR('Model inputs'!M105=1),'Model inputs'!M105=1,IF('Model inputs'!M105="","",'Model inputs'!M105=1))="",FALSE,IF(ISERROR('Model inputs'!M105=1),'Model inputs'!M105=1,IF('Model inputs'!M105="","",'Model inputs'!M105=1))),0,IF('DealScope 12-month financial pr'!K19="","",'DealScope 12-month financial pr'!K19))="",0,IF(IF(IF(ISERROR('Model inputs'!M105=1),'Model inputs'!M105=1,IF('Model inputs'!M105="","",'Model inputs'!M105=1))="",FALSE,IF(ISERROR('Model inputs'!M105=1),'Model inputs'!M105=1,IF('Model inputs'!M105="","",'Model inputs'!M105=1))),0,IF('DealScope 12-month financial pr'!K19="","",'DealScope 12-month financial pr'!K19)))+'DealScope 12-month financial pr'!L18,0)</f>
        <v>0</v>
      </c>
      <c r="M7" s="10">
        <f>MAX(IF(IF(IF(IF(ISERROR('Model inputs'!N105=1),'Model inputs'!N105=1,IF('Model inputs'!N105="","",'Model inputs'!N105=1))="",FALSE,IF(ISERROR('Model inputs'!N105=1),'Model inputs'!N105=1,IF('Model inputs'!N105="","",'Model inputs'!N105=1))),0,IF('DealScope 12-month financial pr'!L19="","",'DealScope 12-month financial pr'!L19))="",0,IF(IF(IF(ISERROR('Model inputs'!N105=1),'Model inputs'!N105=1,IF('Model inputs'!N105="","",'Model inputs'!N105=1))="",FALSE,IF(ISERROR('Model inputs'!N105=1),'Model inputs'!N105=1,IF('Model inputs'!N105="","",'Model inputs'!N105=1))),0,IF('DealScope 12-month financial pr'!L19="","",'DealScope 12-month financial pr'!L19)))+'DealScope 12-month financial pr'!M18,0)</f>
        <v>0</v>
      </c>
    </row>
    <row r="8">
      <c r="A8" t="inlineStr" s="6">
        <is>
          <t xml:space="preserve">Deferred subscription revenue</t>
        </is>
      </c>
      <c r="B8" s="12">
        <f>IF(IF(IF(IF(ISERROR('Model inputs'!C105=1),'Model inputs'!C105=1,IF('Model inputs'!C105="","",'Model inputs'!C105=1))="",FALSE,IF(ISERROR('Model inputs'!C105=1),'Model inputs'!C105=1,IF('Model inputs'!C105="","",'Model inputs'!C105=1))),0,IF('Model inputs'!B49="","",'Model inputs'!B49))="",0,IF(IF(IF(ISERROR('Model inputs'!C105=1),'Model inputs'!C105=1,IF('Model inputs'!C105="","",'Model inputs'!C105=1))="",FALSE,IF(ISERROR('Model inputs'!C105=1),'Model inputs'!C105=1,IF('Model inputs'!C105="","",'Model inputs'!C105=1))),0,IF('Model inputs'!B49="","",'Model inputs'!B49)))+'DealScope 12-month financial pr'!B16-'DealScope 12-month financial pr'!B7</f>
        <v>27500</v>
      </c>
      <c r="C8" s="12">
        <f>IF(IF(IF(IF(ISERROR('Model inputs'!D105=1),'Model inputs'!D105=1,IF('Model inputs'!D105="","",'Model inputs'!D105=1))="",FALSE,IF(ISERROR('Model inputs'!D105=1),'Model inputs'!D105=1,IF('Model inputs'!D105="","",'Model inputs'!D105=1))),0,IF('DealScope conditional cash and'!B8="","",'DealScope conditional cash and'!B8))="",0,IF(IF(IF(ISERROR('Model inputs'!D105=1),'Model inputs'!D105=1,IF('Model inputs'!D105="","",'Model inputs'!D105=1))="",FALSE,IF(ISERROR('Model inputs'!D105=1),'Model inputs'!D105=1,IF('Model inputs'!D105="","",'Model inputs'!D105=1))),0,IF('DealScope conditional cash and'!B8="","",'DealScope conditional cash and'!B8)))+'DealScope 12-month financial pr'!C16-'DealScope 12-month financial pr'!C7</f>
        <v>52500</v>
      </c>
      <c r="D8" s="12">
        <f>IF(IF(IF(IF(ISERROR('Model inputs'!E105=1),'Model inputs'!E105=1,IF('Model inputs'!E105="","",'Model inputs'!E105=1))="",FALSE,IF(ISERROR('Model inputs'!E105=1),'Model inputs'!E105=1,IF('Model inputs'!E105="","",'Model inputs'!E105=1))),0,IF('DealScope conditional cash and'!C8="","",'DealScope conditional cash and'!C8))="",0,IF(IF(IF(ISERROR('Model inputs'!E105=1),'Model inputs'!E105=1,IF('Model inputs'!E105="","",'Model inputs'!E105=1))="",FALSE,IF(ISERROR('Model inputs'!E105=1),'Model inputs'!E105=1,IF('Model inputs'!E105="","",'Model inputs'!E105=1))),0,IF('DealScope conditional cash and'!C8="","",'DealScope conditional cash and'!C8)))+'DealScope 12-month financial pr'!D16-'DealScope 12-month financial pr'!D7</f>
        <v>75000</v>
      </c>
      <c r="E8" s="12">
        <f>IF(IF(IF(IF(ISERROR('Model inputs'!F105=1),'Model inputs'!F105=1,IF('Model inputs'!F105="","",'Model inputs'!F105=1))="",FALSE,IF(ISERROR('Model inputs'!F105=1),'Model inputs'!F105=1,IF('Model inputs'!F105="","",'Model inputs'!F105=1))),0,IF('DealScope conditional cash and'!D8="","",'DealScope conditional cash and'!D8))="",0,IF(IF(IF(ISERROR('Model inputs'!F105=1),'Model inputs'!F105=1,IF('Model inputs'!F105="","",'Model inputs'!F105=1))="",FALSE,IF(ISERROR('Model inputs'!F105=1),'Model inputs'!F105=1,IF('Model inputs'!F105="","",'Model inputs'!F105=1))),0,IF('DealScope conditional cash and'!D8="","",'DealScope conditional cash and'!D8)))+'DealScope 12-month financial pr'!E16-'DealScope 12-month financial pr'!E7</f>
        <v>95000</v>
      </c>
      <c r="F8" s="12">
        <f>IF(IF(IF(IF(ISERROR('Model inputs'!G105=1),'Model inputs'!G105=1,IF('Model inputs'!G105="","",'Model inputs'!G105=1))="",FALSE,IF(ISERROR('Model inputs'!G105=1),'Model inputs'!G105=1,IF('Model inputs'!G105="","",'Model inputs'!G105=1))),0,IF('DealScope conditional cash and'!E8="","",'DealScope conditional cash and'!E8))="",0,IF(IF(IF(ISERROR('Model inputs'!G105=1),'Model inputs'!G105=1,IF('Model inputs'!G105="","",'Model inputs'!G105=1))="",FALSE,IF(ISERROR('Model inputs'!G105=1),'Model inputs'!G105=1,IF('Model inputs'!G105="","",'Model inputs'!G105=1))),0,IF('DealScope conditional cash and'!E8="","",'DealScope conditional cash and'!E8)))+'DealScope 12-month financial pr'!F16-'DealScope 12-month financial pr'!F7</f>
        <v>112500</v>
      </c>
      <c r="G8" s="12">
        <f>IF(IF(IF(IF(ISERROR('Model inputs'!H105=1),'Model inputs'!H105=1,IF('Model inputs'!H105="","",'Model inputs'!H105=1))="",FALSE,IF(ISERROR('Model inputs'!H105=1),'Model inputs'!H105=1,IF('Model inputs'!H105="","",'Model inputs'!H105=1))),0,IF('DealScope conditional cash and'!F8="","",'DealScope conditional cash and'!F8))="",0,IF(IF(IF(ISERROR('Model inputs'!H105=1),'Model inputs'!H105=1,IF('Model inputs'!H105="","",'Model inputs'!H105=1))="",FALSE,IF(ISERROR('Model inputs'!H105=1),'Model inputs'!H105=1,IF('Model inputs'!H105="","",'Model inputs'!H105=1))),0,IF('DealScope conditional cash and'!F8="","",'DealScope conditional cash and'!F8)))+'DealScope 12-month financial pr'!G16-'DealScope 12-month financial pr'!G7</f>
        <v>127500</v>
      </c>
      <c r="H8" s="12">
        <f>IF(IF(IF(IF(ISERROR('Model inputs'!I105=1),'Model inputs'!I105=1,IF('Model inputs'!I105="","",'Model inputs'!I105=1))="",FALSE,IF(ISERROR('Model inputs'!I105=1),'Model inputs'!I105=1,IF('Model inputs'!I105="","",'Model inputs'!I105=1))),0,IF('DealScope conditional cash and'!G8="","",'DealScope conditional cash and'!G8))="",0,IF(IF(IF(ISERROR('Model inputs'!I105=1),'Model inputs'!I105=1,IF('Model inputs'!I105="","",'Model inputs'!I105=1))="",FALSE,IF(ISERROR('Model inputs'!I105=1),'Model inputs'!I105=1,IF('Model inputs'!I105="","",'Model inputs'!I105=1))),0,IF('DealScope conditional cash and'!G8="","",'DealScope conditional cash and'!G8)))+'DealScope 12-month financial pr'!H16-'DealScope 12-month financial pr'!H7</f>
        <v>140000</v>
      </c>
      <c r="I8" s="12">
        <f>IF(IF(IF(IF(ISERROR('Model inputs'!J105=1),'Model inputs'!J105=1,IF('Model inputs'!J105="","",'Model inputs'!J105=1))="",FALSE,IF(ISERROR('Model inputs'!J105=1),'Model inputs'!J105=1,IF('Model inputs'!J105="","",'Model inputs'!J105=1))),0,IF('DealScope conditional cash and'!H8="","",'DealScope conditional cash and'!H8))="",0,IF(IF(IF(ISERROR('Model inputs'!J105=1),'Model inputs'!J105=1,IF('Model inputs'!J105="","",'Model inputs'!J105=1))="",FALSE,IF(ISERROR('Model inputs'!J105=1),'Model inputs'!J105=1,IF('Model inputs'!J105="","",'Model inputs'!J105=1))),0,IF('DealScope conditional cash and'!H8="","",'DealScope conditional cash and'!H8)))+'DealScope 12-month financial pr'!I16-'DealScope 12-month financial pr'!I7</f>
        <v>150000</v>
      </c>
      <c r="J8" s="12">
        <f>IF(IF(IF(IF(ISERROR('Model inputs'!K105=1),'Model inputs'!K105=1,IF('Model inputs'!K105="","",'Model inputs'!K105=1))="",FALSE,IF(ISERROR('Model inputs'!K105=1),'Model inputs'!K105=1,IF('Model inputs'!K105="","",'Model inputs'!K105=1))),0,IF('DealScope conditional cash and'!I8="","",'DealScope conditional cash and'!I8))="",0,IF(IF(IF(ISERROR('Model inputs'!K105=1),'Model inputs'!K105=1,IF('Model inputs'!K105="","",'Model inputs'!K105=1))="",FALSE,IF(ISERROR('Model inputs'!K105=1),'Model inputs'!K105=1,IF('Model inputs'!K105="","",'Model inputs'!K105=1))),0,IF('DealScope conditional cash and'!I8="","",'DealScope conditional cash and'!I8)))+'DealScope 12-month financial pr'!J16-'DealScope 12-month financial pr'!J7</f>
        <v>157500</v>
      </c>
      <c r="K8" s="12">
        <f>IF(IF(IF(IF(ISERROR('Model inputs'!L105=1),'Model inputs'!L105=1,IF('Model inputs'!L105="","",'Model inputs'!L105=1))="",FALSE,IF(ISERROR('Model inputs'!L105=1),'Model inputs'!L105=1,IF('Model inputs'!L105="","",'Model inputs'!L105=1))),0,IF('DealScope conditional cash and'!J8="","",'DealScope conditional cash and'!J8))="",0,IF(IF(IF(ISERROR('Model inputs'!L105=1),'Model inputs'!L105=1,IF('Model inputs'!L105="","",'Model inputs'!L105=1))="",FALSE,IF(ISERROR('Model inputs'!L105=1),'Model inputs'!L105=1,IF('Model inputs'!L105="","",'Model inputs'!L105=1))),0,IF('DealScope conditional cash and'!J8="","",'DealScope conditional cash and'!J8)))+'DealScope 12-month financial pr'!K16-'DealScope 12-month financial pr'!K7</f>
        <v>162500</v>
      </c>
      <c r="L8" s="12">
        <f>IF(IF(IF(IF(ISERROR('Model inputs'!M105=1),'Model inputs'!M105=1,IF('Model inputs'!M105="","",'Model inputs'!M105=1))="",FALSE,IF(ISERROR('Model inputs'!M105=1),'Model inputs'!M105=1,IF('Model inputs'!M105="","",'Model inputs'!M105=1))),0,IF('DealScope conditional cash and'!K8="","",'DealScope conditional cash and'!K8))="",0,IF(IF(IF(ISERROR('Model inputs'!M105=1),'Model inputs'!M105=1,IF('Model inputs'!M105="","",'Model inputs'!M105=1))="",FALSE,IF(ISERROR('Model inputs'!M105=1),'Model inputs'!M105=1,IF('Model inputs'!M105="","",'Model inputs'!M105=1))),0,IF('DealScope conditional cash and'!K8="","",'DealScope conditional cash and'!K8)))+'DealScope 12-month financial pr'!L16-'DealScope 12-month financial pr'!L7</f>
        <v>165000</v>
      </c>
      <c r="M8" s="12">
        <f>IF(IF(IF(IF(ISERROR('Model inputs'!N105=1),'Model inputs'!N105=1,IF('Model inputs'!N105="","",'Model inputs'!N105=1))="",FALSE,IF(ISERROR('Model inputs'!N105=1),'Model inputs'!N105=1,IF('Model inputs'!N105="","",'Model inputs'!N105=1))),0,IF('DealScope conditional cash and'!L8="","",'DealScope conditional cash and'!L8))="",0,IF(IF(IF(ISERROR('Model inputs'!N105=1),'Model inputs'!N105=1,IF('Model inputs'!N105="","",'Model inputs'!N105=1))="",FALSE,IF(ISERROR('Model inputs'!N105=1),'Model inputs'!N105=1,IF('Model inputs'!N105="","",'Model inputs'!N105=1))),0,IF('DealScope conditional cash and'!L8="","",'DealScope conditional cash and'!L8)))+'DealScope 12-month financial pr'!M16-'DealScope 12-month financial pr'!M7</f>
        <v>165000</v>
      </c>
    </row>
  </sheetData>
  <mergeCells count="1">
    <mergeCell ref="A1:M1"/>
  </mergeCells>
</worksheet>
</file>

<file path=xl/worksheets/sheet4.xml><?xml version="1.0" encoding="utf-8"?>
<worksheet xmlns="http://schemas.openxmlformats.org/spreadsheetml/2006/main">
  <dimension ref="A1:B1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DealScope forecast overview</t>
        </is>
      </c>
    </row>
    <row r="2" ht="20" customHeight="1">
      <c r="A2" t="inlineStr" s="2">
        <is>
          <t xml:space="preserve">DealScope — Financial projection · Growth</t>
        </is>
      </c>
    </row>
    <row r="4" ht="22" customHeight="1">
      <c r="A4" t="inlineStr" s="3">
        <is>
          <t xml:space="preserve">Variable / dimension</t>
        </is>
      </c>
      <c r="B4" t="inlineStr" s="5">
        <is>
          <t xml:space="preserve">Value</t>
        </is>
      </c>
    </row>
    <row r="5">
      <c r="A5" t="inlineStr" s="6">
        <is>
          <t xml:space="preserve">Forecast earned revenue</t>
        </is>
      </c>
      <c r="B5" s="12">
        <f>SUM('Model inputs'!B947,'Model inputs'!B948)</f>
        <v>390000</v>
      </c>
    </row>
    <row r="6">
      <c r="A6" t="inlineStr" s="8">
        <is>
          <t xml:space="preserve">Forecast cash collections</t>
        </is>
      </c>
      <c r="B6" s="10">
        <f>SUM('Model inputs'!B949,'Model inputs'!B950)</f>
        <v>555000</v>
      </c>
    </row>
    <row r="7">
      <c r="A7" t="inlineStr" s="8">
        <is>
          <t xml:space="preserve">Forecast audits</t>
        </is>
      </c>
      <c r="B7" s="9">
        <f>SUM('Model inputs'!B951,'Model inputs'!B952)</f>
        <v>390</v>
      </c>
    </row>
    <row r="8">
      <c r="A8" t="inlineStr" s="8">
        <is>
          <t xml:space="preserve">Forecast delivery cost</t>
        </is>
      </c>
      <c r="B8" s="10">
        <f>SUM('Model inputs'!B953,'Model inputs'!B954)</f>
        <v>36913.5</v>
      </c>
    </row>
    <row r="9">
      <c r="A9" t="inlineStr" s="8">
        <is>
          <t xml:space="preserve">Forecast gross profit</t>
        </is>
      </c>
      <c r="B9" s="10">
        <f>'DealScope forecast overview'!B5-'DealScope forecast overview'!B8</f>
        <v>353086.5</v>
      </c>
    </row>
    <row r="10">
      <c r="A10" t="inlineStr" s="8">
        <is>
          <t xml:space="preserve">Forecast gross margin</t>
        </is>
      </c>
      <c r="B10" s="11">
        <f>IFERROR('DealScope forecast overview'!B9/'DealScope forecast overview'!B5,"")</f>
        <v>0.90535</v>
      </c>
    </row>
    <row r="11">
      <c r="A11" t="inlineStr" s="8">
        <is>
          <t xml:space="preserve">Forecast contribution profit</t>
        </is>
      </c>
      <c r="B11" s="10">
        <f>SUM('Model inputs'!B955,'Model inputs'!B956)</f>
        <v>338461.5</v>
      </c>
    </row>
    <row r="12">
      <c r="A12" t="inlineStr" s="8">
        <is>
          <t xml:space="preserve">Forecast contribution margin</t>
        </is>
      </c>
      <c r="B12" s="11">
        <f>IFERROR('DealScope forecast overview'!B11/'DealScope forecast overview'!B5,"")</f>
        <v>0.86785</v>
      </c>
    </row>
    <row r="13">
      <c r="A13" t="inlineStr" s="8">
        <is>
          <t xml:space="preserve">Forecast net cash burn</t>
        </is>
      </c>
      <c r="B13" s="10">
        <f>SUM('Model inputs'!B957,'Model inputs'!B958)</f>
        <v>-486011.5</v>
      </c>
    </row>
    <row r="14">
      <c r="A14" t="inlineStr" s="8">
        <is>
          <t xml:space="preserve">Average monthly net cash burn</t>
        </is>
      </c>
      <c r="B14" s="10">
        <f>'DealScope forecast overview'!B13/'Model inputs'!O63</f>
        <v>-40500.958333333336</v>
      </c>
    </row>
    <row r="15">
      <c r="A15" t="inlineStr" s="8">
        <is>
          <t xml:space="preserve">Conditional runway months</t>
        </is>
      </c>
      <c r="B15" t="str" s="9">
        <f>IF(IF(IF(IFERROR(IF(ISERROR('Model inputs'!O28=1),'Model inputs'!O28=1,IF('Model inputs'!O28="","",'Model inputs'!O28=1))=FALSE,FALSE),FALSE,IF(IFERROR('Model inputs'!B934=FALSE,FALSE),FALSE,IF(OR(IF(ISERROR('Model inputs'!O28=1),'Model inputs'!O28=1,IF('Model inputs'!O28="","",'Model inputs'!O28=1))="",'Model inputs'!B934=""),"",AND(IF(ISERROR('Model inputs'!O28=1),'Model inputs'!O28=1,IF('Model inputs'!O28="","",'Model inputs'!O28=1)),'Model inputs'!B934))))="",FALSE,IF(IFERROR(IF(ISERROR('Model inputs'!O28=1),'Model inputs'!O28=1,IF('Model inputs'!O28="","",'Model inputs'!O28=1))=FALSE,FALSE),FALSE,IF(IFERROR('Model inputs'!B934=FALSE,FALSE),FALSE,IF(OR(IF(ISERROR('Model inputs'!O28=1),'Model inputs'!O28=1,IF('Model inputs'!O28="","",'Model inputs'!O28=1))="",'Model inputs'!B934=""),"",AND(IF(ISERROR('Model inputs'!O28=1),'Model inputs'!O28=1,IF('Model inputs'!O28="","",'Model inputs'!O28=1)),'Model inputs'!B934))))),IF('Model inputs'!O18="",0,'Model inputs'!O18)/'DealScope forecast overview'!B14,"")</f>
        <v/>
      </c>
    </row>
    <row r="16">
      <c r="A16" t="inlineStr" s="8">
        <is>
          <t xml:space="preserve">Peak modeled funding need</t>
        </is>
      </c>
      <c r="B16" s="10">
        <f>MAX(IF(IF(AND('Model inputs'!P65&lt;=DATE(2026,10,1),DATE(2026,10,1)&lt;=EDATE('Model inputs'!P65,'Model inputs'!O63-1*1))="",FALSE,AND('Model inputs'!P65&lt;=DATE(2026,10,1),DATE(2026,10,1)&lt;=EDATE('Model inputs'!P65,'Model inputs'!O63-1*1))),'DealScope 12-month financial pr'!B20,""),IF(IF(AND('Model inputs'!P65&lt;=DATE(2026,11,1),DATE(2026,11,1)&lt;=EDATE('Model inputs'!P65,'Model inputs'!O63-1*1))="",FALSE,AND('Model inputs'!P65&lt;=DATE(2026,11,1),DATE(2026,11,1)&lt;=EDATE('Model inputs'!P65,'Model inputs'!O63-1*1))),'DealScope 12-month financial pr'!C20,""),IF(IF(AND('Model inputs'!P65&lt;=DATE(2026,12,1),DATE(2026,12,1)&lt;=EDATE('Model inputs'!P65,'Model inputs'!O63-1*1))="",FALSE,AND('Model inputs'!P65&lt;=DATE(2026,12,1),DATE(2026,12,1)&lt;=EDATE('Model inputs'!P65,'Model inputs'!O63-1*1))),'DealScope 12-month financial pr'!D20,""),IF(IF(AND('Model inputs'!P65&lt;=DATE(2027,1,1),DATE(2027,1,1)&lt;=EDATE('Model inputs'!P65,'Model inputs'!O63-1*1))="",FALSE,AND('Model inputs'!P65&lt;=DATE(2027,1,1),DATE(2027,1,1)&lt;=EDATE('Model inputs'!P65,'Model inputs'!O63-1*1))),'DealScope 12-month financial pr'!E20,""),IF(IF(AND('Model inputs'!P65&lt;=DATE(2027,2,1),DATE(2027,2,1)&lt;=EDATE('Model inputs'!P65,'Model inputs'!O63-1*1))="",FALSE,AND('Model inputs'!P65&lt;=DATE(2027,2,1),DATE(2027,2,1)&lt;=EDATE('Model inputs'!P65,'Model inputs'!O63-1*1))),'DealScope 12-month financial pr'!F20,""),IF(IF(AND('Model inputs'!P65&lt;=DATE(2027,3,1),DATE(2027,3,1)&lt;=EDATE('Model inputs'!P65,'Model inputs'!O63-1*1))="",FALSE,AND('Model inputs'!P65&lt;=DATE(2027,3,1),DATE(2027,3,1)&lt;=EDATE('Model inputs'!P65,'Model inputs'!O63-1*1))),'DealScope 12-month financial pr'!G20,""),IF(IF(AND('Model inputs'!P65&lt;=DATE(2027,4,1),DATE(2027,4,1)&lt;=EDATE('Model inputs'!P65,'Model inputs'!O63-1*1))="",FALSE,AND('Model inputs'!P65&lt;=DATE(2027,4,1),DATE(2027,4,1)&lt;=EDATE('Model inputs'!P65,'Model inputs'!O63-1*1))),'DealScope 12-month financial pr'!H20,""),IF(IF(AND('Model inputs'!P65&lt;=DATE(2027,5,1),DATE(2027,5,1)&lt;=EDATE('Model inputs'!P65,'Model inputs'!O63-1*1))="",FALSE,AND('Model inputs'!P65&lt;=DATE(2027,5,1),DATE(2027,5,1)&lt;=EDATE('Model inputs'!P65,'Model inputs'!O63-1*1))),'DealScope 12-month financial pr'!I20,""),IF(IF(AND('Model inputs'!P65&lt;=DATE(2027,6,1),DATE(2027,6,1)&lt;=EDATE('Model inputs'!P65,'Model inputs'!O63-1*1))="",FALSE,AND('Model inputs'!P65&lt;=DATE(2027,6,1),DATE(2027,6,1)&lt;=EDATE('Model inputs'!P65,'Model inputs'!O63-1*1))),'DealScope 12-month financial pr'!J20,""),IF(IF(AND('Model inputs'!P65&lt;=DATE(2027,7,1),DATE(2027,7,1)&lt;=EDATE('Model inputs'!P65,'Model inputs'!O63-1*1))="",FALSE,AND('Model inputs'!P65&lt;=DATE(2027,7,1),DATE(2027,7,1)&lt;=EDATE('Model inputs'!P65,'Model inputs'!O63-1*1))),'DealScope 12-month financial pr'!K20,""),IF(IF(AND('Model inputs'!P65&lt;=DATE(2027,8,1),DATE(2027,8,1)&lt;=EDATE('Model inputs'!P65,'Model inputs'!O63-1*1))="",FALSE,AND('Model inputs'!P65&lt;=DATE(2027,8,1),DATE(2027,8,1)&lt;=EDATE('Model inputs'!P65,'Model inputs'!O63-1*1))),'DealScope 12-month financial pr'!L20,""),IF(IF(AND('Model inputs'!P65&lt;=DATE(2027,9,1),DATE(2027,9,1)&lt;=EDATE('Model inputs'!P65,'Model inputs'!O63-1*1))="",FALSE,AND('Model inputs'!P65&lt;=DATE(2027,9,1),DATE(2027,9,1)&lt;=EDATE('Model inputs'!P65,'Model inputs'!O63-1*1))),'DealScope 12-month financial pr'!M20,""),IF(IF(AND('Model inputs'!P65&lt;=DATE(2026,1,1),DATE(2026,1,1)&lt;=EDATE('Model inputs'!P65,'Model inputs'!O63-1*1))="",FALSE,AND('Model inputs'!P65&lt;=DATE(2026,1,1),DATE(2026,1,1)&lt;=EDATE('Model inputs'!P65,'Model inputs'!O63-1*1))),'Model inputs'!Q46,""),IF(IF(AND('Model inputs'!P65&lt;=DATE(2026,2,1),DATE(2026,2,1)&lt;=EDATE('Model inputs'!P65,'Model inputs'!O63-1*1))="",FALSE,AND('Model inputs'!P65&lt;=DATE(2026,2,1),DATE(2026,2,1)&lt;=EDATE('Model inputs'!P65,'Model inputs'!O63-1*1))),'Model inputs'!R46,""),IF(IF(AND('Model inputs'!P65&lt;=DATE(2026,3,1),DATE(2026,3,1)&lt;=EDATE('Model inputs'!P65,'Model inputs'!O63-1*1))="",FALSE,AND('Model inputs'!P65&lt;=DATE(2026,3,1),DATE(2026,3,1)&lt;=EDATE('Model inputs'!P65,'Model inputs'!O63-1*1))),'Model inputs'!S46,""),IF(IF(AND('Model inputs'!P65&lt;=DATE(2026,4,1),DATE(2026,4,1)&lt;=EDATE('Model inputs'!P65,'Model inputs'!O63-1*1))="",FALSE,AND('Model inputs'!P65&lt;=DATE(2026,4,1),DATE(2026,4,1)&lt;=EDATE('Model inputs'!P65,'Model inputs'!O63-1*1))),'Model inputs'!T46,""),IF(IF(AND('Model inputs'!P65&lt;=DATE(2026,5,1),DATE(2026,5,1)&lt;=EDATE('Model inputs'!P65,'Model inputs'!O63-1*1))="",FALSE,AND('Model inputs'!P65&lt;=DATE(2026,5,1),DATE(2026,5,1)&lt;=EDATE('Model inputs'!P65,'Model inputs'!O63-1*1))),'Model inputs'!U46,""),IF(IF(AND('Model inputs'!P65&lt;=DATE(2026,6,1),DATE(2026,6,1)&lt;=EDATE('Model inputs'!P65,'Model inputs'!O63-1*1))="",FALSE,AND('Model inputs'!P65&lt;=DATE(2026,6,1),DATE(2026,6,1)&lt;=EDATE('Model inputs'!P65,'Model inputs'!O63-1*1))),'Model inputs'!V46,""),IF(IF(AND('Model inputs'!P65&lt;=DATE(2026,7,1),DATE(2026,7,1)&lt;=EDATE('Model inputs'!P65,'Model inputs'!O63-1*1))="",FALSE,AND('Model inputs'!P65&lt;=DATE(2026,7,1),DATE(2026,7,1)&lt;=EDATE('Model inputs'!P65,'Model inputs'!O63-1*1))),'Model inputs'!W46,""),IF(IF(AND('Model inputs'!P65&lt;=DATE(2026,8,1),DATE(2026,8,1)&lt;=EDATE('Model inputs'!P65,'Model inputs'!O63-1*1))="",FALSE,AND('Model inputs'!P65&lt;=DATE(2026,8,1),DATE(2026,8,1)&lt;=EDATE('Model inputs'!P65,'Model inputs'!O63-1*1))),'Model inputs'!X46,""),IF(IF(AND('Model inputs'!P65&lt;=DATE(2026,9,1),DATE(2026,9,1)&lt;=EDATE('Model inputs'!P65,'Model inputs'!O63-1*1))="",FALSE,AND('Model inputs'!P65&lt;=DATE(2026,9,1),DATE(2026,9,1)&lt;=EDATE('Model inputs'!P65,'Model inputs'!O63-1*1))),'Model inputs'!B46,""),IF(IF(AND('Model inputs'!P65&lt;=DATE(2027,10,1),DATE(2027,10,1)&lt;=EDATE('Model inputs'!P65,'Model inputs'!O63-1*1))="",FALSE,AND('Model inputs'!P65&lt;=DATE(2027,10,1),DATE(2027,10,1)&lt;=EDATE('Model inputs'!P65,'Model inputs'!O63-1*1))),'Model inputs'!Y46,""),IF(IF(AND('Model inputs'!P65&lt;=DATE(2027,11,1),DATE(2027,11,1)&lt;=EDATE('Model inputs'!P65,'Model inputs'!O63-1*1))="",FALSE,AND('Model inputs'!P65&lt;=DATE(2027,11,1),DATE(2027,11,1)&lt;=EDATE('Model inputs'!P65,'Model inputs'!O63-1*1))),'Model inputs'!Z46,""),IF(IF(AND('Model inputs'!P65&lt;=DATE(2027,12,1),DATE(2027,12,1)&lt;=EDATE('Model inputs'!P65,'Model inputs'!O63-1*1))="",FALSE,AND('Model inputs'!P65&lt;=DATE(2027,12,1),DATE(2027,12,1)&lt;=EDATE('Model inputs'!P65,'Model inputs'!O63-1*1))),'Model inputs'!AA46,""))</f>
        <v>0</v>
      </c>
    </row>
    <row r="17">
      <c r="A17" t="inlineStr" s="6">
        <is>
          <t xml:space="preserve">Total reviewer hours</t>
        </is>
      </c>
      <c r="B17" s="7">
        <f>SUM('Model inputs'!B959,'Model inputs'!B960)</f>
        <v>585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AA1112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3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5">
        <is>
          <t xml:space="preserve">Value</t>
        </is>
      </c>
      <c r="P5" t="inlineStr" s="5">
        <is>
          <t xml:space="preserve">Value</t>
        </is>
      </c>
      <c r="Q5" t="inlineStr" s="4">
        <is>
          <t xml:space="preserve">2026-01</t>
        </is>
      </c>
      <c r="R5" t="inlineStr" s="5">
        <is>
          <t xml:space="preserve">2026-02</t>
        </is>
      </c>
      <c r="S5" t="inlineStr" s="5">
        <is>
          <t xml:space="preserve">2026-03</t>
        </is>
      </c>
      <c r="T5" t="inlineStr" s="4">
        <is>
          <t xml:space="preserve">2026-04</t>
        </is>
      </c>
      <c r="U5" t="inlineStr" s="5">
        <is>
          <t xml:space="preserve">2026-05</t>
        </is>
      </c>
      <c r="V5" t="inlineStr" s="5">
        <is>
          <t xml:space="preserve">2026-06</t>
        </is>
      </c>
      <c r="W5" t="inlineStr" s="4">
        <is>
          <t xml:space="preserve">2026-07</t>
        </is>
      </c>
      <c r="X5" t="inlineStr" s="5">
        <is>
          <t xml:space="preserve">2026-08</t>
        </is>
      </c>
      <c r="Y5" t="inlineStr" s="4">
        <is>
          <t xml:space="preserve">2027-10</t>
        </is>
      </c>
      <c r="Z5" t="inlineStr" s="5">
        <is>
          <t xml:space="preserve">2027-11</t>
        </is>
      </c>
      <c r="AA5" t="inlineStr" s="5">
        <is>
          <t xml:space="preserve">2027-12</t>
        </is>
      </c>
    </row>
    <row r="6">
      <c r="A6" t="inlineStr" s="14">
        <is>
          <t xml:space="preserve">Account support cost</t>
        </is>
      </c>
      <c r="B6" s="12">
        <f>SUM('Model inputs'!B7,'Model inputs'!B8,'Model inputs'!B9,'Model inputs'!B10,'Model inputs'!B11)</f>
        <v>0</v>
      </c>
      <c r="C6" t="str" s="12">
        <f>""</f>
        <v/>
      </c>
      <c r="D6" t="str" s="12">
        <f>""</f>
        <v/>
      </c>
      <c r="E6" t="str" s="12">
        <f>""</f>
        <v/>
      </c>
      <c r="F6" t="str" s="12">
        <f>""</f>
        <v/>
      </c>
      <c r="G6" t="str" s="12">
        <f>""</f>
        <v/>
      </c>
      <c r="H6" t="str" s="12">
        <f>""</f>
        <v/>
      </c>
      <c r="I6" t="str" s="12">
        <f>""</f>
        <v/>
      </c>
      <c r="J6" t="str" s="12">
        <f>""</f>
        <v/>
      </c>
      <c r="K6" t="str" s="12">
        <f>""</f>
        <v/>
      </c>
      <c r="L6" t="str" s="12">
        <f>""</f>
        <v/>
      </c>
      <c r="M6" t="str" s="12">
        <f>""</f>
        <v/>
      </c>
      <c r="N6" t="str" s="12">
        <f>""</f>
        <v/>
      </c>
    </row>
    <row r="7" outlineLevel="1">
      <c r="A7" t="inlineStr" s="15">
        <is>
          <t xml:space="preserve">Account support cost &gt; Annual deal-team</t>
        </is>
      </c>
      <c r="B7" s="10">
        <f>0</f>
        <v>0</v>
      </c>
      <c r="C7" s="10">
        <f>'Model inputs'!C143*'Model inputs'!O113*'Model inputs'!O148</f>
        <v>37.5</v>
      </c>
      <c r="D7" s="10">
        <f>'Model inputs'!D143*'Model inputs'!O113*'Model inputs'!O148</f>
        <v>75</v>
      </c>
      <c r="E7" s="10">
        <f>'Model inputs'!E143*'Model inputs'!O113*'Model inputs'!O148</f>
        <v>112.5</v>
      </c>
      <c r="F7" s="10">
        <f>'Model inputs'!F143*'Model inputs'!O113*'Model inputs'!O148</f>
        <v>150</v>
      </c>
      <c r="G7" s="10">
        <f>'Model inputs'!G143*'Model inputs'!O113*'Model inputs'!O148</f>
        <v>187.5</v>
      </c>
      <c r="H7" s="10">
        <f>'Model inputs'!H143*'Model inputs'!O113*'Model inputs'!O148</f>
        <v>225</v>
      </c>
      <c r="I7" s="10">
        <f>'Model inputs'!I143*'Model inputs'!O113*'Model inputs'!O148</f>
        <v>262.5</v>
      </c>
      <c r="J7" s="10">
        <f>'Model inputs'!J143*'Model inputs'!O113*'Model inputs'!O148</f>
        <v>300</v>
      </c>
      <c r="K7" s="10">
        <f>'Model inputs'!K143*'Model inputs'!O113*'Model inputs'!O148</f>
        <v>337.5</v>
      </c>
      <c r="L7" s="10">
        <f>'Model inputs'!L143*'Model inputs'!O113*'Model inputs'!O148</f>
        <v>375</v>
      </c>
      <c r="M7" s="10">
        <f>'Model inputs'!M143*'Model inputs'!O113*'Model inputs'!O148</f>
        <v>412.5</v>
      </c>
      <c r="N7" s="10">
        <f>'Model inputs'!N143*'Model inputs'!O113*'Model inputs'!O148</f>
        <v>450</v>
      </c>
    </row>
    <row r="8" outlineLevel="1">
      <c r="A8" t="inlineStr" s="15">
        <is>
          <t xml:space="preserve">Account support cost &gt; Hybrid</t>
        </is>
      </c>
      <c r="B8" s="10">
        <f>0</f>
        <v>0</v>
      </c>
      <c r="C8" s="10">
        <f>'Model inputs'!C143*'Model inputs'!O113*'Model inputs'!O148</f>
        <v>37.5</v>
      </c>
      <c r="D8" s="10">
        <f>'Model inputs'!D143*'Model inputs'!O113*'Model inputs'!O148</f>
        <v>75</v>
      </c>
      <c r="E8" s="10">
        <f>'Model inputs'!E143*'Model inputs'!O113*'Model inputs'!O148</f>
        <v>112.5</v>
      </c>
      <c r="F8" s="10">
        <f>'Model inputs'!F143*'Model inputs'!O113*'Model inputs'!O148</f>
        <v>150</v>
      </c>
      <c r="G8" s="10">
        <f>'Model inputs'!G143*'Model inputs'!O113*'Model inputs'!O148</f>
        <v>187.5</v>
      </c>
      <c r="H8" s="10">
        <f>'Model inputs'!H143*'Model inputs'!O113*'Model inputs'!O148</f>
        <v>225</v>
      </c>
      <c r="I8" s="10">
        <f>'Model inputs'!I143*'Model inputs'!O113*'Model inputs'!O148</f>
        <v>262.5</v>
      </c>
      <c r="J8" s="10">
        <f>'Model inputs'!J143*'Model inputs'!O113*'Model inputs'!O148</f>
        <v>300</v>
      </c>
      <c r="K8" s="10">
        <f>'Model inputs'!K143*'Model inputs'!O113*'Model inputs'!O148</f>
        <v>337.5</v>
      </c>
      <c r="L8" s="10">
        <f>'Model inputs'!L143*'Model inputs'!O113*'Model inputs'!O148</f>
        <v>375</v>
      </c>
      <c r="M8" s="10">
        <f>'Model inputs'!M143*'Model inputs'!O113*'Model inputs'!O148</f>
        <v>412.5</v>
      </c>
      <c r="N8" s="10">
        <f>'Model inputs'!N143*'Model inputs'!O113*'Model inputs'!O148</f>
        <v>450</v>
      </c>
    </row>
    <row r="9" outlineLevel="1">
      <c r="A9" t="inlineStr" s="15">
        <is>
          <t xml:space="preserve">Account support cost &gt; Per audit — base</t>
        </is>
      </c>
      <c r="B9" s="10">
        <f>0</f>
        <v>0</v>
      </c>
      <c r="C9" s="10">
        <f>'Model inputs'!C143*'Model inputs'!O113*'Model inputs'!O148</f>
        <v>37.5</v>
      </c>
      <c r="D9" s="10">
        <f>'Model inputs'!D143*'Model inputs'!O113*'Model inputs'!O148</f>
        <v>75</v>
      </c>
      <c r="E9" s="10">
        <f>'Model inputs'!E143*'Model inputs'!O113*'Model inputs'!O148</f>
        <v>112.5</v>
      </c>
      <c r="F9" s="10">
        <f>'Model inputs'!F143*'Model inputs'!O113*'Model inputs'!O148</f>
        <v>150</v>
      </c>
      <c r="G9" s="10">
        <f>'Model inputs'!G143*'Model inputs'!O113*'Model inputs'!O148</f>
        <v>187.5</v>
      </c>
      <c r="H9" s="10">
        <f>'Model inputs'!H143*'Model inputs'!O113*'Model inputs'!O148</f>
        <v>225</v>
      </c>
      <c r="I9" s="10">
        <f>'Model inputs'!I143*'Model inputs'!O113*'Model inputs'!O148</f>
        <v>262.5</v>
      </c>
      <c r="J9" s="10">
        <f>'Model inputs'!J143*'Model inputs'!O113*'Model inputs'!O148</f>
        <v>300</v>
      </c>
      <c r="K9" s="10">
        <f>'Model inputs'!K143*'Model inputs'!O113*'Model inputs'!O148</f>
        <v>337.5</v>
      </c>
      <c r="L9" s="10">
        <f>'Model inputs'!L143*'Model inputs'!O113*'Model inputs'!O148</f>
        <v>375</v>
      </c>
      <c r="M9" s="10">
        <f>'Model inputs'!M143*'Model inputs'!O113*'Model inputs'!O148</f>
        <v>412.5</v>
      </c>
      <c r="N9" s="10">
        <f>'Model inputs'!N143*'Model inputs'!O113*'Model inputs'!O148</f>
        <v>450</v>
      </c>
    </row>
    <row r="10" outlineLevel="1">
      <c r="A10" t="inlineStr" s="15">
        <is>
          <t xml:space="preserve">Account support cost &gt; Per audit — high</t>
        </is>
      </c>
      <c r="B10" s="10">
        <f>0</f>
        <v>0</v>
      </c>
      <c r="C10" s="10">
        <f>'Model inputs'!C143*'Model inputs'!O113*'Model inputs'!O148</f>
        <v>37.5</v>
      </c>
      <c r="D10" s="10">
        <f>'Model inputs'!D143*'Model inputs'!O113*'Model inputs'!O148</f>
        <v>75</v>
      </c>
      <c r="E10" s="10">
        <f>'Model inputs'!E143*'Model inputs'!O113*'Model inputs'!O148</f>
        <v>112.5</v>
      </c>
      <c r="F10" s="10">
        <f>'Model inputs'!F143*'Model inputs'!O113*'Model inputs'!O148</f>
        <v>150</v>
      </c>
      <c r="G10" s="10">
        <f>'Model inputs'!G143*'Model inputs'!O113*'Model inputs'!O148</f>
        <v>187.5</v>
      </c>
      <c r="H10" s="10">
        <f>'Model inputs'!H143*'Model inputs'!O113*'Model inputs'!O148</f>
        <v>225</v>
      </c>
      <c r="I10" s="10">
        <f>'Model inputs'!I143*'Model inputs'!O113*'Model inputs'!O148</f>
        <v>262.5</v>
      </c>
      <c r="J10" s="10">
        <f>'Model inputs'!J143*'Model inputs'!O113*'Model inputs'!O148</f>
        <v>300</v>
      </c>
      <c r="K10" s="10">
        <f>'Model inputs'!K143*'Model inputs'!O113*'Model inputs'!O148</f>
        <v>337.5</v>
      </c>
      <c r="L10" s="10">
        <f>'Model inputs'!L143*'Model inputs'!O113*'Model inputs'!O148</f>
        <v>375</v>
      </c>
      <c r="M10" s="10">
        <f>'Model inputs'!M143*'Model inputs'!O113*'Model inputs'!O148</f>
        <v>412.5</v>
      </c>
      <c r="N10" s="10">
        <f>'Model inputs'!N143*'Model inputs'!O113*'Model inputs'!O148</f>
        <v>450</v>
      </c>
    </row>
    <row r="11" outlineLevel="1">
      <c r="A11" t="inlineStr" s="15">
        <is>
          <t xml:space="preserve">Account support cost &gt; Per audit — low</t>
        </is>
      </c>
      <c r="B11" s="10">
        <f>0</f>
        <v>0</v>
      </c>
      <c r="C11" s="10">
        <f>'Model inputs'!C143*'Model inputs'!O113*'Model inputs'!O148</f>
        <v>37.5</v>
      </c>
      <c r="D11" s="10">
        <f>'Model inputs'!D143*'Model inputs'!O113*'Model inputs'!O148</f>
        <v>75</v>
      </c>
      <c r="E11" s="10">
        <f>'Model inputs'!E143*'Model inputs'!O113*'Model inputs'!O148</f>
        <v>112.5</v>
      </c>
      <c r="F11" s="10">
        <f>'Model inputs'!F143*'Model inputs'!O113*'Model inputs'!O148</f>
        <v>150</v>
      </c>
      <c r="G11" s="10">
        <f>'Model inputs'!G143*'Model inputs'!O113*'Model inputs'!O148</f>
        <v>187.5</v>
      </c>
      <c r="H11" s="10">
        <f>'Model inputs'!H143*'Model inputs'!O113*'Model inputs'!O148</f>
        <v>225</v>
      </c>
      <c r="I11" s="10">
        <f>'Model inputs'!I143*'Model inputs'!O113*'Model inputs'!O148</f>
        <v>262.5</v>
      </c>
      <c r="J11" s="10">
        <f>'Model inputs'!J143*'Model inputs'!O113*'Model inputs'!O148</f>
        <v>300</v>
      </c>
      <c r="K11" s="10">
        <f>'Model inputs'!K143*'Model inputs'!O113*'Model inputs'!O148</f>
        <v>337.5</v>
      </c>
      <c r="L11" s="10">
        <f>'Model inputs'!L143*'Model inputs'!O113*'Model inputs'!O148</f>
        <v>375</v>
      </c>
      <c r="M11" s="10">
        <f>'Model inputs'!M143*'Model inputs'!O113*'Model inputs'!O148</f>
        <v>412.5</v>
      </c>
      <c r="N11" s="10">
        <f>'Model inputs'!N143*'Model inputs'!O113*'Model inputs'!O148</f>
        <v>450</v>
      </c>
    </row>
    <row r="12">
      <c r="A12" t="inlineStr" s="14">
        <is>
          <t xml:space="preserve">Audits delivered</t>
        </is>
      </c>
      <c r="B12" s="7">
        <f>SUM('Model inputs'!B13,'Model inputs'!B14,'Model inputs'!B15,'Model inputs'!B16,'Model inputs'!B17)</f>
        <v>0</v>
      </c>
      <c r="C12" t="str" s="7">
        <f>""</f>
        <v/>
      </c>
      <c r="D12" t="str" s="7">
        <f>""</f>
        <v/>
      </c>
      <c r="E12" t="str" s="7">
        <f>""</f>
        <v/>
      </c>
      <c r="F12" t="str" s="7">
        <f>""</f>
        <v/>
      </c>
      <c r="G12" t="str" s="7">
        <f>""</f>
        <v/>
      </c>
      <c r="H12" t="str" s="7">
        <f>""</f>
        <v/>
      </c>
      <c r="I12" t="str" s="7">
        <f>""</f>
        <v/>
      </c>
      <c r="J12" t="str" s="7">
        <f>""</f>
        <v/>
      </c>
      <c r="K12" t="str" s="7">
        <f>""</f>
        <v/>
      </c>
      <c r="L12" t="str" s="7">
        <f>""</f>
        <v/>
      </c>
      <c r="M12" t="str" s="7">
        <f>""</f>
        <v/>
      </c>
      <c r="N12" t="str" s="7">
        <f>""</f>
        <v/>
      </c>
    </row>
    <row r="13" outlineLevel="1">
      <c r="A13" t="inlineStr" s="15">
        <is>
          <t xml:space="preserve">Audits delivered &gt; Annual deal-team</t>
        </is>
      </c>
      <c r="B13" s="9">
        <f>0</f>
        <v>0</v>
      </c>
      <c r="C13" s="9">
        <f>'Model inputs'!C143*'Model inputs'!O119</f>
        <v>5</v>
      </c>
      <c r="D13" s="9">
        <f>'Model inputs'!D143*'Model inputs'!O119</f>
        <v>10</v>
      </c>
      <c r="E13" s="9">
        <f>'Model inputs'!E143*'Model inputs'!O119</f>
        <v>15</v>
      </c>
      <c r="F13" s="9">
        <f>'Model inputs'!F143*'Model inputs'!O119</f>
        <v>20</v>
      </c>
      <c r="G13" s="9">
        <f>'Model inputs'!G143*'Model inputs'!O119</f>
        <v>25</v>
      </c>
      <c r="H13" s="9">
        <f>'Model inputs'!H143*'Model inputs'!O119</f>
        <v>30</v>
      </c>
      <c r="I13" s="9">
        <f>'Model inputs'!I143*'Model inputs'!O119</f>
        <v>35</v>
      </c>
      <c r="J13" s="9">
        <f>'Model inputs'!J143*'Model inputs'!O119</f>
        <v>40</v>
      </c>
      <c r="K13" s="9">
        <f>'Model inputs'!K143*'Model inputs'!O119</f>
        <v>45</v>
      </c>
      <c r="L13" s="9">
        <f>'Model inputs'!L143*'Model inputs'!O119</f>
        <v>50</v>
      </c>
      <c r="M13" s="9">
        <f>'Model inputs'!M143*'Model inputs'!O119</f>
        <v>55</v>
      </c>
      <c r="N13" s="9">
        <f>'Model inputs'!N143*'Model inputs'!O119</f>
        <v>60</v>
      </c>
    </row>
    <row r="14" outlineLevel="1">
      <c r="A14" t="inlineStr" s="15">
        <is>
          <t xml:space="preserve">Audits delivered &gt; Hybrid</t>
        </is>
      </c>
      <c r="B14" s="9">
        <f>0</f>
        <v>0</v>
      </c>
      <c r="C14" s="9">
        <f>'Model inputs'!C143*'Model inputs'!O120</f>
        <v>5</v>
      </c>
      <c r="D14" s="9">
        <f>'Model inputs'!D143*'Model inputs'!O120</f>
        <v>10</v>
      </c>
      <c r="E14" s="9">
        <f>'Model inputs'!E143*'Model inputs'!O120</f>
        <v>15</v>
      </c>
      <c r="F14" s="9">
        <f>'Model inputs'!F143*'Model inputs'!O120</f>
        <v>20</v>
      </c>
      <c r="G14" s="9">
        <f>'Model inputs'!G143*'Model inputs'!O120</f>
        <v>25</v>
      </c>
      <c r="H14" s="9">
        <f>'Model inputs'!H143*'Model inputs'!O120</f>
        <v>30</v>
      </c>
      <c r="I14" s="9">
        <f>'Model inputs'!I143*'Model inputs'!O120</f>
        <v>35</v>
      </c>
      <c r="J14" s="9">
        <f>'Model inputs'!J143*'Model inputs'!O120</f>
        <v>40</v>
      </c>
      <c r="K14" s="9">
        <f>'Model inputs'!K143*'Model inputs'!O120</f>
        <v>45</v>
      </c>
      <c r="L14" s="9">
        <f>'Model inputs'!L143*'Model inputs'!O120</f>
        <v>50</v>
      </c>
      <c r="M14" s="9">
        <f>'Model inputs'!M143*'Model inputs'!O120</f>
        <v>55</v>
      </c>
      <c r="N14" s="9">
        <f>'Model inputs'!N143*'Model inputs'!O120</f>
        <v>60</v>
      </c>
    </row>
    <row r="15" outlineLevel="1">
      <c r="A15" t="inlineStr" s="15">
        <is>
          <t xml:space="preserve">Audits delivered &gt; Per audit — base</t>
        </is>
      </c>
      <c r="B15" s="9">
        <f>0</f>
        <v>0</v>
      </c>
      <c r="C15" s="9">
        <f>'Model inputs'!C143*'Model inputs'!O121</f>
        <v>5</v>
      </c>
      <c r="D15" s="9">
        <f>'Model inputs'!D143*'Model inputs'!O121</f>
        <v>10</v>
      </c>
      <c r="E15" s="9">
        <f>'Model inputs'!E143*'Model inputs'!O121</f>
        <v>15</v>
      </c>
      <c r="F15" s="9">
        <f>'Model inputs'!F143*'Model inputs'!O121</f>
        <v>20</v>
      </c>
      <c r="G15" s="9">
        <f>'Model inputs'!G143*'Model inputs'!O121</f>
        <v>25</v>
      </c>
      <c r="H15" s="9">
        <f>'Model inputs'!H143*'Model inputs'!O121</f>
        <v>30</v>
      </c>
      <c r="I15" s="9">
        <f>'Model inputs'!I143*'Model inputs'!O121</f>
        <v>35</v>
      </c>
      <c r="J15" s="9">
        <f>'Model inputs'!J143*'Model inputs'!O121</f>
        <v>40</v>
      </c>
      <c r="K15" s="9">
        <f>'Model inputs'!K143*'Model inputs'!O121</f>
        <v>45</v>
      </c>
      <c r="L15" s="9">
        <f>'Model inputs'!L143*'Model inputs'!O121</f>
        <v>50</v>
      </c>
      <c r="M15" s="9">
        <f>'Model inputs'!M143*'Model inputs'!O121</f>
        <v>55</v>
      </c>
      <c r="N15" s="9">
        <f>'Model inputs'!N143*'Model inputs'!O121</f>
        <v>60</v>
      </c>
    </row>
    <row r="16" outlineLevel="1">
      <c r="A16" t="inlineStr" s="15">
        <is>
          <t xml:space="preserve">Audits delivered &gt; Per audit — high</t>
        </is>
      </c>
      <c r="B16" s="9">
        <f>0</f>
        <v>0</v>
      </c>
      <c r="C16" s="9">
        <f>'Model inputs'!C143*'Model inputs'!O122</f>
        <v>5</v>
      </c>
      <c r="D16" s="9">
        <f>'Model inputs'!D143*'Model inputs'!O122</f>
        <v>10</v>
      </c>
      <c r="E16" s="9">
        <f>'Model inputs'!E143*'Model inputs'!O122</f>
        <v>15</v>
      </c>
      <c r="F16" s="9">
        <f>'Model inputs'!F143*'Model inputs'!O122</f>
        <v>20</v>
      </c>
      <c r="G16" s="9">
        <f>'Model inputs'!G143*'Model inputs'!O122</f>
        <v>25</v>
      </c>
      <c r="H16" s="9">
        <f>'Model inputs'!H143*'Model inputs'!O122</f>
        <v>30</v>
      </c>
      <c r="I16" s="9">
        <f>'Model inputs'!I143*'Model inputs'!O122</f>
        <v>35</v>
      </c>
      <c r="J16" s="9">
        <f>'Model inputs'!J143*'Model inputs'!O122</f>
        <v>40</v>
      </c>
      <c r="K16" s="9">
        <f>'Model inputs'!K143*'Model inputs'!O122</f>
        <v>45</v>
      </c>
      <c r="L16" s="9">
        <f>'Model inputs'!L143*'Model inputs'!O122</f>
        <v>50</v>
      </c>
      <c r="M16" s="9">
        <f>'Model inputs'!M143*'Model inputs'!O122</f>
        <v>55</v>
      </c>
      <c r="N16" s="9">
        <f>'Model inputs'!N143*'Model inputs'!O122</f>
        <v>60</v>
      </c>
    </row>
    <row r="17" outlineLevel="1">
      <c r="A17" t="inlineStr" s="15">
        <is>
          <t xml:space="preserve">Audits delivered &gt; Per audit — low</t>
        </is>
      </c>
      <c r="B17" s="9">
        <f>0</f>
        <v>0</v>
      </c>
      <c r="C17" s="9">
        <f>'Model inputs'!C143*'Model inputs'!O123</f>
        <v>5</v>
      </c>
      <c r="D17" s="9">
        <f>'Model inputs'!D143*'Model inputs'!O123</f>
        <v>10</v>
      </c>
      <c r="E17" s="9">
        <f>'Model inputs'!E143*'Model inputs'!O123</f>
        <v>15</v>
      </c>
      <c r="F17" s="9">
        <f>'Model inputs'!F143*'Model inputs'!O123</f>
        <v>20</v>
      </c>
      <c r="G17" s="9">
        <f>'Model inputs'!G143*'Model inputs'!O123</f>
        <v>25</v>
      </c>
      <c r="H17" s="9">
        <f>'Model inputs'!H143*'Model inputs'!O123</f>
        <v>30</v>
      </c>
      <c r="I17" s="9">
        <f>'Model inputs'!I143*'Model inputs'!O123</f>
        <v>35</v>
      </c>
      <c r="J17" s="9">
        <f>'Model inputs'!J143*'Model inputs'!O123</f>
        <v>40</v>
      </c>
      <c r="K17" s="9">
        <f>'Model inputs'!K143*'Model inputs'!O123</f>
        <v>45</v>
      </c>
      <c r="L17" s="9">
        <f>'Model inputs'!L143*'Model inputs'!O123</f>
        <v>50</v>
      </c>
      <c r="M17" s="9">
        <f>'Model inputs'!M143*'Model inputs'!O123</f>
        <v>55</v>
      </c>
      <c r="N17" s="9">
        <f>'Model inputs'!N143*'Model inputs'!O123</f>
        <v>60</v>
      </c>
    </row>
    <row r="18">
      <c r="A18" t="inlineStr" s="14">
        <is>
          <t xml:space="preserve">Available opening cash · DealScope 12-month financial projection</t>
        </is>
      </c>
      <c r="O18" t="str" s="10">
        <f>""</f>
        <v/>
      </c>
    </row>
    <row r="19">
      <c r="A19" t="inlineStr" s="14">
        <is>
          <t xml:space="preserve">Available opening cash · DealScope forecast overview</t>
        </is>
      </c>
      <c r="P19" t="str" s="10">
        <f>""</f>
        <v/>
      </c>
    </row>
    <row r="20">
      <c r="A20" t="inlineStr" s="14">
        <is>
          <t xml:space="preserve">Average monthly net cash burn · DealScope conditional cash and runway</t>
        </is>
      </c>
      <c r="O20" s="10">
        <f>'Model inputs'!P115/'Model inputs'!O63</f>
        <v>-40500.958333333336</v>
      </c>
    </row>
    <row r="21">
      <c r="A21" t="inlineStr" s="14">
        <is>
          <t xml:space="preserve">Average monthly net cash burn · DealScope forecast overview</t>
        </is>
      </c>
      <c r="P21" s="10">
        <f>'Model inputs'!P115/'Model inputs'!O63</f>
        <v>-40500.958333333336</v>
      </c>
    </row>
    <row r="22">
      <c r="A22" t="inlineStr" s="14">
        <is>
          <t xml:space="preserve">Cash collections</t>
        </is>
      </c>
      <c r="B22" s="12">
        <f>SUM('Model inputs'!B23,'Model inputs'!B24,'Model inputs'!B25,'Model inputs'!B26,'Model inputs'!B27)</f>
        <v>0</v>
      </c>
      <c r="C22" t="str" s="12">
        <f>""</f>
        <v/>
      </c>
      <c r="D22" t="str" s="12">
        <f>""</f>
        <v/>
      </c>
      <c r="E22" t="str" s="12">
        <f>""</f>
        <v/>
      </c>
      <c r="F22" t="str" s="12">
        <f>""</f>
        <v/>
      </c>
      <c r="G22" t="str" s="12">
        <f>""</f>
        <v/>
      </c>
      <c r="H22" t="str" s="12">
        <f>""</f>
        <v/>
      </c>
      <c r="I22" t="str" s="12">
        <f>""</f>
        <v/>
      </c>
      <c r="J22" t="str" s="12">
        <f>""</f>
        <v/>
      </c>
      <c r="K22" t="str" s="12">
        <f>""</f>
        <v/>
      </c>
      <c r="L22" t="str" s="12">
        <f>""</f>
        <v/>
      </c>
      <c r="M22" t="str" s="12">
        <f>""</f>
        <v/>
      </c>
      <c r="N22" t="str" s="12">
        <f>""</f>
        <v/>
      </c>
    </row>
    <row r="23" outlineLevel="1">
      <c r="A23" t="inlineStr" s="15">
        <is>
          <t xml:space="preserve">Cash collections &gt; Annual deal-team</t>
        </is>
      </c>
      <c r="B23" s="10">
        <f>0</f>
        <v>0</v>
      </c>
      <c r="C23" s="10">
        <f>'Model inputs'!C136*'Model inputs'!O150*(1-'Model inputs'!O144)+'Model inputs'!C58-'Model inputs'!C143*'Model inputs'!O150/12*(1-'Model inputs'!O144)</f>
        <v>32500</v>
      </c>
      <c r="D23" s="10">
        <f>'Model inputs'!D136*'Model inputs'!O150*(1-'Model inputs'!O144)+'Model inputs'!D58-'Model inputs'!D143*'Model inputs'!O150/12*(1-'Model inputs'!O144)</f>
        <v>35000</v>
      </c>
      <c r="E23" s="10">
        <f>'Model inputs'!E136*'Model inputs'!O150*(1-'Model inputs'!O144)+'Model inputs'!E58-'Model inputs'!E143*'Model inputs'!O150/12*(1-'Model inputs'!O144)</f>
        <v>37500</v>
      </c>
      <c r="F23" s="10">
        <f>'Model inputs'!F136*'Model inputs'!O150*(1-'Model inputs'!O144)+'Model inputs'!F58-'Model inputs'!F143*'Model inputs'!O150/12*(1-'Model inputs'!O144)</f>
        <v>40000</v>
      </c>
      <c r="G23" s="10">
        <f>'Model inputs'!G136*'Model inputs'!O150*(1-'Model inputs'!O144)+'Model inputs'!G58-'Model inputs'!G143*'Model inputs'!O150/12*(1-'Model inputs'!O144)</f>
        <v>42500</v>
      </c>
      <c r="H23" s="10">
        <f>'Model inputs'!H136*'Model inputs'!O150*(1-'Model inputs'!O144)+'Model inputs'!H58-'Model inputs'!H143*'Model inputs'!O150/12*(1-'Model inputs'!O144)</f>
        <v>45000</v>
      </c>
      <c r="I23" s="10">
        <f>'Model inputs'!I136*'Model inputs'!O150*(1-'Model inputs'!O144)+'Model inputs'!I58-'Model inputs'!I143*'Model inputs'!O150/12*(1-'Model inputs'!O144)</f>
        <v>47500</v>
      </c>
      <c r="J23" s="10">
        <f>'Model inputs'!J136*'Model inputs'!O150*(1-'Model inputs'!O144)+'Model inputs'!J58-'Model inputs'!J143*'Model inputs'!O150/12*(1-'Model inputs'!O144)</f>
        <v>50000</v>
      </c>
      <c r="K23" s="10">
        <f>'Model inputs'!K136*'Model inputs'!O150*(1-'Model inputs'!O144)+'Model inputs'!K58-'Model inputs'!K143*'Model inputs'!O150/12*(1-'Model inputs'!O144)</f>
        <v>52500</v>
      </c>
      <c r="L23" s="10">
        <f>'Model inputs'!L136*'Model inputs'!O150*(1-'Model inputs'!O144)+'Model inputs'!L58-'Model inputs'!L143*'Model inputs'!O150/12*(1-'Model inputs'!O144)</f>
        <v>55000</v>
      </c>
      <c r="M23" s="10">
        <f>'Model inputs'!M136*'Model inputs'!O150*(1-'Model inputs'!O144)+'Model inputs'!M58-'Model inputs'!M143*'Model inputs'!O150/12*(1-'Model inputs'!O144)</f>
        <v>57500</v>
      </c>
      <c r="N23" s="10">
        <f>'Model inputs'!N136*'Model inputs'!O150*(1-'Model inputs'!O144)+'Model inputs'!N58-'Model inputs'!N143*'Model inputs'!O150/12*(1-'Model inputs'!O144)</f>
        <v>60000</v>
      </c>
    </row>
    <row r="24" outlineLevel="1">
      <c r="A24" t="inlineStr" s="15">
        <is>
          <t xml:space="preserve">Cash collections &gt; Hybrid</t>
        </is>
      </c>
      <c r="B24" s="10">
        <f>0</f>
        <v>0</v>
      </c>
      <c r="C24" s="10">
        <f>'Model inputs'!C136*'Model inputs'!O151*(1-'Model inputs'!O144)+'Model inputs'!C59-'Model inputs'!C143*'Model inputs'!O151/12*(1-'Model inputs'!O144)</f>
        <v>12500</v>
      </c>
      <c r="D24" s="10">
        <f>'Model inputs'!D136*'Model inputs'!O151*(1-'Model inputs'!O144)+'Model inputs'!D59-'Model inputs'!D143*'Model inputs'!O151/12*(1-'Model inputs'!O144)</f>
        <v>17500</v>
      </c>
      <c r="E24" s="10">
        <f>'Model inputs'!E136*'Model inputs'!O151*(1-'Model inputs'!O144)+'Model inputs'!E59-'Model inputs'!E143*'Model inputs'!O151/12*(1-'Model inputs'!O144)</f>
        <v>22500</v>
      </c>
      <c r="F24" s="10">
        <f>'Model inputs'!F136*'Model inputs'!O151*(1-'Model inputs'!O144)+'Model inputs'!F59-'Model inputs'!F143*'Model inputs'!O151/12*(1-'Model inputs'!O144)</f>
        <v>27500</v>
      </c>
      <c r="G24" s="10">
        <f>'Model inputs'!G136*'Model inputs'!O151*(1-'Model inputs'!O144)+'Model inputs'!G59-'Model inputs'!G143*'Model inputs'!O151/12*(1-'Model inputs'!O144)</f>
        <v>32500</v>
      </c>
      <c r="H24" s="10">
        <f>'Model inputs'!H136*'Model inputs'!O151*(1-'Model inputs'!O144)+'Model inputs'!H59-'Model inputs'!H143*'Model inputs'!O151/12*(1-'Model inputs'!O144)</f>
        <v>37500</v>
      </c>
      <c r="I24" s="10">
        <f>'Model inputs'!I136*'Model inputs'!O151*(1-'Model inputs'!O144)+'Model inputs'!I59-'Model inputs'!I143*'Model inputs'!O151/12*(1-'Model inputs'!O144)</f>
        <v>42500</v>
      </c>
      <c r="J24" s="10">
        <f>'Model inputs'!J136*'Model inputs'!O151*(1-'Model inputs'!O144)+'Model inputs'!J59-'Model inputs'!J143*'Model inputs'!O151/12*(1-'Model inputs'!O144)</f>
        <v>47500</v>
      </c>
      <c r="K24" s="10">
        <f>'Model inputs'!K136*'Model inputs'!O151*(1-'Model inputs'!O144)+'Model inputs'!K59-'Model inputs'!K143*'Model inputs'!O151/12*(1-'Model inputs'!O144)</f>
        <v>52500</v>
      </c>
      <c r="L24" s="10">
        <f>'Model inputs'!L136*'Model inputs'!O151*(1-'Model inputs'!O144)+'Model inputs'!L59-'Model inputs'!L143*'Model inputs'!O151/12*(1-'Model inputs'!O144)</f>
        <v>57500</v>
      </c>
      <c r="M24" s="10">
        <f>'Model inputs'!M136*'Model inputs'!O151*(1-'Model inputs'!O144)+'Model inputs'!M59-'Model inputs'!M143*'Model inputs'!O151/12*(1-'Model inputs'!O144)</f>
        <v>62500</v>
      </c>
      <c r="N24" s="10">
        <f>'Model inputs'!N136*'Model inputs'!O151*(1-'Model inputs'!O144)+'Model inputs'!N59-'Model inputs'!N143*'Model inputs'!O151/12*(1-'Model inputs'!O144)</f>
        <v>67500</v>
      </c>
    </row>
    <row r="25" outlineLevel="1">
      <c r="A25" t="inlineStr" s="15">
        <is>
          <t xml:space="preserve">Cash collections &gt; Per audit — base</t>
        </is>
      </c>
      <c r="B25" s="10">
        <f>0</f>
        <v>0</v>
      </c>
      <c r="C25" s="10">
        <f>'Model inputs'!C136*'Model inputs'!O152*(1-'Model inputs'!O144)+'Model inputs'!C60-'Model inputs'!C143*'Model inputs'!O152/12*(1-'Model inputs'!O144)</f>
        <v>7500</v>
      </c>
      <c r="D25" s="10">
        <f>'Model inputs'!D136*'Model inputs'!O152*(1-'Model inputs'!O144)+'Model inputs'!D60-'Model inputs'!D143*'Model inputs'!O152/12*(1-'Model inputs'!O144)</f>
        <v>15000</v>
      </c>
      <c r="E25" s="10">
        <f>'Model inputs'!E136*'Model inputs'!O152*(1-'Model inputs'!O144)+'Model inputs'!E60-'Model inputs'!E143*'Model inputs'!O152/12*(1-'Model inputs'!O144)</f>
        <v>22500</v>
      </c>
      <c r="F25" s="10">
        <f>'Model inputs'!F136*'Model inputs'!O152*(1-'Model inputs'!O144)+'Model inputs'!F60-'Model inputs'!F143*'Model inputs'!O152/12*(1-'Model inputs'!O144)</f>
        <v>30000</v>
      </c>
      <c r="G25" s="10">
        <f>'Model inputs'!G136*'Model inputs'!O152*(1-'Model inputs'!O144)+'Model inputs'!G60-'Model inputs'!G143*'Model inputs'!O152/12*(1-'Model inputs'!O144)</f>
        <v>37500</v>
      </c>
      <c r="H25" s="10">
        <f>'Model inputs'!H136*'Model inputs'!O152*(1-'Model inputs'!O144)+'Model inputs'!H60-'Model inputs'!H143*'Model inputs'!O152/12*(1-'Model inputs'!O144)</f>
        <v>45000</v>
      </c>
      <c r="I25" s="10">
        <f>'Model inputs'!I136*'Model inputs'!O152*(1-'Model inputs'!O144)+'Model inputs'!I60-'Model inputs'!I143*'Model inputs'!O152/12*(1-'Model inputs'!O144)</f>
        <v>52500</v>
      </c>
      <c r="J25" s="10">
        <f>'Model inputs'!J136*'Model inputs'!O152*(1-'Model inputs'!O144)+'Model inputs'!J60-'Model inputs'!J143*'Model inputs'!O152/12*(1-'Model inputs'!O144)</f>
        <v>60000</v>
      </c>
      <c r="K25" s="10">
        <f>'Model inputs'!K136*'Model inputs'!O152*(1-'Model inputs'!O144)+'Model inputs'!K60-'Model inputs'!K143*'Model inputs'!O152/12*(1-'Model inputs'!O144)</f>
        <v>67500</v>
      </c>
      <c r="L25" s="10">
        <f>'Model inputs'!L136*'Model inputs'!O152*(1-'Model inputs'!O144)+'Model inputs'!L60-'Model inputs'!L143*'Model inputs'!O152/12*(1-'Model inputs'!O144)</f>
        <v>75000</v>
      </c>
      <c r="M25" s="10">
        <f>'Model inputs'!M136*'Model inputs'!O152*(1-'Model inputs'!O144)+'Model inputs'!M60-'Model inputs'!M143*'Model inputs'!O152/12*(1-'Model inputs'!O144)</f>
        <v>82500</v>
      </c>
      <c r="N25" s="10">
        <f>'Model inputs'!N136*'Model inputs'!O152*(1-'Model inputs'!O144)+'Model inputs'!N60-'Model inputs'!N143*'Model inputs'!O152/12*(1-'Model inputs'!O144)</f>
        <v>90000</v>
      </c>
    </row>
    <row r="26" outlineLevel="1">
      <c r="A26" t="inlineStr" s="15">
        <is>
          <t xml:space="preserve">Cash collections &gt; Per audit — high</t>
        </is>
      </c>
      <c r="B26" s="10">
        <f>0</f>
        <v>0</v>
      </c>
      <c r="C26" s="10">
        <f>'Model inputs'!C136*'Model inputs'!O153*(1-'Model inputs'!O144)+'Model inputs'!C61-'Model inputs'!C143*'Model inputs'!O153/12*(1-'Model inputs'!O144)</f>
        <v>15000</v>
      </c>
      <c r="D26" s="10">
        <f>'Model inputs'!D136*'Model inputs'!O153*(1-'Model inputs'!O144)+'Model inputs'!D61-'Model inputs'!D143*'Model inputs'!O153/12*(1-'Model inputs'!O144)</f>
        <v>30000</v>
      </c>
      <c r="E26" s="10">
        <f>'Model inputs'!E136*'Model inputs'!O153*(1-'Model inputs'!O144)+'Model inputs'!E61-'Model inputs'!E143*'Model inputs'!O153/12*(1-'Model inputs'!O144)</f>
        <v>45000</v>
      </c>
      <c r="F26" s="10">
        <f>'Model inputs'!F136*'Model inputs'!O153*(1-'Model inputs'!O144)+'Model inputs'!F61-'Model inputs'!F143*'Model inputs'!O153/12*(1-'Model inputs'!O144)</f>
        <v>60000</v>
      </c>
      <c r="G26" s="10">
        <f>'Model inputs'!G136*'Model inputs'!O153*(1-'Model inputs'!O144)+'Model inputs'!G61-'Model inputs'!G143*'Model inputs'!O153/12*(1-'Model inputs'!O144)</f>
        <v>75000</v>
      </c>
      <c r="H26" s="10">
        <f>'Model inputs'!H136*'Model inputs'!O153*(1-'Model inputs'!O144)+'Model inputs'!H61-'Model inputs'!H143*'Model inputs'!O153/12*(1-'Model inputs'!O144)</f>
        <v>90000</v>
      </c>
      <c r="I26" s="10">
        <f>'Model inputs'!I136*'Model inputs'!O153*(1-'Model inputs'!O144)+'Model inputs'!I61-'Model inputs'!I143*'Model inputs'!O153/12*(1-'Model inputs'!O144)</f>
        <v>105000</v>
      </c>
      <c r="J26" s="10">
        <f>'Model inputs'!J136*'Model inputs'!O153*(1-'Model inputs'!O144)+'Model inputs'!J61-'Model inputs'!J143*'Model inputs'!O153/12*(1-'Model inputs'!O144)</f>
        <v>120000</v>
      </c>
      <c r="K26" s="10">
        <f>'Model inputs'!K136*'Model inputs'!O153*(1-'Model inputs'!O144)+'Model inputs'!K61-'Model inputs'!K143*'Model inputs'!O153/12*(1-'Model inputs'!O144)</f>
        <v>135000</v>
      </c>
      <c r="L26" s="10">
        <f>'Model inputs'!L136*'Model inputs'!O153*(1-'Model inputs'!O144)+'Model inputs'!L61-'Model inputs'!L143*'Model inputs'!O153/12*(1-'Model inputs'!O144)</f>
        <v>150000</v>
      </c>
      <c r="M26" s="10">
        <f>'Model inputs'!M136*'Model inputs'!O153*(1-'Model inputs'!O144)+'Model inputs'!M61-'Model inputs'!M143*'Model inputs'!O153/12*(1-'Model inputs'!O144)</f>
        <v>165000</v>
      </c>
      <c r="N26" s="10">
        <f>'Model inputs'!N136*'Model inputs'!O153*(1-'Model inputs'!O144)+'Model inputs'!N61-'Model inputs'!N143*'Model inputs'!O153/12*(1-'Model inputs'!O144)</f>
        <v>180000</v>
      </c>
    </row>
    <row r="27" outlineLevel="1">
      <c r="A27" t="inlineStr" s="15">
        <is>
          <t xml:space="preserve">Cash collections &gt; Per audit — low</t>
        </is>
      </c>
      <c r="B27" s="10">
        <f>0</f>
        <v>0</v>
      </c>
      <c r="C27" s="10">
        <f>'Model inputs'!C136*'Model inputs'!O154*(1-'Model inputs'!O144)+'Model inputs'!C62-'Model inputs'!C143*'Model inputs'!O154/12*(1-'Model inputs'!O144)</f>
        <v>3750</v>
      </c>
      <c r="D27" s="10">
        <f>'Model inputs'!D136*'Model inputs'!O154*(1-'Model inputs'!O144)+'Model inputs'!D62-'Model inputs'!D143*'Model inputs'!O154/12*(1-'Model inputs'!O144)</f>
        <v>7500</v>
      </c>
      <c r="E27" s="10">
        <f>'Model inputs'!E136*'Model inputs'!O154*(1-'Model inputs'!O144)+'Model inputs'!E62-'Model inputs'!E143*'Model inputs'!O154/12*(1-'Model inputs'!O144)</f>
        <v>11250</v>
      </c>
      <c r="F27" s="10">
        <f>'Model inputs'!F136*'Model inputs'!O154*(1-'Model inputs'!O144)+'Model inputs'!F62-'Model inputs'!F143*'Model inputs'!O154/12*(1-'Model inputs'!O144)</f>
        <v>15000</v>
      </c>
      <c r="G27" s="10">
        <f>'Model inputs'!G136*'Model inputs'!O154*(1-'Model inputs'!O144)+'Model inputs'!G62-'Model inputs'!G143*'Model inputs'!O154/12*(1-'Model inputs'!O144)</f>
        <v>18750</v>
      </c>
      <c r="H27" s="10">
        <f>'Model inputs'!H136*'Model inputs'!O154*(1-'Model inputs'!O144)+'Model inputs'!H62-'Model inputs'!H143*'Model inputs'!O154/12*(1-'Model inputs'!O144)</f>
        <v>22500</v>
      </c>
      <c r="I27" s="10">
        <f>'Model inputs'!I136*'Model inputs'!O154*(1-'Model inputs'!O144)+'Model inputs'!I62-'Model inputs'!I143*'Model inputs'!O154/12*(1-'Model inputs'!O144)</f>
        <v>26250</v>
      </c>
      <c r="J27" s="10">
        <f>'Model inputs'!J136*'Model inputs'!O154*(1-'Model inputs'!O144)+'Model inputs'!J62-'Model inputs'!J143*'Model inputs'!O154/12*(1-'Model inputs'!O144)</f>
        <v>30000</v>
      </c>
      <c r="K27" s="10">
        <f>'Model inputs'!K136*'Model inputs'!O154*(1-'Model inputs'!O144)+'Model inputs'!K62-'Model inputs'!K143*'Model inputs'!O154/12*(1-'Model inputs'!O144)</f>
        <v>33750</v>
      </c>
      <c r="L27" s="10">
        <f>'Model inputs'!L136*'Model inputs'!O154*(1-'Model inputs'!O144)+'Model inputs'!L62-'Model inputs'!L143*'Model inputs'!O154/12*(1-'Model inputs'!O144)</f>
        <v>37500</v>
      </c>
      <c r="M27" s="10">
        <f>'Model inputs'!M136*'Model inputs'!O154*(1-'Model inputs'!O144)+'Model inputs'!M62-'Model inputs'!M143*'Model inputs'!O154/12*(1-'Model inputs'!O144)</f>
        <v>41250</v>
      </c>
      <c r="N27" s="10">
        <f>'Model inputs'!N136*'Model inputs'!O154*(1-'Model inputs'!O144)+'Model inputs'!N62-'Model inputs'!N143*'Model inputs'!O154/12*(1-'Model inputs'!O144)</f>
        <v>45000</v>
      </c>
    </row>
    <row r="28">
      <c r="A28" t="inlineStr" s="14">
        <is>
          <t xml:space="preserve">Cash supplied switch · DealScope 12-month financial projection</t>
        </is>
      </c>
      <c r="O28" s="9">
        <f>0</f>
        <v>0</v>
      </c>
    </row>
    <row r="29">
      <c r="A29" t="inlineStr" s="14">
        <is>
          <t xml:space="preserve">Cash supplied switch · DealScope forecast overview</t>
        </is>
      </c>
      <c r="P29" s="9">
        <f>0</f>
        <v>0</v>
      </c>
    </row>
    <row r="30">
      <c r="A30" t="inlineStr" s="14">
        <is>
          <t xml:space="preserve">Compliance monthly</t>
        </is>
      </c>
      <c r="O30" s="10">
        <f>500</f>
        <v>500</v>
      </c>
    </row>
    <row r="31">
      <c r="A31" t="inlineStr" s="14">
        <is>
          <t xml:space="preserve">Compliance start month</t>
        </is>
      </c>
      <c r="O31" s="9">
        <f>6</f>
        <v>6</v>
      </c>
    </row>
    <row r="32">
      <c r="A32" t="inlineStr" s="14">
        <is>
          <t xml:space="preserve">Contribution margin by pricing</t>
        </is>
      </c>
      <c r="C32" t="str" s="16">
        <f>IFERROR(IF('Model inputs'!C38="",0,'Model inputs'!C38)/IF('Model inputs'!C57="",0,'Model inputs'!C57),"")</f>
        <v/>
      </c>
      <c r="D32" t="str" s="16">
        <f>IFERROR(IF('Model inputs'!D38="",0,'Model inputs'!D38)/IF('Model inputs'!D57="",0,'Model inputs'!D57),"")</f>
        <v/>
      </c>
      <c r="E32" t="str" s="16">
        <f>IFERROR(IF('Model inputs'!E38="",0,'Model inputs'!E38)/IF('Model inputs'!E57="",0,'Model inputs'!E57),"")</f>
        <v/>
      </c>
      <c r="F32" t="str" s="16">
        <f>IFERROR(IF('Model inputs'!F38="",0,'Model inputs'!F38)/IF('Model inputs'!F57="",0,'Model inputs'!F57),"")</f>
        <v/>
      </c>
      <c r="G32" t="str" s="16">
        <f>IFERROR(IF('Model inputs'!G38="",0,'Model inputs'!G38)/IF('Model inputs'!G57="",0,'Model inputs'!G57),"")</f>
        <v/>
      </c>
      <c r="H32" t="str" s="16">
        <f>IFERROR(IF('Model inputs'!H38="",0,'Model inputs'!H38)/IF('Model inputs'!H57="",0,'Model inputs'!H57),"")</f>
        <v/>
      </c>
      <c r="I32" t="str" s="16">
        <f>IFERROR(IF('Model inputs'!I38="",0,'Model inputs'!I38)/IF('Model inputs'!I57="",0,'Model inputs'!I57),"")</f>
        <v/>
      </c>
      <c r="J32" t="str" s="16">
        <f>IFERROR(IF('Model inputs'!J38="",0,'Model inputs'!J38)/IF('Model inputs'!J57="",0,'Model inputs'!J57),"")</f>
        <v/>
      </c>
      <c r="K32" t="str" s="16">
        <f>IFERROR(IF('Model inputs'!K38="",0,'Model inputs'!K38)/IF('Model inputs'!K57="",0,'Model inputs'!K57),"")</f>
        <v/>
      </c>
      <c r="L32" t="str" s="16">
        <f>IFERROR(IF('Model inputs'!L38="",0,'Model inputs'!L38)/IF('Model inputs'!L57="",0,'Model inputs'!L57),"")</f>
        <v/>
      </c>
      <c r="M32" t="str" s="16">
        <f>IFERROR(IF('Model inputs'!M38="",0,'Model inputs'!M38)/IF('Model inputs'!M57="",0,'Model inputs'!M57),"")</f>
        <v/>
      </c>
      <c r="N32" t="str" s="16">
        <f>IFERROR(IF('Model inputs'!N38="",0,'Model inputs'!N38)/IF('Model inputs'!N57="",0,'Model inputs'!N57),"")</f>
        <v/>
      </c>
    </row>
    <row r="33" outlineLevel="1">
      <c r="A33" t="inlineStr" s="15">
        <is>
          <t xml:space="preserve">Contribution margin by pricing &gt; Annual deal-team</t>
        </is>
      </c>
      <c r="C33" s="11">
        <f>IFERROR('Model inputs'!C39/'Model inputs'!C58,"")</f>
        <v>0.86785</v>
      </c>
      <c r="D33" s="11">
        <f>IFERROR('Model inputs'!D39/'Model inputs'!D58,"")</f>
        <v>0.86785</v>
      </c>
      <c r="E33" s="11">
        <f>IFERROR('Model inputs'!E39/'Model inputs'!E58,"")</f>
        <v>0.86785</v>
      </c>
      <c r="F33" s="11">
        <f>IFERROR('Model inputs'!F39/'Model inputs'!F58,"")</f>
        <v>0.86785</v>
      </c>
      <c r="G33" s="11">
        <f>IFERROR('Model inputs'!G39/'Model inputs'!G58,"")</f>
        <v>0.86785</v>
      </c>
      <c r="H33" s="11">
        <f>IFERROR('Model inputs'!H39/'Model inputs'!H58,"")</f>
        <v>0.86785</v>
      </c>
      <c r="I33" s="11">
        <f>IFERROR('Model inputs'!I39/'Model inputs'!I58,"")</f>
        <v>0.86785</v>
      </c>
      <c r="J33" s="11">
        <f>IFERROR('Model inputs'!J39/'Model inputs'!J58,"")</f>
        <v>0.86785</v>
      </c>
      <c r="K33" s="11">
        <f>IFERROR('Model inputs'!K39/'Model inputs'!K58,"")</f>
        <v>0.86785</v>
      </c>
      <c r="L33" s="11">
        <f>IFERROR('Model inputs'!L39/'Model inputs'!L58,"")</f>
        <v>0.86785</v>
      </c>
      <c r="M33" s="11">
        <f>IFERROR('Model inputs'!M39/'Model inputs'!M58,"")</f>
        <v>0.86785</v>
      </c>
      <c r="N33" s="11">
        <f>IFERROR('Model inputs'!N39/'Model inputs'!N58,"")</f>
        <v>0.86785</v>
      </c>
    </row>
    <row r="34" outlineLevel="1">
      <c r="A34" t="inlineStr" s="15">
        <is>
          <t xml:space="preserve">Contribution margin by pricing &gt; Hybrid</t>
        </is>
      </c>
      <c r="C34" s="11">
        <f>IFERROR('Model inputs'!C40/'Model inputs'!C59,"")</f>
        <v>0.8792</v>
      </c>
      <c r="D34" s="11">
        <f>IFERROR('Model inputs'!D40/'Model inputs'!D59,"")</f>
        <v>0.8792</v>
      </c>
      <c r="E34" s="11">
        <f>IFERROR('Model inputs'!E40/'Model inputs'!E59,"")</f>
        <v>0.8792</v>
      </c>
      <c r="F34" s="11">
        <f>IFERROR('Model inputs'!F40/'Model inputs'!F59,"")</f>
        <v>0.8792</v>
      </c>
      <c r="G34" s="11">
        <f>IFERROR('Model inputs'!G40/'Model inputs'!G59,"")</f>
        <v>0.8792</v>
      </c>
      <c r="H34" s="11">
        <f>IFERROR('Model inputs'!H40/'Model inputs'!H59,"")</f>
        <v>0.8792</v>
      </c>
      <c r="I34" s="11">
        <f>IFERROR('Model inputs'!I40/'Model inputs'!I59,"")</f>
        <v>0.8792</v>
      </c>
      <c r="J34" s="11">
        <f>IFERROR('Model inputs'!J40/'Model inputs'!J59,"")</f>
        <v>0.8792</v>
      </c>
      <c r="K34" s="11">
        <f>IFERROR('Model inputs'!K40/'Model inputs'!K59,"")</f>
        <v>0.8792</v>
      </c>
      <c r="L34" s="11">
        <f>IFERROR('Model inputs'!L40/'Model inputs'!L59,"")</f>
        <v>0.8792</v>
      </c>
      <c r="M34" s="11">
        <f>IFERROR('Model inputs'!M40/'Model inputs'!M59,"")</f>
        <v>0.8792</v>
      </c>
      <c r="N34" s="11">
        <f>IFERROR('Model inputs'!N40/'Model inputs'!N59,"")</f>
        <v>0.8792</v>
      </c>
    </row>
    <row r="35" outlineLevel="1">
      <c r="A35" t="inlineStr" s="15">
        <is>
          <t xml:space="preserve">Contribution margin by pricing &gt; Per audit — base</t>
        </is>
      </c>
      <c r="C35" s="11">
        <f>IFERROR('Model inputs'!C41/'Model inputs'!C60,"")</f>
        <v>0.9019</v>
      </c>
      <c r="D35" s="11">
        <f>IFERROR('Model inputs'!D41/'Model inputs'!D60,"")</f>
        <v>0.9019</v>
      </c>
      <c r="E35" s="11">
        <f>IFERROR('Model inputs'!E41/'Model inputs'!E60,"")</f>
        <v>0.9019</v>
      </c>
      <c r="F35" s="11">
        <f>IFERROR('Model inputs'!F41/'Model inputs'!F60,"")</f>
        <v>0.9019</v>
      </c>
      <c r="G35" s="11">
        <f>IFERROR('Model inputs'!G41/'Model inputs'!G60,"")</f>
        <v>0.9019</v>
      </c>
      <c r="H35" s="11">
        <f>IFERROR('Model inputs'!H41/'Model inputs'!H60,"")</f>
        <v>0.9019</v>
      </c>
      <c r="I35" s="11">
        <f>IFERROR('Model inputs'!I41/'Model inputs'!I60,"")</f>
        <v>0.9019</v>
      </c>
      <c r="J35" s="11">
        <f>IFERROR('Model inputs'!J41/'Model inputs'!J60,"")</f>
        <v>0.9019</v>
      </c>
      <c r="K35" s="11">
        <f>IFERROR('Model inputs'!K41/'Model inputs'!K60,"")</f>
        <v>0.9019</v>
      </c>
      <c r="L35" s="11">
        <f>IFERROR('Model inputs'!L41/'Model inputs'!L60,"")</f>
        <v>0.9019</v>
      </c>
      <c r="M35" s="11">
        <f>IFERROR('Model inputs'!M41/'Model inputs'!M60,"")</f>
        <v>0.9019</v>
      </c>
      <c r="N35" s="11">
        <f>IFERROR('Model inputs'!N41/'Model inputs'!N60,"")</f>
        <v>0.9019</v>
      </c>
    </row>
    <row r="36" outlineLevel="1">
      <c r="A36" t="inlineStr" s="15">
        <is>
          <t xml:space="preserve">Contribution margin by pricing &gt; Per audit — high</t>
        </is>
      </c>
      <c r="C36" s="11">
        <f>IFERROR('Model inputs'!C42/'Model inputs'!C61,"")</f>
        <v>0.93595</v>
      </c>
      <c r="D36" s="11">
        <f>IFERROR('Model inputs'!D42/'Model inputs'!D61,"")</f>
        <v>0.93595</v>
      </c>
      <c r="E36" s="11">
        <f>IFERROR('Model inputs'!E42/'Model inputs'!E61,"")</f>
        <v>0.93595</v>
      </c>
      <c r="F36" s="11">
        <f>IFERROR('Model inputs'!F42/'Model inputs'!F61,"")</f>
        <v>0.93595</v>
      </c>
      <c r="G36" s="11">
        <f>IFERROR('Model inputs'!G42/'Model inputs'!G61,"")</f>
        <v>0.93595</v>
      </c>
      <c r="H36" s="11">
        <f>IFERROR('Model inputs'!H42/'Model inputs'!H61,"")</f>
        <v>0.93595</v>
      </c>
      <c r="I36" s="11">
        <f>IFERROR('Model inputs'!I42/'Model inputs'!I61,"")</f>
        <v>0.93595</v>
      </c>
      <c r="J36" s="11">
        <f>IFERROR('Model inputs'!J42/'Model inputs'!J61,"")</f>
        <v>0.93595</v>
      </c>
      <c r="K36" s="11">
        <f>IFERROR('Model inputs'!K42/'Model inputs'!K61,"")</f>
        <v>0.93595</v>
      </c>
      <c r="L36" s="11">
        <f>IFERROR('Model inputs'!L42/'Model inputs'!L61,"")</f>
        <v>0.93595</v>
      </c>
      <c r="M36" s="11">
        <f>IFERROR('Model inputs'!M42/'Model inputs'!M61,"")</f>
        <v>0.93595</v>
      </c>
      <c r="N36" s="11">
        <f>IFERROR('Model inputs'!N42/'Model inputs'!N61,"")</f>
        <v>0.93595</v>
      </c>
    </row>
    <row r="37" outlineLevel="1">
      <c r="A37" t="inlineStr" s="15">
        <is>
          <t xml:space="preserve">Contribution margin by pricing &gt; Per audit — low</t>
        </is>
      </c>
      <c r="C37" s="11">
        <f>IFERROR('Model inputs'!C43/'Model inputs'!C62,"")</f>
        <v>0.8338</v>
      </c>
      <c r="D37" s="11">
        <f>IFERROR('Model inputs'!D43/'Model inputs'!D62,"")</f>
        <v>0.8338</v>
      </c>
      <c r="E37" s="11">
        <f>IFERROR('Model inputs'!E43/'Model inputs'!E62,"")</f>
        <v>0.8338</v>
      </c>
      <c r="F37" s="11">
        <f>IFERROR('Model inputs'!F43/'Model inputs'!F62,"")</f>
        <v>0.8338</v>
      </c>
      <c r="G37" s="11">
        <f>IFERROR('Model inputs'!G43/'Model inputs'!G62,"")</f>
        <v>0.8338</v>
      </c>
      <c r="H37" s="11">
        <f>IFERROR('Model inputs'!H43/'Model inputs'!H62,"")</f>
        <v>0.8338</v>
      </c>
      <c r="I37" s="11">
        <f>IFERROR('Model inputs'!I43/'Model inputs'!I62,"")</f>
        <v>0.8338</v>
      </c>
      <c r="J37" s="11">
        <f>IFERROR('Model inputs'!J43/'Model inputs'!J62,"")</f>
        <v>0.8338</v>
      </c>
      <c r="K37" s="11">
        <f>IFERROR('Model inputs'!K43/'Model inputs'!K62,"")</f>
        <v>0.8338</v>
      </c>
      <c r="L37" s="11">
        <f>IFERROR('Model inputs'!L43/'Model inputs'!L62,"")</f>
        <v>0.8338</v>
      </c>
      <c r="M37" s="11">
        <f>IFERROR('Model inputs'!M43/'Model inputs'!M62,"")</f>
        <v>0.8338</v>
      </c>
      <c r="N37" s="11">
        <f>IFERROR('Model inputs'!N43/'Model inputs'!N62,"")</f>
        <v>0.8338</v>
      </c>
    </row>
    <row r="38">
      <c r="A38" t="inlineStr" s="14">
        <is>
          <t xml:space="preserve">Contribution profit</t>
        </is>
      </c>
      <c r="C38" t="str" s="12">
        <f>""</f>
        <v/>
      </c>
      <c r="D38" t="str" s="12">
        <f>""</f>
        <v/>
      </c>
      <c r="E38" t="str" s="12">
        <f>""</f>
        <v/>
      </c>
      <c r="F38" t="str" s="12">
        <f>""</f>
        <v/>
      </c>
      <c r="G38" t="str" s="12">
        <f>""</f>
        <v/>
      </c>
      <c r="H38" t="str" s="12">
        <f>""</f>
        <v/>
      </c>
      <c r="I38" t="str" s="12">
        <f>""</f>
        <v/>
      </c>
      <c r="J38" t="str" s="12">
        <f>""</f>
        <v/>
      </c>
      <c r="K38" t="str" s="12">
        <f>""</f>
        <v/>
      </c>
      <c r="L38" t="str" s="12">
        <f>""</f>
        <v/>
      </c>
      <c r="M38" t="str" s="12">
        <f>""</f>
        <v/>
      </c>
      <c r="N38" t="str" s="12">
        <f>""</f>
        <v/>
      </c>
    </row>
    <row r="39" outlineLevel="1">
      <c r="A39" t="inlineStr" s="15">
        <is>
          <t xml:space="preserve">Contribution profit &gt; Annual deal-team</t>
        </is>
      </c>
      <c r="C39" s="10">
        <f>'Model inputs'!C74-'Model inputs'!C58*'Model inputs'!O145-'Model inputs'!C7</f>
        <v>4339.25</v>
      </c>
      <c r="D39" s="10">
        <f>'Model inputs'!D74-'Model inputs'!D58*'Model inputs'!O145-'Model inputs'!D7</f>
        <v>8678.5</v>
      </c>
      <c r="E39" s="10">
        <f>'Model inputs'!E74-'Model inputs'!E58*'Model inputs'!O145-'Model inputs'!E7</f>
        <v>13017.75</v>
      </c>
      <c r="F39" s="10">
        <f>'Model inputs'!F74-'Model inputs'!F58*'Model inputs'!O145-'Model inputs'!F7</f>
        <v>17357</v>
      </c>
      <c r="G39" s="10">
        <f>'Model inputs'!G74-'Model inputs'!G58*'Model inputs'!O145-'Model inputs'!G7</f>
        <v>21696.25</v>
      </c>
      <c r="H39" s="10">
        <f>'Model inputs'!H74-'Model inputs'!H58*'Model inputs'!O145-'Model inputs'!H7</f>
        <v>26035.5</v>
      </c>
      <c r="I39" s="10">
        <f>'Model inputs'!I74-'Model inputs'!I58*'Model inputs'!O145-'Model inputs'!I7</f>
        <v>30374.75</v>
      </c>
      <c r="J39" s="10">
        <f>'Model inputs'!J74-'Model inputs'!J58*'Model inputs'!O145-'Model inputs'!J7</f>
        <v>34714</v>
      </c>
      <c r="K39" s="10">
        <f>'Model inputs'!K74-'Model inputs'!K58*'Model inputs'!O145-'Model inputs'!K7</f>
        <v>39053.25</v>
      </c>
      <c r="L39" s="10">
        <f>'Model inputs'!L74-'Model inputs'!L58*'Model inputs'!O145-'Model inputs'!L7</f>
        <v>43392.5</v>
      </c>
      <c r="M39" s="10">
        <f>'Model inputs'!M74-'Model inputs'!M58*'Model inputs'!O145-'Model inputs'!M7</f>
        <v>47731.75</v>
      </c>
      <c r="N39" s="10">
        <f>'Model inputs'!N74-'Model inputs'!N58*'Model inputs'!O145-'Model inputs'!N7</f>
        <v>52071</v>
      </c>
    </row>
    <row r="40" outlineLevel="1">
      <c r="A40" t="inlineStr" s="15">
        <is>
          <t xml:space="preserve">Contribution profit &gt; Hybrid</t>
        </is>
      </c>
      <c r="C40" s="10">
        <f>'Model inputs'!C75-'Model inputs'!C59*'Model inputs'!O145-'Model inputs'!C8</f>
        <v>4945.5</v>
      </c>
      <c r="D40" s="10">
        <f>'Model inputs'!D75-'Model inputs'!D59*'Model inputs'!O145-'Model inputs'!D8</f>
        <v>9891</v>
      </c>
      <c r="E40" s="10">
        <f>'Model inputs'!E75-'Model inputs'!E59*'Model inputs'!O145-'Model inputs'!E8</f>
        <v>14836.5</v>
      </c>
      <c r="F40" s="10">
        <f>'Model inputs'!F75-'Model inputs'!F59*'Model inputs'!O145-'Model inputs'!F8</f>
        <v>19782</v>
      </c>
      <c r="G40" s="10">
        <f>'Model inputs'!G75-'Model inputs'!G59*'Model inputs'!O145-'Model inputs'!G8</f>
        <v>24727.5</v>
      </c>
      <c r="H40" s="10">
        <f>'Model inputs'!H75-'Model inputs'!H59*'Model inputs'!O145-'Model inputs'!H8</f>
        <v>29673</v>
      </c>
      <c r="I40" s="10">
        <f>'Model inputs'!I75-'Model inputs'!I59*'Model inputs'!O145-'Model inputs'!I8</f>
        <v>34618.5</v>
      </c>
      <c r="J40" s="10">
        <f>'Model inputs'!J75-'Model inputs'!J59*'Model inputs'!O145-'Model inputs'!J8</f>
        <v>39564</v>
      </c>
      <c r="K40" s="10">
        <f>'Model inputs'!K75-'Model inputs'!K59*'Model inputs'!O145-'Model inputs'!K8</f>
        <v>44509.5</v>
      </c>
      <c r="L40" s="10">
        <f>'Model inputs'!L75-'Model inputs'!L59*'Model inputs'!O145-'Model inputs'!L8</f>
        <v>49455</v>
      </c>
      <c r="M40" s="10">
        <f>'Model inputs'!M75-'Model inputs'!M59*'Model inputs'!O145-'Model inputs'!M8</f>
        <v>54400.5</v>
      </c>
      <c r="N40" s="10">
        <f>'Model inputs'!N75-'Model inputs'!N59*'Model inputs'!O145-'Model inputs'!N8</f>
        <v>59346</v>
      </c>
    </row>
    <row r="41" outlineLevel="1">
      <c r="A41" t="inlineStr" s="15">
        <is>
          <t xml:space="preserve">Contribution profit &gt; Per audit — base</t>
        </is>
      </c>
      <c r="C41" s="10">
        <f>'Model inputs'!C76-'Model inputs'!C60*'Model inputs'!O145-'Model inputs'!C9</f>
        <v>6764.25</v>
      </c>
      <c r="D41" s="10">
        <f>'Model inputs'!D76-'Model inputs'!D60*'Model inputs'!O145-'Model inputs'!D9</f>
        <v>13528.5</v>
      </c>
      <c r="E41" s="10">
        <f>'Model inputs'!E76-'Model inputs'!E60*'Model inputs'!O145-'Model inputs'!E9</f>
        <v>20292.75</v>
      </c>
      <c r="F41" s="10">
        <f>'Model inputs'!F76-'Model inputs'!F60*'Model inputs'!O145-'Model inputs'!F9</f>
        <v>27057</v>
      </c>
      <c r="G41" s="10">
        <f>'Model inputs'!G76-'Model inputs'!G60*'Model inputs'!O145-'Model inputs'!G9</f>
        <v>33821.25</v>
      </c>
      <c r="H41" s="10">
        <f>'Model inputs'!H76-'Model inputs'!H60*'Model inputs'!O145-'Model inputs'!H9</f>
        <v>40585.5</v>
      </c>
      <c r="I41" s="10">
        <f>'Model inputs'!I76-'Model inputs'!I60*'Model inputs'!O145-'Model inputs'!I9</f>
        <v>47349.75</v>
      </c>
      <c r="J41" s="10">
        <f>'Model inputs'!J76-'Model inputs'!J60*'Model inputs'!O145-'Model inputs'!J9</f>
        <v>54114</v>
      </c>
      <c r="K41" s="10">
        <f>'Model inputs'!K76-'Model inputs'!K60*'Model inputs'!O145-'Model inputs'!K9</f>
        <v>60878.25</v>
      </c>
      <c r="L41" s="10">
        <f>'Model inputs'!L76-'Model inputs'!L60*'Model inputs'!O145-'Model inputs'!L9</f>
        <v>67642.5</v>
      </c>
      <c r="M41" s="10">
        <f>'Model inputs'!M76-'Model inputs'!M60*'Model inputs'!O145-'Model inputs'!M9</f>
        <v>74406.75</v>
      </c>
      <c r="N41" s="10">
        <f>'Model inputs'!N76-'Model inputs'!N60*'Model inputs'!O145-'Model inputs'!N9</f>
        <v>81171</v>
      </c>
    </row>
    <row r="42" outlineLevel="1">
      <c r="A42" t="inlineStr" s="15">
        <is>
          <t xml:space="preserve">Contribution profit &gt; Per audit — high</t>
        </is>
      </c>
      <c r="C42" s="10">
        <f>'Model inputs'!C77-'Model inputs'!C61*'Model inputs'!O145-'Model inputs'!C10</f>
        <v>14039.25</v>
      </c>
      <c r="D42" s="10">
        <f>'Model inputs'!D77-'Model inputs'!D61*'Model inputs'!O145-'Model inputs'!D10</f>
        <v>28078.5</v>
      </c>
      <c r="E42" s="10">
        <f>'Model inputs'!E77-'Model inputs'!E61*'Model inputs'!O145-'Model inputs'!E10</f>
        <v>42117.75</v>
      </c>
      <c r="F42" s="10">
        <f>'Model inputs'!F77-'Model inputs'!F61*'Model inputs'!O145-'Model inputs'!F10</f>
        <v>56157</v>
      </c>
      <c r="G42" s="10">
        <f>'Model inputs'!G77-'Model inputs'!G61*'Model inputs'!O145-'Model inputs'!G10</f>
        <v>70196.25</v>
      </c>
      <c r="H42" s="10">
        <f>'Model inputs'!H77-'Model inputs'!H61*'Model inputs'!O145-'Model inputs'!H10</f>
        <v>84235.5</v>
      </c>
      <c r="I42" s="10">
        <f>'Model inputs'!I77-'Model inputs'!I61*'Model inputs'!O145-'Model inputs'!I10</f>
        <v>98274.75</v>
      </c>
      <c r="J42" s="10">
        <f>'Model inputs'!J77-'Model inputs'!J61*'Model inputs'!O145-'Model inputs'!J10</f>
        <v>112314</v>
      </c>
      <c r="K42" s="10">
        <f>'Model inputs'!K77-'Model inputs'!K61*'Model inputs'!O145-'Model inputs'!K10</f>
        <v>126353.25</v>
      </c>
      <c r="L42" s="10">
        <f>'Model inputs'!L77-'Model inputs'!L61*'Model inputs'!O145-'Model inputs'!L10</f>
        <v>140392.5</v>
      </c>
      <c r="M42" s="10">
        <f>'Model inputs'!M77-'Model inputs'!M61*'Model inputs'!O145-'Model inputs'!M10</f>
        <v>154431.75</v>
      </c>
      <c r="N42" s="10">
        <f>'Model inputs'!N77-'Model inputs'!N61*'Model inputs'!O145-'Model inputs'!N10</f>
        <v>168471</v>
      </c>
    </row>
    <row r="43" outlineLevel="1">
      <c r="A43" t="inlineStr" s="15">
        <is>
          <t xml:space="preserve">Contribution profit &gt; Per audit — low</t>
        </is>
      </c>
      <c r="C43" s="10">
        <f>'Model inputs'!C78-'Model inputs'!C62*'Model inputs'!O145-'Model inputs'!C11</f>
        <v>3126.75</v>
      </c>
      <c r="D43" s="10">
        <f>'Model inputs'!D78-'Model inputs'!D62*'Model inputs'!O145-'Model inputs'!D11</f>
        <v>6253.5</v>
      </c>
      <c r="E43" s="10">
        <f>'Model inputs'!E78-'Model inputs'!E62*'Model inputs'!O145-'Model inputs'!E11</f>
        <v>9380.25</v>
      </c>
      <c r="F43" s="10">
        <f>'Model inputs'!F78-'Model inputs'!F62*'Model inputs'!O145-'Model inputs'!F11</f>
        <v>12507</v>
      </c>
      <c r="G43" s="10">
        <f>'Model inputs'!G78-'Model inputs'!G62*'Model inputs'!O145-'Model inputs'!G11</f>
        <v>15633.75</v>
      </c>
      <c r="H43" s="10">
        <f>'Model inputs'!H78-'Model inputs'!H62*'Model inputs'!O145-'Model inputs'!H11</f>
        <v>18760.5</v>
      </c>
      <c r="I43" s="10">
        <f>'Model inputs'!I78-'Model inputs'!I62*'Model inputs'!O145-'Model inputs'!I11</f>
        <v>21887.25</v>
      </c>
      <c r="J43" s="10">
        <f>'Model inputs'!J78-'Model inputs'!J62*'Model inputs'!O145-'Model inputs'!J11</f>
        <v>25014</v>
      </c>
      <c r="K43" s="10">
        <f>'Model inputs'!K78-'Model inputs'!K62*'Model inputs'!O145-'Model inputs'!K11</f>
        <v>28140.75</v>
      </c>
      <c r="L43" s="10">
        <f>'Model inputs'!L78-'Model inputs'!L62*'Model inputs'!O145-'Model inputs'!L11</f>
        <v>31267.5</v>
      </c>
      <c r="M43" s="10">
        <f>'Model inputs'!M78-'Model inputs'!M62*'Model inputs'!O145-'Model inputs'!M11</f>
        <v>34394.25</v>
      </c>
      <c r="N43" s="10">
        <f>'Model inputs'!N78-'Model inputs'!N62*'Model inputs'!O145-'Model inputs'!N11</f>
        <v>37521</v>
      </c>
    </row>
    <row r="44">
      <c r="A44" t="inlineStr" s="14">
        <is>
          <t xml:space="preserve">Crustdata cost per audit</t>
        </is>
      </c>
      <c r="O44" s="10">
        <f>'Model inputs'!O45*'Model inputs'!O116*'Model inputs'!O130</f>
        <v>2.6</v>
      </c>
    </row>
    <row r="45">
      <c r="A45" t="inlineStr" s="14">
        <is>
          <t xml:space="preserve">Crustdata credits per audit</t>
        </is>
      </c>
      <c r="O45" s="9">
        <f>26</f>
        <v>26</v>
      </c>
    </row>
    <row r="46">
      <c r="A46" t="inlineStr" s="14">
        <is>
          <t xml:space="preserve">Cumulative funding gap</t>
        </is>
      </c>
      <c r="B46" s="10">
        <v>0</v>
      </c>
      <c r="C46" s="10">
        <f>MAX(IF(IF(IF(IF(ISERROR('Model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inputs'!B47))="",0,IF(IF(IF(ISERROR('Model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inputs'!B47)))+'Model inputs'!C102,0)</f>
        <v>0</v>
      </c>
      <c r="D46" s="10">
        <f>MAX(IF(IF(IF(IF(ISERROR('Model inputs'!D105=1),'Model inputs'!D105=1,IF('Model inputs'!D105="","",'Model inputs'!D105=1))="",FALSE,IF(ISERROR('Model inputs'!D105=1),'Model inputs'!D105=1,IF('Model inputs'!D105="","",'Model inputs'!D105=1))),0,IF('Model inputs'!C47="","",'Model inputs'!C47))="",0,IF(IF(IF(ISERROR('Model inputs'!D105=1),'Model inputs'!D105=1,IF('Model inputs'!D105="","",'Model inputs'!D105=1))="",FALSE,IF(ISERROR('Model inputs'!D105=1),'Model inputs'!D105=1,IF('Model inputs'!D105="","",'Model inputs'!D105=1))),0,IF('Model inputs'!C47="","",'Model inputs'!C47)))+'Model inputs'!D102,0)</f>
        <v>0</v>
      </c>
      <c r="E46" s="10">
        <f>MAX(IF(IF(IF(IF(ISERROR('Model inputs'!E105=1),'Model inputs'!E105=1,IF('Model inputs'!E105="","",'Model inputs'!E105=1))="",FALSE,IF(ISERROR('Model inputs'!E105=1),'Model inputs'!E105=1,IF('Model inputs'!E105="","",'Model inputs'!E105=1))),0,IF('Model inputs'!D47="","",'Model inputs'!D47))="",0,IF(IF(IF(ISERROR('Model inputs'!E105=1),'Model inputs'!E105=1,IF('Model inputs'!E105="","",'Model inputs'!E105=1))="",FALSE,IF(ISERROR('Model inputs'!E105=1),'Model inputs'!E105=1,IF('Model inputs'!E105="","",'Model inputs'!E105=1))),0,IF('Model inputs'!D47="","",'Model inputs'!D47)))+'Model inputs'!E102,0)</f>
        <v>0</v>
      </c>
      <c r="F46" s="10">
        <f>MAX(IF(IF(IF(IF(ISERROR('Model inputs'!F105=1),'Model inputs'!F105=1,IF('Model inputs'!F105="","",'Model inputs'!F105=1))="",FALSE,IF(ISERROR('Model inputs'!F105=1),'Model inputs'!F105=1,IF('Model inputs'!F105="","",'Model inputs'!F105=1))),0,IF('Model inputs'!E47="","",'Model inputs'!E47))="",0,IF(IF(IF(ISERROR('Model inputs'!F105=1),'Model inputs'!F105=1,IF('Model inputs'!F105="","",'Model inputs'!F105=1))="",FALSE,IF(ISERROR('Model inputs'!F105=1),'Model inputs'!F105=1,IF('Model inputs'!F105="","",'Model inputs'!F105=1))),0,IF('Model inputs'!E47="","",'Model inputs'!E47)))+'Model inputs'!F102,0)</f>
        <v>0</v>
      </c>
      <c r="G46" s="10">
        <f>MAX(IF(IF(IF(IF(ISERROR('Model inputs'!G105=1),'Model inputs'!G105=1,IF('Model inputs'!G105="","",'Model inputs'!G105=1))="",FALSE,IF(ISERROR('Model inputs'!G105=1),'Model inputs'!G105=1,IF('Model inputs'!G105="","",'Model inputs'!G105=1))),0,IF('Model inputs'!F47="","",'Model inputs'!F47))="",0,IF(IF(IF(ISERROR('Model inputs'!G105=1),'Model inputs'!G105=1,IF('Model inputs'!G105="","",'Model inputs'!G105=1))="",FALSE,IF(ISERROR('Model inputs'!G105=1),'Model inputs'!G105=1,IF('Model inputs'!G105="","",'Model inputs'!G105=1))),0,IF('Model inputs'!F47="","",'Model inputs'!F47)))+'Model inputs'!G102,0)</f>
        <v>0</v>
      </c>
      <c r="H46" s="10">
        <f>MAX(IF(IF(IF(IF(ISERROR('Model inputs'!H105=1),'Model inputs'!H105=1,IF('Model inputs'!H105="","",'Model inputs'!H105=1))="",FALSE,IF(ISERROR('Model inputs'!H105=1),'Model inputs'!H105=1,IF('Model inputs'!H105="","",'Model inputs'!H105=1))),0,IF('Model inputs'!G47="","",'Model inputs'!G47))="",0,IF(IF(IF(ISERROR('Model inputs'!H105=1),'Model inputs'!H105=1,IF('Model inputs'!H105="","",'Model inputs'!H105=1))="",FALSE,IF(ISERROR('Model inputs'!H105=1),'Model inputs'!H105=1,IF('Model inputs'!H105="","",'Model inputs'!H105=1))),0,IF('Model inputs'!G47="","",'Model inputs'!G47)))+'Model inputs'!H102,0)</f>
        <v>0</v>
      </c>
      <c r="I46" s="10">
        <f>MAX(IF(IF(IF(IF(ISERROR('Model inputs'!I105=1),'Model inputs'!I105=1,IF('Model inputs'!I105="","",'Model inputs'!I105=1))="",FALSE,IF(ISERROR('Model inputs'!I105=1),'Model inputs'!I105=1,IF('Model inputs'!I105="","",'Model inputs'!I105=1))),0,IF('Model inputs'!H47="","",'Model inputs'!H47))="",0,IF(IF(IF(ISERROR('Model inputs'!I105=1),'Model inputs'!I105=1,IF('Model inputs'!I105="","",'Model inputs'!I105=1))="",FALSE,IF(ISERROR('Model inputs'!I105=1),'Model inputs'!I105=1,IF('Model inputs'!I105="","",'Model inputs'!I105=1))),0,IF('Model inputs'!H47="","",'Model inputs'!H47)))+'Model inputs'!I102,0)</f>
        <v>0</v>
      </c>
      <c r="J46" s="10">
        <f>MAX(IF(IF(IF(IF(ISERROR('Model inputs'!J105=1),'Model inputs'!J105=1,IF('Model inputs'!J105="","",'Model inputs'!J105=1))="",FALSE,IF(ISERROR('Model inputs'!J105=1),'Model inputs'!J105=1,IF('Model inputs'!J105="","",'Model inputs'!J105=1))),0,IF('Model inputs'!I47="","",'Model inputs'!I47))="",0,IF(IF(IF(ISERROR('Model inputs'!J105=1),'Model inputs'!J105=1,IF('Model inputs'!J105="","",'Model inputs'!J105=1))="",FALSE,IF(ISERROR('Model inputs'!J105=1),'Model inputs'!J105=1,IF('Model inputs'!J105="","",'Model inputs'!J105=1))),0,IF('Model inputs'!I47="","",'Model inputs'!I47)))+'Model inputs'!J102,0)</f>
        <v>0</v>
      </c>
      <c r="K46" s="10">
        <f>MAX(IF(IF(IF(IF(ISERROR('Model inputs'!K105=1),'Model inputs'!K105=1,IF('Model inputs'!K105="","",'Model inputs'!K105=1))="",FALSE,IF(ISERROR('Model inputs'!K105=1),'Model inputs'!K105=1,IF('Model inputs'!K105="","",'Model inputs'!K105=1))),0,IF('Model inputs'!J47="","",'Model inputs'!J47))="",0,IF(IF(IF(ISERROR('Model inputs'!K105=1),'Model inputs'!K105=1,IF('Model inputs'!K105="","",'Model inputs'!K105=1))="",FALSE,IF(ISERROR('Model inputs'!K105=1),'Model inputs'!K105=1,IF('Model inputs'!K105="","",'Model inputs'!K105=1))),0,IF('Model inputs'!J47="","",'Model inputs'!J47)))+'Model inputs'!K102,0)</f>
        <v>0</v>
      </c>
      <c r="L46" s="10">
        <f>MAX(IF(IF(IF(IF(ISERROR('Model inputs'!L105=1),'Model inputs'!L105=1,IF('Model inputs'!L105="","",'Model inputs'!L105=1))="",FALSE,IF(ISERROR('Model inputs'!L105=1),'Model inputs'!L105=1,IF('Model inputs'!L105="","",'Model inputs'!L105=1))),0,IF('Model inputs'!K47="","",'Model inputs'!K47))="",0,IF(IF(IF(ISERROR('Model inputs'!L105=1),'Model inputs'!L105=1,IF('Model inputs'!L105="","",'Model inputs'!L105=1))="",FALSE,IF(ISERROR('Model inputs'!L105=1),'Model inputs'!L105=1,IF('Model inputs'!L105="","",'Model inputs'!L105=1))),0,IF('Model inputs'!K47="","",'Model inputs'!K47)))+'Model inputs'!L102,0)</f>
        <v>0</v>
      </c>
      <c r="M46" s="10">
        <f>MAX(IF(IF(IF(IF(ISERROR('Model inputs'!M105=1),'Model inputs'!M105=1,IF('Model inputs'!M105="","",'Model inputs'!M105=1))="",FALSE,IF(ISERROR('Model inputs'!M105=1),'Model inputs'!M105=1,IF('Model inputs'!M105="","",'Model inputs'!M105=1))),0,IF('Model inputs'!L47="","",'Model inputs'!L47))="",0,IF(IF(IF(ISERROR('Model inputs'!M105=1),'Model inputs'!M105=1,IF('Model inputs'!M105="","",'Model inputs'!M105=1))="",FALSE,IF(ISERROR('Model inputs'!M105=1),'Model inputs'!M105=1,IF('Model inputs'!M105="","",'Model inputs'!M105=1))),0,IF('Model inputs'!L47="","",'Model inputs'!L47)))+'Model inputs'!M102,0)</f>
        <v>0</v>
      </c>
      <c r="N46" s="10">
        <f>MAX(IF(IF(IF(IF(ISERROR('Model inputs'!N105=1),'Model inputs'!N105=1,IF('Model inputs'!N105="","",'Model inputs'!N105=1))="",FALSE,IF(ISERROR('Model inputs'!N105=1),'Model inputs'!N105=1,IF('Model inputs'!N105="","",'Model inputs'!N105=1))),0,IF('Model inputs'!M47="","",'Model inputs'!M47))="",0,IF(IF(IF(ISERROR('Model inputs'!N105=1),'Model inputs'!N105=1,IF('Model inputs'!N105="","",'Model inputs'!N105=1))="",FALSE,IF(ISERROR('Model inputs'!N105=1),'Model inputs'!N105=1,IF('Model inputs'!N105="","",'Model inputs'!N105=1))),0,IF('Model inputs'!M47="","",'Model inputs'!M47)))+'Model inputs'!N102,0)</f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f>MAX(IF(IF(IF(IF(ISERROR('Model inputs'!Y146=1),'Model inputs'!Y146=1,IF('Model inputs'!Y146="","",'Model inputs'!Y146=1))="",FALSE,IF(ISERROR('Model inputs'!Y146=1),'Model inputs'!Y146=1,IF('Model inputs'!Y146="","",'Model inputs'!Y146=1))),0,IF('Model inputs'!N47="","",'Model inputs'!N47))="",0,IF(IF(IF(ISERROR('Model inputs'!Y146=1),'Model inputs'!Y146=1,IF('Model inputs'!Y146="","",'Model inputs'!Y146=1))="",FALSE,IF(ISERROR('Model inputs'!Y146=1),'Model inputs'!Y146=1,IF('Model inputs'!Y146="","",'Model inputs'!Y146=1))),0,IF('Model inputs'!N47="","",'Model inputs'!N47)))+'Model inputs'!Y103,0)</f>
        <v>0</v>
      </c>
      <c r="Z46" s="10">
        <f>MAX(IF(IF(IF(IF(ISERROR('Model inputs'!Z146=1),'Model inputs'!Z146=1,IF('Model inputs'!Z146="","",'Model inputs'!Z146=1))="",FALSE,IF(ISERROR('Model inputs'!Z146=1),'Model inputs'!Z146=1,IF('Model inputs'!Z146="","",'Model inputs'!Z146=1))),0,IF('Model inputs'!Y117="","",'Model inputs'!Y117))="",0,IF(IF(IF(ISERROR('Model inputs'!Z146=1),'Model inputs'!Z146=1,IF('Model inputs'!Z146="","",'Model inputs'!Z146=1))="",FALSE,IF(ISERROR('Model inputs'!Z146=1),'Model inputs'!Z146=1,IF('Model inputs'!Z146="","",'Model inputs'!Z146=1))),0,IF('Model inputs'!Y117="","",'Model inputs'!Y117)))+'Model inputs'!Z103,0)</f>
        <v>0</v>
      </c>
      <c r="AA46" s="10">
        <f>MAX(IF(IF(IF(IF(ISERROR('Model inputs'!AA146=1),'Model inputs'!AA146=1,IF('Model inputs'!AA146="","",'Model inputs'!AA146=1))="",FALSE,IF(ISERROR('Model inputs'!AA146=1),'Model inputs'!AA146=1,IF('Model inputs'!AA146="","",'Model inputs'!AA146=1))),0,IF('Model inputs'!Z117="","",'Model inputs'!Z117))="",0,IF(IF(IF(ISERROR('Model inputs'!AA146=1),'Model inputs'!AA146=1,IF('Model inputs'!AA146="","",'Model inputs'!AA146=1))="",FALSE,IF(ISERROR('Model inputs'!AA146=1),'Model inputs'!AA146=1,IF('Model inputs'!AA146="","",'Model inputs'!AA146=1))),0,IF('Model inputs'!Z117="","",'Model inputs'!Z117)))+'Model inputs'!AA103,0)</f>
        <v>0</v>
      </c>
    </row>
    <row r="47">
      <c r="A47" t="inlineStr" s="14">
        <is>
          <t xml:space="preserve">Cumulative net cash burn · DealScope 12-month financial projection</t>
        </is>
      </c>
      <c r="B47" s="10">
        <v>0</v>
      </c>
      <c r="C47" s="10">
        <f>IF(IF(IF(IF(ISERROR('Model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inputs'!B47))="",0,IF(IF(IF(ISERROR('Model inputs'!C105=1),'Model inputs'!C105=1,IF('Model inputs'!C105="","",'Model inputs'!C105=1))="",FALSE,IF(ISERROR('Model inputs'!C105=1),'Model inputs'!C105=1,IF('Model inputs'!C105="","",'Model inputs'!C105=1))),0,IF('Model inputs'!B47="","",'Model inputs'!B47)))+'Model inputs'!C102</f>
        <v>-30264.25</v>
      </c>
      <c r="D47" s="10">
        <f>IF(IF(IF(IF(ISERROR('Model inputs'!D105=1),'Model inputs'!D105=1,IF('Model inputs'!D105="","",'Model inputs'!D105=1))="",FALSE,IF(ISERROR('Model inputs'!D105=1),'Model inputs'!D105=1,IF('Model inputs'!D105="","",'Model inputs'!D105=1))),0,IF('Model inputs'!C47="","",'Model inputs'!C47))="",0,IF(IF(IF(ISERROR('Model inputs'!D105=1),'Model inputs'!D105=1,IF('Model inputs'!D105="","",'Model inputs'!D105=1))="",FALSE,IF(ISERROR('Model inputs'!D105=1),'Model inputs'!D105=1,IF('Model inputs'!D105="","",'Model inputs'!D105=1))),0,IF('Model inputs'!C47="","",'Model inputs'!C47)))+'Model inputs'!D102</f>
        <v>-62442.75</v>
      </c>
      <c r="E47" s="10">
        <f>IF(IF(IF(IF(ISERROR('Model inputs'!E105=1),'Model inputs'!E105=1,IF('Model inputs'!E105="","",'Model inputs'!E105=1))="",FALSE,IF(ISERROR('Model inputs'!E105=1),'Model inputs'!E105=1,IF('Model inputs'!E105="","",'Model inputs'!E105=1))),0,IF('Model inputs'!D47="","",'Model inputs'!D47))="",0,IF(IF(IF(ISERROR('Model inputs'!E105=1),'Model inputs'!E105=1,IF('Model inputs'!E105="","",'Model inputs'!E105=1))="",FALSE,IF(ISERROR('Model inputs'!E105=1),'Model inputs'!E105=1,IF('Model inputs'!E105="","",'Model inputs'!E105=1))),0,IF('Model inputs'!D47="","",'Model inputs'!D47)))+'Model inputs'!E102</f>
        <v>-96535.5</v>
      </c>
      <c r="F47" s="10">
        <f>IF(IF(IF(IF(ISERROR('Model inputs'!F105=1),'Model inputs'!F105=1,IF('Model inputs'!F105="","",'Model inputs'!F105=1))="",FALSE,IF(ISERROR('Model inputs'!F105=1),'Model inputs'!F105=1,IF('Model inputs'!F105="","",'Model inputs'!F105=1))),0,IF('Model inputs'!E47="","",'Model inputs'!E47))="",0,IF(IF(IF(ISERROR('Model inputs'!F105=1),'Model inputs'!F105=1,IF('Model inputs'!F105="","",'Model inputs'!F105=1))="",FALSE,IF(ISERROR('Model inputs'!F105=1),'Model inputs'!F105=1,IF('Model inputs'!F105="","",'Model inputs'!F105=1))),0,IF('Model inputs'!E47="","",'Model inputs'!E47)))+'Model inputs'!F102</f>
        <v>-132542.5</v>
      </c>
      <c r="G47" s="10">
        <f>IF(IF(IF(IF(ISERROR('Model inputs'!G105=1),'Model inputs'!G105=1,IF('Model inputs'!G105="","",'Model inputs'!G105=1))="",FALSE,IF(ISERROR('Model inputs'!G105=1),'Model inputs'!G105=1,IF('Model inputs'!G105="","",'Model inputs'!G105=1))),0,IF('Model inputs'!F47="","",'Model inputs'!F47))="",0,IF(IF(IF(ISERROR('Model inputs'!G105=1),'Model inputs'!G105=1,IF('Model inputs'!G105="","",'Model inputs'!G105=1))="",FALSE,IF(ISERROR('Model inputs'!G105=1),'Model inputs'!G105=1,IF('Model inputs'!G105="","",'Model inputs'!G105=1))),0,IF('Model inputs'!F47="","",'Model inputs'!F47)))+'Model inputs'!G102</f>
        <v>-170463.75</v>
      </c>
      <c r="H47" s="10">
        <f>IF(IF(IF(IF(ISERROR('Model inputs'!H105=1),'Model inputs'!H105=1,IF('Model inputs'!H105="","",'Model inputs'!H105=1))="",FALSE,IF(ISERROR('Model inputs'!H105=1),'Model inputs'!H105=1,IF('Model inputs'!H105="","",'Model inputs'!H105=1))),0,IF('Model inputs'!G47="","",'Model inputs'!G47))="",0,IF(IF(IF(ISERROR('Model inputs'!H105=1),'Model inputs'!H105=1,IF('Model inputs'!H105="","",'Model inputs'!H105=1))="",FALSE,IF(ISERROR('Model inputs'!H105=1),'Model inputs'!H105=1,IF('Model inputs'!H105="","",'Model inputs'!H105=1))),0,IF('Model inputs'!G47="","",'Model inputs'!G47)))+'Model inputs'!H102</f>
        <v>-209799.25</v>
      </c>
      <c r="I47" s="10">
        <f>IF(IF(IF(IF(ISERROR('Model inputs'!I105=1),'Model inputs'!I105=1,IF('Model inputs'!I105="","",'Model inputs'!I105=1))="",FALSE,IF(ISERROR('Model inputs'!I105=1),'Model inputs'!I105=1,IF('Model inputs'!I105="","",'Model inputs'!I105=1))),0,IF('Model inputs'!H47="","",'Model inputs'!H47))="",0,IF(IF(IF(ISERROR('Model inputs'!I105=1),'Model inputs'!I105=1,IF('Model inputs'!I105="","",'Model inputs'!I105=1))="",FALSE,IF(ISERROR('Model inputs'!I105=1),'Model inputs'!I105=1,IF('Model inputs'!I105="","",'Model inputs'!I105=1))),0,IF('Model inputs'!H47="","",'Model inputs'!H47)))+'Model inputs'!I102</f>
        <v>-251049</v>
      </c>
      <c r="J47" s="10">
        <f>IF(IF(IF(IF(ISERROR('Model inputs'!J105=1),'Model inputs'!J105=1,IF('Model inputs'!J105="","",'Model inputs'!J105=1))="",FALSE,IF(ISERROR('Model inputs'!J105=1),'Model inputs'!J105=1,IF('Model inputs'!J105="","",'Model inputs'!J105=1))),0,IF('Model inputs'!I47="","",'Model inputs'!I47))="",0,IF(IF(IF(ISERROR('Model inputs'!J105=1),'Model inputs'!J105=1,IF('Model inputs'!J105="","",'Model inputs'!J105=1))="",FALSE,IF(ISERROR('Model inputs'!J105=1),'Model inputs'!J105=1,IF('Model inputs'!J105="","",'Model inputs'!J105=1))),0,IF('Model inputs'!I47="","",'Model inputs'!I47)))+'Model inputs'!J102</f>
        <v>-294213</v>
      </c>
      <c r="K47" s="10">
        <f>IF(IF(IF(IF(ISERROR('Model inputs'!K105=1),'Model inputs'!K105=1,IF('Model inputs'!K105="","",'Model inputs'!K105=1))="",FALSE,IF(ISERROR('Model inputs'!K105=1),'Model inputs'!K105=1,IF('Model inputs'!K105="","",'Model inputs'!K105=1))),0,IF('Model inputs'!J47="","",'Model inputs'!J47))="",0,IF(IF(IF(ISERROR('Model inputs'!K105=1),'Model inputs'!K105=1,IF('Model inputs'!K105="","",'Model inputs'!K105=1))="",FALSE,IF(ISERROR('Model inputs'!K105=1),'Model inputs'!K105=1,IF('Model inputs'!K105="","",'Model inputs'!K105=1))),0,IF('Model inputs'!J47="","",'Model inputs'!J47)))+'Model inputs'!K102</f>
        <v>-339291.25</v>
      </c>
      <c r="L47" s="10">
        <f>IF(IF(IF(IF(ISERROR('Model inputs'!L105=1),'Model inputs'!L105=1,IF('Model inputs'!L105="","",'Model inputs'!L105=1))="",FALSE,IF(ISERROR('Model inputs'!L105=1),'Model inputs'!L105=1,IF('Model inputs'!L105="","",'Model inputs'!L105=1))),0,IF('Model inputs'!K47="","",'Model inputs'!K47))="",0,IF(IF(IF(ISERROR('Model inputs'!L105=1),'Model inputs'!L105=1,IF('Model inputs'!L105="","",'Model inputs'!L105=1))="",FALSE,IF(ISERROR('Model inputs'!L105=1),'Model inputs'!L105=1,IF('Model inputs'!L105="","",'Model inputs'!L105=1))),0,IF('Model inputs'!K47="","",'Model inputs'!K47)))+'Model inputs'!L102</f>
        <v>-386283.75</v>
      </c>
      <c r="M47" s="10">
        <f>IF(IF(IF(IF(ISERROR('Model inputs'!M105=1),'Model inputs'!M105=1,IF('Model inputs'!M105="","",'Model inputs'!M105=1))="",FALSE,IF(ISERROR('Model inputs'!M105=1),'Model inputs'!M105=1,IF('Model inputs'!M105="","",'Model inputs'!M105=1))),0,IF('Model inputs'!L47="","",'Model inputs'!L47))="",0,IF(IF(IF(ISERROR('Model inputs'!M105=1),'Model inputs'!M105=1,IF('Model inputs'!M105="","",'Model inputs'!M105=1))="",FALSE,IF(ISERROR('Model inputs'!M105=1),'Model inputs'!M105=1,IF('Model inputs'!M105="","",'Model inputs'!M105=1))),0,IF('Model inputs'!L47="","",'Model inputs'!L47)))+'Model inputs'!M102</f>
        <v>-435190.5</v>
      </c>
      <c r="N47" s="10">
        <f>IF(IF(IF(IF(ISERROR('Model inputs'!N105=1),'Model inputs'!N105=1,IF('Model inputs'!N105="","",'Model inputs'!N105=1))="",FALSE,IF(ISERROR('Model inputs'!N105=1),'Model inputs'!N105=1,IF('Model inputs'!N105="","",'Model inputs'!N105=1))),0,IF('Model inputs'!M47="","",'Model inputs'!M47))="",0,IF(IF(IF(ISERROR('Model inputs'!N105=1),'Model inputs'!N105=1,IF('Model inputs'!N105="","",'Model inputs'!N105=1))="",FALSE,IF(ISERROR('Model inputs'!N105=1),'Model inputs'!N105=1,IF('Model inputs'!N105="","",'Model inputs'!N105=1))),0,IF('Model inputs'!M47="","",'Model inputs'!M47)))+'Model inputs'!N102</f>
        <v>-486011.5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>
      <c r="A48" t="inlineStr" s="14">
        <is>
          <t xml:space="preserve">Data minimum monthly</t>
        </is>
      </c>
      <c r="O48" s="10">
        <f>0</f>
        <v>0</v>
      </c>
    </row>
    <row r="49">
      <c r="A49" t="inlineStr" s="14">
        <is>
          <t xml:space="preserve">Deferred subscription revenue</t>
        </is>
      </c>
      <c r="B49" s="10">
        <v>0</v>
      </c>
      <c r="C49" s="10">
        <f>IF(IF(IF(IF(ISERROR('Model inputs'!C105=1),'Model inputs'!C105=1,IF('Model inputs'!C105="","",'Model inputs'!C105=1))="",FALSE,IF(ISERROR('Model inputs'!C105=1),'Model inputs'!C105=1,IF('Model inputs'!C105="","",'Model inputs'!C105=1))),0,IF('Model inputs'!B49="","",'Model inputs'!B49))="",0,IF(IF(IF(ISERROR('Model inputs'!C105=1),'Model inputs'!C105=1,IF('Model inputs'!C105="","",'Model inputs'!C105=1))="",FALSE,IF(ISERROR('Model inputs'!C105=1),'Model inputs'!C105=1,IF('Model inputs'!C105="","",'Model inputs'!C105=1))),0,IF('Model inputs'!B49="","",'Model inputs'!B49)))+'Model inputs'!C96-'Model inputs'!C100</f>
        <v>27500</v>
      </c>
      <c r="D49" s="10">
        <f>IF(IF(IF(IF(ISERROR('Model inputs'!D105=1),'Model inputs'!D105=1,IF('Model inputs'!D105="","",'Model inputs'!D105=1))="",FALSE,IF(ISERROR('Model inputs'!D105=1),'Model inputs'!D105=1,IF('Model inputs'!D105="","",'Model inputs'!D105=1))),0,IF('Model inputs'!C49="","",'Model inputs'!C49))="",0,IF(IF(IF(ISERROR('Model inputs'!D105=1),'Model inputs'!D105=1,IF('Model inputs'!D105="","",'Model inputs'!D105=1))="",FALSE,IF(ISERROR('Model inputs'!D105=1),'Model inputs'!D105=1,IF('Model inputs'!D105="","",'Model inputs'!D105=1))),0,IF('Model inputs'!C49="","",'Model inputs'!C49)))+'Model inputs'!D96-'Model inputs'!D100</f>
        <v>52500</v>
      </c>
      <c r="E49" s="10">
        <f>IF(IF(IF(IF(ISERROR('Model inputs'!E105=1),'Model inputs'!E105=1,IF('Model inputs'!E105="","",'Model inputs'!E105=1))="",FALSE,IF(ISERROR('Model inputs'!E105=1),'Model inputs'!E105=1,IF('Model inputs'!E105="","",'Model inputs'!E105=1))),0,IF('Model inputs'!D49="","",'Model inputs'!D49))="",0,IF(IF(IF(ISERROR('Model inputs'!E105=1),'Model inputs'!E105=1,IF('Model inputs'!E105="","",'Model inputs'!E105=1))="",FALSE,IF(ISERROR('Model inputs'!E105=1),'Model inputs'!E105=1,IF('Model inputs'!E105="","",'Model inputs'!E105=1))),0,IF('Model inputs'!D49="","",'Model inputs'!D49)))+'Model inputs'!E96-'Model inputs'!E100</f>
        <v>75000</v>
      </c>
      <c r="F49" s="10">
        <f>IF(IF(IF(IF(ISERROR('Model inputs'!F105=1),'Model inputs'!F105=1,IF('Model inputs'!F105="","",'Model inputs'!F105=1))="",FALSE,IF(ISERROR('Model inputs'!F105=1),'Model inputs'!F105=1,IF('Model inputs'!F105="","",'Model inputs'!F105=1))),0,IF('Model inputs'!E49="","",'Model inputs'!E49))="",0,IF(IF(IF(ISERROR('Model inputs'!F105=1),'Model inputs'!F105=1,IF('Model inputs'!F105="","",'Model inputs'!F105=1))="",FALSE,IF(ISERROR('Model inputs'!F105=1),'Model inputs'!F105=1,IF('Model inputs'!F105="","",'Model inputs'!F105=1))),0,IF('Model inputs'!E49="","",'Model inputs'!E49)))+'Model inputs'!F96-'Model inputs'!F100</f>
        <v>95000</v>
      </c>
      <c r="G49" s="10">
        <f>IF(IF(IF(IF(ISERROR('Model inputs'!G105=1),'Model inputs'!G105=1,IF('Model inputs'!G105="","",'Model inputs'!G105=1))="",FALSE,IF(ISERROR('Model inputs'!G105=1),'Model inputs'!G105=1,IF('Model inputs'!G105="","",'Model inputs'!G105=1))),0,IF('Model inputs'!F49="","",'Model inputs'!F49))="",0,IF(IF(IF(ISERROR('Model inputs'!G105=1),'Model inputs'!G105=1,IF('Model inputs'!G105="","",'Model inputs'!G105=1))="",FALSE,IF(ISERROR('Model inputs'!G105=1),'Model inputs'!G105=1,IF('Model inputs'!G105="","",'Model inputs'!G105=1))),0,IF('Model inputs'!F49="","",'Model inputs'!F49)))+'Model inputs'!G96-'Model inputs'!G100</f>
        <v>112500</v>
      </c>
      <c r="H49" s="10">
        <f>IF(IF(IF(IF(ISERROR('Model inputs'!H105=1),'Model inputs'!H105=1,IF('Model inputs'!H105="","",'Model inputs'!H105=1))="",FALSE,IF(ISERROR('Model inputs'!H105=1),'Model inputs'!H105=1,IF('Model inputs'!H105="","",'Model inputs'!H105=1))),0,IF('Model inputs'!G49="","",'Model inputs'!G49))="",0,IF(IF(IF(ISERROR('Model inputs'!H105=1),'Model inputs'!H105=1,IF('Model inputs'!H105="","",'Model inputs'!H105=1))="",FALSE,IF(ISERROR('Model inputs'!H105=1),'Model inputs'!H105=1,IF('Model inputs'!H105="","",'Model inputs'!H105=1))),0,IF('Model inputs'!G49="","",'Model inputs'!G49)))+'Model inputs'!H96-'Model inputs'!H100</f>
        <v>127500</v>
      </c>
      <c r="I49" s="10">
        <f>IF(IF(IF(IF(ISERROR('Model inputs'!I105=1),'Model inputs'!I105=1,IF('Model inputs'!I105="","",'Model inputs'!I105=1))="",FALSE,IF(ISERROR('Model inputs'!I105=1),'Model inputs'!I105=1,IF('Model inputs'!I105="","",'Model inputs'!I105=1))),0,IF('Model inputs'!H49="","",'Model inputs'!H49))="",0,IF(IF(IF(ISERROR('Model inputs'!I105=1),'Model inputs'!I105=1,IF('Model inputs'!I105="","",'Model inputs'!I105=1))="",FALSE,IF(ISERROR('Model inputs'!I105=1),'Model inputs'!I105=1,IF('Model inputs'!I105="","",'Model inputs'!I105=1))),0,IF('Model inputs'!H49="","",'Model inputs'!H49)))+'Model inputs'!I96-'Model inputs'!I100</f>
        <v>140000</v>
      </c>
      <c r="J49" s="10">
        <f>IF(IF(IF(IF(ISERROR('Model inputs'!J105=1),'Model inputs'!J105=1,IF('Model inputs'!J105="","",'Model inputs'!J105=1))="",FALSE,IF(ISERROR('Model inputs'!J105=1),'Model inputs'!J105=1,IF('Model inputs'!J105="","",'Model inputs'!J105=1))),0,IF('Model inputs'!I49="","",'Model inputs'!I49))="",0,IF(IF(IF(ISERROR('Model inputs'!J105=1),'Model inputs'!J105=1,IF('Model inputs'!J105="","",'Model inputs'!J105=1))="",FALSE,IF(ISERROR('Model inputs'!J105=1),'Model inputs'!J105=1,IF('Model inputs'!J105="","",'Model inputs'!J105=1))),0,IF('Model inputs'!I49="","",'Model inputs'!I49)))+'Model inputs'!J96-'Model inputs'!J100</f>
        <v>150000</v>
      </c>
      <c r="K49" s="10">
        <f>IF(IF(IF(IF(ISERROR('Model inputs'!K105=1),'Model inputs'!K105=1,IF('Model inputs'!K105="","",'Model inputs'!K105=1))="",FALSE,IF(ISERROR('Model inputs'!K105=1),'Model inputs'!K105=1,IF('Model inputs'!K105="","",'Model inputs'!K105=1))),0,IF('Model inputs'!J49="","",'Model inputs'!J49))="",0,IF(IF(IF(ISERROR('Model inputs'!K105=1),'Model inputs'!K105=1,IF('Model inputs'!K105="","",'Model inputs'!K105=1))="",FALSE,IF(ISERROR('Model inputs'!K105=1),'Model inputs'!K105=1,IF('Model inputs'!K105="","",'Model inputs'!K105=1))),0,IF('Model inputs'!J49="","",'Model inputs'!J49)))+'Model inputs'!K96-'Model inputs'!K100</f>
        <v>157500</v>
      </c>
      <c r="L49" s="10">
        <f>IF(IF(IF(IF(ISERROR('Model inputs'!L105=1),'Model inputs'!L105=1,IF('Model inputs'!L105="","",'Model inputs'!L105=1))="",FALSE,IF(ISERROR('Model inputs'!L105=1),'Model inputs'!L105=1,IF('Model inputs'!L105="","",'Model inputs'!L105=1))),0,IF('Model inputs'!K49="","",'Model inputs'!K49))="",0,IF(IF(IF(ISERROR('Model inputs'!L105=1),'Model inputs'!L105=1,IF('Model inputs'!L105="","",'Model inputs'!L105=1))="",FALSE,IF(ISERROR('Model inputs'!L105=1),'Model inputs'!L105=1,IF('Model inputs'!L105="","",'Model inputs'!L105=1))),0,IF('Model inputs'!K49="","",'Model inputs'!K49)))+'Model inputs'!L96-'Model inputs'!L100</f>
        <v>162500</v>
      </c>
      <c r="M49" s="10">
        <f>IF(IF(IF(IF(ISERROR('Model inputs'!M105=1),'Model inputs'!M105=1,IF('Model inputs'!M105="","",'Model inputs'!M105=1))="",FALSE,IF(ISERROR('Model inputs'!M105=1),'Model inputs'!M105=1,IF('Model inputs'!M105="","",'Model inputs'!M105=1))),0,IF('Model inputs'!L49="","",'Model inputs'!L49))="",0,IF(IF(IF(ISERROR('Model inputs'!M105=1),'Model inputs'!M105=1,IF('Model inputs'!M105="","",'Model inputs'!M105=1))="",FALSE,IF(ISERROR('Model inputs'!M105=1),'Model inputs'!M105=1,IF('Model inputs'!M105="","",'Model inputs'!M105=1))),0,IF('Model inputs'!L49="","",'Model inputs'!L49)))+'Model inputs'!M96-'Model inputs'!M100</f>
        <v>165000</v>
      </c>
      <c r="N49" s="10">
        <f>IF(IF(IF(IF(ISERROR('Model inputs'!N105=1),'Model inputs'!N105=1,IF('Model inputs'!N105="","",'Model inputs'!N105=1))="",FALSE,IF(ISERROR('Model inputs'!N105=1),'Model inputs'!N105=1,IF('Model inputs'!N105="","",'Model inputs'!N105=1))),0,IF('Model inputs'!M49="","",'Model inputs'!M49))="",0,IF(IF(IF(ISERROR('Model inputs'!N105=1),'Model inputs'!N105=1,IF('Model inputs'!N105="","",'Model inputs'!N105=1))="",FALSE,IF(ISERROR('Model inputs'!N105=1),'Model inputs'!N105=1,IF('Model inputs'!N105="","",'Model inputs'!N105=1))),0,IF('Model inputs'!M49="","",'Model inputs'!M49)))+'Model inputs'!N96-'Model inputs'!N100</f>
        <v>165000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>
      <c r="A50" t="inlineStr" s="14">
        <is>
          <t xml:space="preserve">Delivery COGS</t>
        </is>
      </c>
      <c r="B50" s="12">
        <f>SUM('Model inputs'!B51,'Model inputs'!B52,'Model inputs'!B53,'Model inputs'!B54,'Model inputs'!B55)</f>
        <v>0</v>
      </c>
      <c r="C50" t="str" s="12">
        <f>""</f>
        <v/>
      </c>
      <c r="D50" t="str" s="12">
        <f>""</f>
        <v/>
      </c>
      <c r="E50" t="str" s="12">
        <f>""</f>
        <v/>
      </c>
      <c r="F50" t="str" s="12">
        <f>""</f>
        <v/>
      </c>
      <c r="G50" t="str" s="12">
        <f>""</f>
        <v/>
      </c>
      <c r="H50" t="str" s="12">
        <f>""</f>
        <v/>
      </c>
      <c r="I50" t="str" s="12">
        <f>""</f>
        <v/>
      </c>
      <c r="J50" t="str" s="12">
        <f>""</f>
        <v/>
      </c>
      <c r="K50" t="str" s="12">
        <f>""</f>
        <v/>
      </c>
      <c r="L50" t="str" s="12">
        <f>""</f>
        <v/>
      </c>
      <c r="M50" t="str" s="12">
        <f>""</f>
        <v/>
      </c>
      <c r="N50" t="str" s="12">
        <f>""</f>
        <v/>
      </c>
    </row>
    <row r="51" outlineLevel="1">
      <c r="A51" t="inlineStr" s="15">
        <is>
          <t xml:space="preserve">Delivery COGS &gt; Annual deal-team</t>
        </is>
      </c>
      <c r="B51" s="10">
        <f>0</f>
        <v>0</v>
      </c>
      <c r="C51" s="10">
        <f>'Model inputs'!C13*'Model inputs'!O131</f>
        <v>473.25</v>
      </c>
      <c r="D51" s="10">
        <f>'Model inputs'!D13*'Model inputs'!O131</f>
        <v>946.5</v>
      </c>
      <c r="E51" s="10">
        <f>'Model inputs'!E13*'Model inputs'!O131</f>
        <v>1419.75</v>
      </c>
      <c r="F51" s="10">
        <f>'Model inputs'!F13*'Model inputs'!O131</f>
        <v>1893</v>
      </c>
      <c r="G51" s="10">
        <f>'Model inputs'!G13*'Model inputs'!O131</f>
        <v>2366.25</v>
      </c>
      <c r="H51" s="10">
        <f>'Model inputs'!H13*'Model inputs'!O131</f>
        <v>2839.5</v>
      </c>
      <c r="I51" s="10">
        <f>'Model inputs'!I13*'Model inputs'!O131</f>
        <v>3312.75</v>
      </c>
      <c r="J51" s="10">
        <f>'Model inputs'!J13*'Model inputs'!O131</f>
        <v>3786</v>
      </c>
      <c r="K51" s="10">
        <f>'Model inputs'!K13*'Model inputs'!O131</f>
        <v>4259.25</v>
      </c>
      <c r="L51" s="10">
        <f>'Model inputs'!L13*'Model inputs'!O131</f>
        <v>4732.5</v>
      </c>
      <c r="M51" s="10">
        <f>'Model inputs'!M13*'Model inputs'!O131</f>
        <v>5205.75</v>
      </c>
      <c r="N51" s="10">
        <f>'Model inputs'!N13*'Model inputs'!O131</f>
        <v>5679</v>
      </c>
    </row>
    <row r="52" outlineLevel="1">
      <c r="A52" t="inlineStr" s="15">
        <is>
          <t xml:space="preserve">Delivery COGS &gt; Hybrid</t>
        </is>
      </c>
      <c r="B52" s="10">
        <f>0</f>
        <v>0</v>
      </c>
      <c r="C52" s="10">
        <f>'Model inputs'!C14*'Model inputs'!O131</f>
        <v>473.25</v>
      </c>
      <c r="D52" s="10">
        <f>'Model inputs'!D14*'Model inputs'!O131</f>
        <v>946.5</v>
      </c>
      <c r="E52" s="10">
        <f>'Model inputs'!E14*'Model inputs'!O131</f>
        <v>1419.75</v>
      </c>
      <c r="F52" s="10">
        <f>'Model inputs'!F14*'Model inputs'!O131</f>
        <v>1893</v>
      </c>
      <c r="G52" s="10">
        <f>'Model inputs'!G14*'Model inputs'!O131</f>
        <v>2366.25</v>
      </c>
      <c r="H52" s="10">
        <f>'Model inputs'!H14*'Model inputs'!O131</f>
        <v>2839.5</v>
      </c>
      <c r="I52" s="10">
        <f>'Model inputs'!I14*'Model inputs'!O131</f>
        <v>3312.75</v>
      </c>
      <c r="J52" s="10">
        <f>'Model inputs'!J14*'Model inputs'!O131</f>
        <v>3786</v>
      </c>
      <c r="K52" s="10">
        <f>'Model inputs'!K14*'Model inputs'!O131</f>
        <v>4259.25</v>
      </c>
      <c r="L52" s="10">
        <f>'Model inputs'!L14*'Model inputs'!O131</f>
        <v>4732.5</v>
      </c>
      <c r="M52" s="10">
        <f>'Model inputs'!M14*'Model inputs'!O131</f>
        <v>5205.75</v>
      </c>
      <c r="N52" s="10">
        <f>'Model inputs'!N14*'Model inputs'!O131</f>
        <v>5679</v>
      </c>
    </row>
    <row r="53" outlineLevel="1">
      <c r="A53" t="inlineStr" s="15">
        <is>
          <t xml:space="preserve">Delivery COGS &gt; Per audit — base</t>
        </is>
      </c>
      <c r="B53" s="10">
        <f>0</f>
        <v>0</v>
      </c>
      <c r="C53" s="10">
        <f>'Model inputs'!C15*'Model inputs'!O131</f>
        <v>473.25</v>
      </c>
      <c r="D53" s="10">
        <f>'Model inputs'!D15*'Model inputs'!O131</f>
        <v>946.5</v>
      </c>
      <c r="E53" s="10">
        <f>'Model inputs'!E15*'Model inputs'!O131</f>
        <v>1419.75</v>
      </c>
      <c r="F53" s="10">
        <f>'Model inputs'!F15*'Model inputs'!O131</f>
        <v>1893</v>
      </c>
      <c r="G53" s="10">
        <f>'Model inputs'!G15*'Model inputs'!O131</f>
        <v>2366.25</v>
      </c>
      <c r="H53" s="10">
        <f>'Model inputs'!H15*'Model inputs'!O131</f>
        <v>2839.5</v>
      </c>
      <c r="I53" s="10">
        <f>'Model inputs'!I15*'Model inputs'!O131</f>
        <v>3312.75</v>
      </c>
      <c r="J53" s="10">
        <f>'Model inputs'!J15*'Model inputs'!O131</f>
        <v>3786</v>
      </c>
      <c r="K53" s="10">
        <f>'Model inputs'!K15*'Model inputs'!O131</f>
        <v>4259.25</v>
      </c>
      <c r="L53" s="10">
        <f>'Model inputs'!L15*'Model inputs'!O131</f>
        <v>4732.5</v>
      </c>
      <c r="M53" s="10">
        <f>'Model inputs'!M15*'Model inputs'!O131</f>
        <v>5205.75</v>
      </c>
      <c r="N53" s="10">
        <f>'Model inputs'!N15*'Model inputs'!O131</f>
        <v>5679</v>
      </c>
    </row>
    <row r="54" outlineLevel="1">
      <c r="A54" t="inlineStr" s="15">
        <is>
          <t xml:space="preserve">Delivery COGS &gt; Per audit — high</t>
        </is>
      </c>
      <c r="B54" s="10">
        <f>0</f>
        <v>0</v>
      </c>
      <c r="C54" s="10">
        <f>'Model inputs'!C16*'Model inputs'!O131</f>
        <v>473.25</v>
      </c>
      <c r="D54" s="10">
        <f>'Model inputs'!D16*'Model inputs'!O131</f>
        <v>946.5</v>
      </c>
      <c r="E54" s="10">
        <f>'Model inputs'!E16*'Model inputs'!O131</f>
        <v>1419.75</v>
      </c>
      <c r="F54" s="10">
        <f>'Model inputs'!F16*'Model inputs'!O131</f>
        <v>1893</v>
      </c>
      <c r="G54" s="10">
        <f>'Model inputs'!G16*'Model inputs'!O131</f>
        <v>2366.25</v>
      </c>
      <c r="H54" s="10">
        <f>'Model inputs'!H16*'Model inputs'!O131</f>
        <v>2839.5</v>
      </c>
      <c r="I54" s="10">
        <f>'Model inputs'!I16*'Model inputs'!O131</f>
        <v>3312.75</v>
      </c>
      <c r="J54" s="10">
        <f>'Model inputs'!J16*'Model inputs'!O131</f>
        <v>3786</v>
      </c>
      <c r="K54" s="10">
        <f>'Model inputs'!K16*'Model inputs'!O131</f>
        <v>4259.25</v>
      </c>
      <c r="L54" s="10">
        <f>'Model inputs'!L16*'Model inputs'!O131</f>
        <v>4732.5</v>
      </c>
      <c r="M54" s="10">
        <f>'Model inputs'!M16*'Model inputs'!O131</f>
        <v>5205.75</v>
      </c>
      <c r="N54" s="10">
        <f>'Model inputs'!N16*'Model inputs'!O131</f>
        <v>5679</v>
      </c>
    </row>
    <row r="55" outlineLevel="1">
      <c r="A55" t="inlineStr" s="15">
        <is>
          <t xml:space="preserve">Delivery COGS &gt; Per audit — low</t>
        </is>
      </c>
      <c r="B55" s="10">
        <f>0</f>
        <v>0</v>
      </c>
      <c r="C55" s="10">
        <f>'Model inputs'!C17*'Model inputs'!O131</f>
        <v>473.25</v>
      </c>
      <c r="D55" s="10">
        <f>'Model inputs'!D17*'Model inputs'!O131</f>
        <v>946.5</v>
      </c>
      <c r="E55" s="10">
        <f>'Model inputs'!E17*'Model inputs'!O131</f>
        <v>1419.75</v>
      </c>
      <c r="F55" s="10">
        <f>'Model inputs'!F17*'Model inputs'!O131</f>
        <v>1893</v>
      </c>
      <c r="G55" s="10">
        <f>'Model inputs'!G17*'Model inputs'!O131</f>
        <v>2366.25</v>
      </c>
      <c r="H55" s="10">
        <f>'Model inputs'!H17*'Model inputs'!O131</f>
        <v>2839.5</v>
      </c>
      <c r="I55" s="10">
        <f>'Model inputs'!I17*'Model inputs'!O131</f>
        <v>3312.75</v>
      </c>
      <c r="J55" s="10">
        <f>'Model inputs'!J17*'Model inputs'!O131</f>
        <v>3786</v>
      </c>
      <c r="K55" s="10">
        <f>'Model inputs'!K17*'Model inputs'!O131</f>
        <v>4259.25</v>
      </c>
      <c r="L55" s="10">
        <f>'Model inputs'!L17*'Model inputs'!O131</f>
        <v>4732.5</v>
      </c>
      <c r="M55" s="10">
        <f>'Model inputs'!M17*'Model inputs'!O131</f>
        <v>5205.75</v>
      </c>
      <c r="N55" s="10">
        <f>'Model inputs'!N17*'Model inputs'!O131</f>
        <v>5679</v>
      </c>
    </row>
    <row r="56">
      <c r="A56" t="inlineStr" s="14">
        <is>
          <t xml:space="preserve">Delivery tooling per audit</t>
        </is>
      </c>
      <c r="O56" s="10">
        <f>2</f>
        <v>2</v>
      </c>
    </row>
    <row r="57">
      <c r="A57" t="inlineStr" s="14">
        <is>
          <t xml:space="preserve">Earned revenue</t>
        </is>
      </c>
      <c r="B57" s="12">
        <f>SUM('Model inputs'!B58,'Model inputs'!B59,'Model inputs'!B60,'Model inputs'!B61,'Model inputs'!B62)</f>
        <v>0</v>
      </c>
      <c r="C57" t="str" s="12">
        <f>""</f>
        <v/>
      </c>
      <c r="D57" t="str" s="12">
        <f>""</f>
        <v/>
      </c>
      <c r="E57" t="str" s="12">
        <f>""</f>
        <v/>
      </c>
      <c r="F57" t="str" s="12">
        <f>""</f>
        <v/>
      </c>
      <c r="G57" t="str" s="12">
        <f>""</f>
        <v/>
      </c>
      <c r="H57" t="str" s="12">
        <f>""</f>
        <v/>
      </c>
      <c r="I57" t="str" s="12">
        <f>""</f>
        <v/>
      </c>
      <c r="J57" t="str" s="12">
        <f>""</f>
        <v/>
      </c>
      <c r="K57" t="str" s="12">
        <f>""</f>
        <v/>
      </c>
      <c r="L57" t="str" s="12">
        <f>""</f>
        <v/>
      </c>
      <c r="M57" t="str" s="12">
        <f>""</f>
        <v/>
      </c>
      <c r="N57" t="str" s="12">
        <f>""</f>
        <v/>
      </c>
    </row>
    <row r="58" outlineLevel="1">
      <c r="A58" t="inlineStr" s="15">
        <is>
          <t xml:space="preserve">Earned revenue &gt; Annual deal-team</t>
        </is>
      </c>
      <c r="B58" s="10">
        <f>0</f>
        <v>0</v>
      </c>
      <c r="C58" s="10">
        <f>'Model inputs'!C143*'Model inputs'!O125</f>
        <v>5000</v>
      </c>
      <c r="D58" s="10">
        <f>'Model inputs'!D143*'Model inputs'!O125</f>
        <v>10000</v>
      </c>
      <c r="E58" s="10">
        <f>'Model inputs'!E143*'Model inputs'!O125</f>
        <v>15000</v>
      </c>
      <c r="F58" s="10">
        <f>'Model inputs'!F143*'Model inputs'!O125</f>
        <v>20000</v>
      </c>
      <c r="G58" s="10">
        <f>'Model inputs'!G143*'Model inputs'!O125</f>
        <v>25000</v>
      </c>
      <c r="H58" s="10">
        <f>'Model inputs'!H143*'Model inputs'!O125</f>
        <v>30000</v>
      </c>
      <c r="I58" s="10">
        <f>'Model inputs'!I143*'Model inputs'!O125</f>
        <v>35000</v>
      </c>
      <c r="J58" s="10">
        <f>'Model inputs'!J143*'Model inputs'!O125</f>
        <v>40000</v>
      </c>
      <c r="K58" s="10">
        <f>'Model inputs'!K143*'Model inputs'!O125</f>
        <v>45000</v>
      </c>
      <c r="L58" s="10">
        <f>'Model inputs'!L143*'Model inputs'!O125</f>
        <v>50000</v>
      </c>
      <c r="M58" s="10">
        <f>'Model inputs'!M143*'Model inputs'!O125</f>
        <v>55000</v>
      </c>
      <c r="N58" s="10">
        <f>'Model inputs'!N143*'Model inputs'!O125</f>
        <v>60000</v>
      </c>
    </row>
    <row r="59" outlineLevel="1">
      <c r="A59" t="inlineStr" s="15">
        <is>
          <t xml:space="preserve">Earned revenue &gt; Hybrid</t>
        </is>
      </c>
      <c r="B59" s="10">
        <f>0</f>
        <v>0</v>
      </c>
      <c r="C59" s="10">
        <f>'Model inputs'!C143*'Model inputs'!O126</f>
        <v>5625</v>
      </c>
      <c r="D59" s="10">
        <f>'Model inputs'!D143*'Model inputs'!O126</f>
        <v>11250</v>
      </c>
      <c r="E59" s="10">
        <f>'Model inputs'!E143*'Model inputs'!O126</f>
        <v>16875</v>
      </c>
      <c r="F59" s="10">
        <f>'Model inputs'!F143*'Model inputs'!O126</f>
        <v>22500</v>
      </c>
      <c r="G59" s="10">
        <f>'Model inputs'!G143*'Model inputs'!O126</f>
        <v>28125</v>
      </c>
      <c r="H59" s="10">
        <f>'Model inputs'!H143*'Model inputs'!O126</f>
        <v>33750</v>
      </c>
      <c r="I59" s="10">
        <f>'Model inputs'!I143*'Model inputs'!O126</f>
        <v>39375</v>
      </c>
      <c r="J59" s="10">
        <f>'Model inputs'!J143*'Model inputs'!O126</f>
        <v>45000</v>
      </c>
      <c r="K59" s="10">
        <f>'Model inputs'!K143*'Model inputs'!O126</f>
        <v>50625</v>
      </c>
      <c r="L59" s="10">
        <f>'Model inputs'!L143*'Model inputs'!O126</f>
        <v>56250</v>
      </c>
      <c r="M59" s="10">
        <f>'Model inputs'!M143*'Model inputs'!O126</f>
        <v>61875</v>
      </c>
      <c r="N59" s="10">
        <f>'Model inputs'!N143*'Model inputs'!O126</f>
        <v>67500</v>
      </c>
    </row>
    <row r="60" outlineLevel="1">
      <c r="A60" t="inlineStr" s="15">
        <is>
          <t xml:space="preserve">Earned revenue &gt; Per audit — base</t>
        </is>
      </c>
      <c r="B60" s="10">
        <f>0</f>
        <v>0</v>
      </c>
      <c r="C60" s="10">
        <f>'Model inputs'!C143*'Model inputs'!O127</f>
        <v>7500</v>
      </c>
      <c r="D60" s="10">
        <f>'Model inputs'!D143*'Model inputs'!O127</f>
        <v>15000</v>
      </c>
      <c r="E60" s="10">
        <f>'Model inputs'!E143*'Model inputs'!O127</f>
        <v>22500</v>
      </c>
      <c r="F60" s="10">
        <f>'Model inputs'!F143*'Model inputs'!O127</f>
        <v>30000</v>
      </c>
      <c r="G60" s="10">
        <f>'Model inputs'!G143*'Model inputs'!O127</f>
        <v>37500</v>
      </c>
      <c r="H60" s="10">
        <f>'Model inputs'!H143*'Model inputs'!O127</f>
        <v>45000</v>
      </c>
      <c r="I60" s="10">
        <f>'Model inputs'!I143*'Model inputs'!O127</f>
        <v>52500</v>
      </c>
      <c r="J60" s="10">
        <f>'Model inputs'!J143*'Model inputs'!O127</f>
        <v>60000</v>
      </c>
      <c r="K60" s="10">
        <f>'Model inputs'!K143*'Model inputs'!O127</f>
        <v>67500</v>
      </c>
      <c r="L60" s="10">
        <f>'Model inputs'!L143*'Model inputs'!O127</f>
        <v>75000</v>
      </c>
      <c r="M60" s="10">
        <f>'Model inputs'!M143*'Model inputs'!O127</f>
        <v>82500</v>
      </c>
      <c r="N60" s="10">
        <f>'Model inputs'!N143*'Model inputs'!O127</f>
        <v>90000</v>
      </c>
    </row>
    <row r="61" outlineLevel="1">
      <c r="A61" t="inlineStr" s="15">
        <is>
          <t xml:space="preserve">Earned revenue &gt; Per audit — high</t>
        </is>
      </c>
      <c r="B61" s="10">
        <f>0</f>
        <v>0</v>
      </c>
      <c r="C61" s="10">
        <f>'Model inputs'!C143*'Model inputs'!O128</f>
        <v>15000</v>
      </c>
      <c r="D61" s="10">
        <f>'Model inputs'!D143*'Model inputs'!O128</f>
        <v>30000</v>
      </c>
      <c r="E61" s="10">
        <f>'Model inputs'!E143*'Model inputs'!O128</f>
        <v>45000</v>
      </c>
      <c r="F61" s="10">
        <f>'Model inputs'!F143*'Model inputs'!O128</f>
        <v>60000</v>
      </c>
      <c r="G61" s="10">
        <f>'Model inputs'!G143*'Model inputs'!O128</f>
        <v>75000</v>
      </c>
      <c r="H61" s="10">
        <f>'Model inputs'!H143*'Model inputs'!O128</f>
        <v>90000</v>
      </c>
      <c r="I61" s="10">
        <f>'Model inputs'!I143*'Model inputs'!O128</f>
        <v>105000</v>
      </c>
      <c r="J61" s="10">
        <f>'Model inputs'!J143*'Model inputs'!O128</f>
        <v>120000</v>
      </c>
      <c r="K61" s="10">
        <f>'Model inputs'!K143*'Model inputs'!O128</f>
        <v>135000</v>
      </c>
      <c r="L61" s="10">
        <f>'Model inputs'!L143*'Model inputs'!O128</f>
        <v>150000</v>
      </c>
      <c r="M61" s="10">
        <f>'Model inputs'!M143*'Model inputs'!O128</f>
        <v>165000</v>
      </c>
      <c r="N61" s="10">
        <f>'Model inputs'!N143*'Model inputs'!O128</f>
        <v>180000</v>
      </c>
    </row>
    <row r="62" outlineLevel="1">
      <c r="A62" t="inlineStr" s="15">
        <is>
          <t xml:space="preserve">Earned revenue &gt; Per audit — low</t>
        </is>
      </c>
      <c r="B62" s="10">
        <f>0</f>
        <v>0</v>
      </c>
      <c r="C62" s="10">
        <f>'Model inputs'!C143*'Model inputs'!O129</f>
        <v>3750</v>
      </c>
      <c r="D62" s="10">
        <f>'Model inputs'!D143*'Model inputs'!O129</f>
        <v>7500</v>
      </c>
      <c r="E62" s="10">
        <f>'Model inputs'!E143*'Model inputs'!O129</f>
        <v>11250</v>
      </c>
      <c r="F62" s="10">
        <f>'Model inputs'!F143*'Model inputs'!O129</f>
        <v>15000</v>
      </c>
      <c r="G62" s="10">
        <f>'Model inputs'!G143*'Model inputs'!O129</f>
        <v>18750</v>
      </c>
      <c r="H62" s="10">
        <f>'Model inputs'!H143*'Model inputs'!O129</f>
        <v>22500</v>
      </c>
      <c r="I62" s="10">
        <f>'Model inputs'!I143*'Model inputs'!O129</f>
        <v>26250</v>
      </c>
      <c r="J62" s="10">
        <f>'Model inputs'!J143*'Model inputs'!O129</f>
        <v>30000</v>
      </c>
      <c r="K62" s="10">
        <f>'Model inputs'!K143*'Model inputs'!O129</f>
        <v>33750</v>
      </c>
      <c r="L62" s="10">
        <f>'Model inputs'!L143*'Model inputs'!O129</f>
        <v>37500</v>
      </c>
      <c r="M62" s="10">
        <f>'Model inputs'!M143*'Model inputs'!O129</f>
        <v>41250</v>
      </c>
      <c r="N62" s="10">
        <f>'Model inputs'!N143*'Model inputs'!O129</f>
        <v>45000</v>
      </c>
    </row>
    <row r="63">
      <c r="A63" t="inlineStr" s="14">
        <is>
          <t xml:space="preserve">Forecast months · DealScope 12-month financial projection</t>
        </is>
      </c>
      <c r="O63" s="9">
        <f>12</f>
        <v>12</v>
      </c>
    </row>
    <row r="64">
      <c r="A64" t="inlineStr" s="14">
        <is>
          <t xml:space="preserve">Forecast months · DealScope forecast overview</t>
        </is>
      </c>
      <c r="P64" s="9">
        <f>12</f>
        <v>12</v>
      </c>
    </row>
    <row r="65">
      <c r="A65" t="inlineStr" s="14">
        <is>
          <t xml:space="preserve">Forecast start date · DealScope forecast overview</t>
        </is>
      </c>
      <c r="P65" s="17">
        <f>DATE(2026,10,1)</f>
        <v>46296</v>
      </c>
    </row>
    <row r="66">
      <c r="A66" t="inlineStr" s="14">
        <is>
          <t xml:space="preserve">Founder salary monthly</t>
        </is>
      </c>
      <c r="O66" s="10">
        <f>0</f>
        <v>0</v>
      </c>
    </row>
    <row r="67">
      <c r="A67" t="inlineStr" s="14">
        <is>
          <t xml:space="preserve">Gross margin by pricing</t>
        </is>
      </c>
      <c r="C67" t="str" s="16">
        <f>IFERROR(IF('Model inputs'!C73="",0,'Model inputs'!C73)/IF('Model inputs'!C57="",0,'Model inputs'!C57),"")</f>
        <v/>
      </c>
      <c r="D67" t="str" s="16">
        <f>IFERROR(IF('Model inputs'!D73="",0,'Model inputs'!D73)/IF('Model inputs'!D57="",0,'Model inputs'!D57),"")</f>
        <v/>
      </c>
      <c r="E67" t="str" s="16">
        <f>IFERROR(IF('Model inputs'!E73="",0,'Model inputs'!E73)/IF('Model inputs'!E57="",0,'Model inputs'!E57),"")</f>
        <v/>
      </c>
      <c r="F67" t="str" s="16">
        <f>IFERROR(IF('Model inputs'!F73="",0,'Model inputs'!F73)/IF('Model inputs'!F57="",0,'Model inputs'!F57),"")</f>
        <v/>
      </c>
      <c r="G67" t="str" s="16">
        <f>IFERROR(IF('Model inputs'!G73="",0,'Model inputs'!G73)/IF('Model inputs'!G57="",0,'Model inputs'!G57),"")</f>
        <v/>
      </c>
      <c r="H67" t="str" s="16">
        <f>IFERROR(IF('Model inputs'!H73="",0,'Model inputs'!H73)/IF('Model inputs'!H57="",0,'Model inputs'!H57),"")</f>
        <v/>
      </c>
      <c r="I67" t="str" s="16">
        <f>IFERROR(IF('Model inputs'!I73="",0,'Model inputs'!I73)/IF('Model inputs'!I57="",0,'Model inputs'!I57),"")</f>
        <v/>
      </c>
      <c r="J67" t="str" s="16">
        <f>IFERROR(IF('Model inputs'!J73="",0,'Model inputs'!J73)/IF('Model inputs'!J57="",0,'Model inputs'!J57),"")</f>
        <v/>
      </c>
      <c r="K67" t="str" s="16">
        <f>IFERROR(IF('Model inputs'!K73="",0,'Model inputs'!K73)/IF('Model inputs'!K57="",0,'Model inputs'!K57),"")</f>
        <v/>
      </c>
      <c r="L67" t="str" s="16">
        <f>IFERROR(IF('Model inputs'!L73="",0,'Model inputs'!L73)/IF('Model inputs'!L57="",0,'Model inputs'!L57),"")</f>
        <v/>
      </c>
      <c r="M67" t="str" s="16">
        <f>IFERROR(IF('Model inputs'!M73="",0,'Model inputs'!M73)/IF('Model inputs'!M57="",0,'Model inputs'!M57),"")</f>
        <v/>
      </c>
      <c r="N67" t="str" s="16">
        <f>IFERROR(IF('Model inputs'!N73="",0,'Model inputs'!N73)/IF('Model inputs'!N57="",0,'Model inputs'!N57),"")</f>
        <v/>
      </c>
    </row>
    <row r="68" outlineLevel="1">
      <c r="A68" t="inlineStr" s="15">
        <is>
          <t xml:space="preserve">Gross margin by pricing &gt; Annual deal-team</t>
        </is>
      </c>
      <c r="C68" s="11">
        <f>IFERROR('Model inputs'!C74/'Model inputs'!C58,"")</f>
        <v>0.90535</v>
      </c>
      <c r="D68" s="11">
        <f>IFERROR('Model inputs'!D74/'Model inputs'!D58,"")</f>
        <v>0.90535</v>
      </c>
      <c r="E68" s="11">
        <f>IFERROR('Model inputs'!E74/'Model inputs'!E58,"")</f>
        <v>0.90535</v>
      </c>
      <c r="F68" s="11">
        <f>IFERROR('Model inputs'!F74/'Model inputs'!F58,"")</f>
        <v>0.90535</v>
      </c>
      <c r="G68" s="11">
        <f>IFERROR('Model inputs'!G74/'Model inputs'!G58,"")</f>
        <v>0.90535</v>
      </c>
      <c r="H68" s="11">
        <f>IFERROR('Model inputs'!H74/'Model inputs'!H58,"")</f>
        <v>0.90535</v>
      </c>
      <c r="I68" s="11">
        <f>IFERROR('Model inputs'!I74/'Model inputs'!I58,"")</f>
        <v>0.90535</v>
      </c>
      <c r="J68" s="11">
        <f>IFERROR('Model inputs'!J74/'Model inputs'!J58,"")</f>
        <v>0.90535</v>
      </c>
      <c r="K68" s="11">
        <f>IFERROR('Model inputs'!K74/'Model inputs'!K58,"")</f>
        <v>0.90535</v>
      </c>
      <c r="L68" s="11">
        <f>IFERROR('Model inputs'!L74/'Model inputs'!L58,"")</f>
        <v>0.90535</v>
      </c>
      <c r="M68" s="11">
        <f>IFERROR('Model inputs'!M74/'Model inputs'!M58,"")</f>
        <v>0.90535</v>
      </c>
      <c r="N68" s="11">
        <f>IFERROR('Model inputs'!N74/'Model inputs'!N58,"")</f>
        <v>0.90535</v>
      </c>
    </row>
    <row r="69" outlineLevel="1">
      <c r="A69" t="inlineStr" s="15">
        <is>
          <t xml:space="preserve">Gross margin by pricing &gt; Hybrid</t>
        </is>
      </c>
      <c r="C69" s="11">
        <f>IFERROR('Model inputs'!C75/'Model inputs'!C59,"")</f>
        <v>0.9158666666666667</v>
      </c>
      <c r="D69" s="11">
        <f>IFERROR('Model inputs'!D75/'Model inputs'!D59,"")</f>
        <v>0.9158666666666667</v>
      </c>
      <c r="E69" s="11">
        <f>IFERROR('Model inputs'!E75/'Model inputs'!E59,"")</f>
        <v>0.9158666666666667</v>
      </c>
      <c r="F69" s="11">
        <f>IFERROR('Model inputs'!F75/'Model inputs'!F59,"")</f>
        <v>0.9158666666666667</v>
      </c>
      <c r="G69" s="11">
        <f>IFERROR('Model inputs'!G75/'Model inputs'!G59,"")</f>
        <v>0.9158666666666667</v>
      </c>
      <c r="H69" s="11">
        <f>IFERROR('Model inputs'!H75/'Model inputs'!H59,"")</f>
        <v>0.9158666666666667</v>
      </c>
      <c r="I69" s="11">
        <f>IFERROR('Model inputs'!I75/'Model inputs'!I59,"")</f>
        <v>0.9158666666666667</v>
      </c>
      <c r="J69" s="11">
        <f>IFERROR('Model inputs'!J75/'Model inputs'!J59,"")</f>
        <v>0.9158666666666667</v>
      </c>
      <c r="K69" s="11">
        <f>IFERROR('Model inputs'!K75/'Model inputs'!K59,"")</f>
        <v>0.9158666666666667</v>
      </c>
      <c r="L69" s="11">
        <f>IFERROR('Model inputs'!L75/'Model inputs'!L59,"")</f>
        <v>0.9158666666666667</v>
      </c>
      <c r="M69" s="11">
        <f>IFERROR('Model inputs'!M75/'Model inputs'!M59,"")</f>
        <v>0.9158666666666667</v>
      </c>
      <c r="N69" s="11">
        <f>IFERROR('Model inputs'!N75/'Model inputs'!N59,"")</f>
        <v>0.9158666666666667</v>
      </c>
    </row>
    <row r="70" outlineLevel="1">
      <c r="A70" t="inlineStr" s="15">
        <is>
          <t xml:space="preserve">Gross margin by pricing &gt; Per audit — base</t>
        </is>
      </c>
      <c r="C70" s="11">
        <f>IFERROR('Model inputs'!C76/'Model inputs'!C60,"")</f>
        <v>0.9369</v>
      </c>
      <c r="D70" s="11">
        <f>IFERROR('Model inputs'!D76/'Model inputs'!D60,"")</f>
        <v>0.9369</v>
      </c>
      <c r="E70" s="11">
        <f>IFERROR('Model inputs'!E76/'Model inputs'!E60,"")</f>
        <v>0.9369</v>
      </c>
      <c r="F70" s="11">
        <f>IFERROR('Model inputs'!F76/'Model inputs'!F60,"")</f>
        <v>0.9369</v>
      </c>
      <c r="G70" s="11">
        <f>IFERROR('Model inputs'!G76/'Model inputs'!G60,"")</f>
        <v>0.9369</v>
      </c>
      <c r="H70" s="11">
        <f>IFERROR('Model inputs'!H76/'Model inputs'!H60,"")</f>
        <v>0.9369</v>
      </c>
      <c r="I70" s="11">
        <f>IFERROR('Model inputs'!I76/'Model inputs'!I60,"")</f>
        <v>0.9369</v>
      </c>
      <c r="J70" s="11">
        <f>IFERROR('Model inputs'!J76/'Model inputs'!J60,"")</f>
        <v>0.9369</v>
      </c>
      <c r="K70" s="11">
        <f>IFERROR('Model inputs'!K76/'Model inputs'!K60,"")</f>
        <v>0.9369</v>
      </c>
      <c r="L70" s="11">
        <f>IFERROR('Model inputs'!L76/'Model inputs'!L60,"")</f>
        <v>0.9369</v>
      </c>
      <c r="M70" s="11">
        <f>IFERROR('Model inputs'!M76/'Model inputs'!M60,"")</f>
        <v>0.9369</v>
      </c>
      <c r="N70" s="11">
        <f>IFERROR('Model inputs'!N76/'Model inputs'!N60,"")</f>
        <v>0.9369</v>
      </c>
    </row>
    <row r="71" outlineLevel="1">
      <c r="A71" t="inlineStr" s="15">
        <is>
          <t xml:space="preserve">Gross margin by pricing &gt; Per audit — high</t>
        </is>
      </c>
      <c r="C71" s="11">
        <f>IFERROR('Model inputs'!C77/'Model inputs'!C61,"")</f>
        <v>0.96845</v>
      </c>
      <c r="D71" s="11">
        <f>IFERROR('Model inputs'!D77/'Model inputs'!D61,"")</f>
        <v>0.96845</v>
      </c>
      <c r="E71" s="11">
        <f>IFERROR('Model inputs'!E77/'Model inputs'!E61,"")</f>
        <v>0.96845</v>
      </c>
      <c r="F71" s="11">
        <f>IFERROR('Model inputs'!F77/'Model inputs'!F61,"")</f>
        <v>0.96845</v>
      </c>
      <c r="G71" s="11">
        <f>IFERROR('Model inputs'!G77/'Model inputs'!G61,"")</f>
        <v>0.96845</v>
      </c>
      <c r="H71" s="11">
        <f>IFERROR('Model inputs'!H77/'Model inputs'!H61,"")</f>
        <v>0.96845</v>
      </c>
      <c r="I71" s="11">
        <f>IFERROR('Model inputs'!I77/'Model inputs'!I61,"")</f>
        <v>0.96845</v>
      </c>
      <c r="J71" s="11">
        <f>IFERROR('Model inputs'!J77/'Model inputs'!J61,"")</f>
        <v>0.96845</v>
      </c>
      <c r="K71" s="11">
        <f>IFERROR('Model inputs'!K77/'Model inputs'!K61,"")</f>
        <v>0.96845</v>
      </c>
      <c r="L71" s="11">
        <f>IFERROR('Model inputs'!L77/'Model inputs'!L61,"")</f>
        <v>0.96845</v>
      </c>
      <c r="M71" s="11">
        <f>IFERROR('Model inputs'!M77/'Model inputs'!M61,"")</f>
        <v>0.96845</v>
      </c>
      <c r="N71" s="11">
        <f>IFERROR('Model inputs'!N77/'Model inputs'!N61,"")</f>
        <v>0.96845</v>
      </c>
    </row>
    <row r="72" outlineLevel="1">
      <c r="A72" t="inlineStr" s="15">
        <is>
          <t xml:space="preserve">Gross margin by pricing &gt; Per audit — low</t>
        </is>
      </c>
      <c r="C72" s="11">
        <f>IFERROR('Model inputs'!C78/'Model inputs'!C62,"")</f>
        <v>0.8738</v>
      </c>
      <c r="D72" s="11">
        <f>IFERROR('Model inputs'!D78/'Model inputs'!D62,"")</f>
        <v>0.8738</v>
      </c>
      <c r="E72" s="11">
        <f>IFERROR('Model inputs'!E78/'Model inputs'!E62,"")</f>
        <v>0.8738</v>
      </c>
      <c r="F72" s="11">
        <f>IFERROR('Model inputs'!F78/'Model inputs'!F62,"")</f>
        <v>0.8738</v>
      </c>
      <c r="G72" s="11">
        <f>IFERROR('Model inputs'!G78/'Model inputs'!G62,"")</f>
        <v>0.8738</v>
      </c>
      <c r="H72" s="11">
        <f>IFERROR('Model inputs'!H78/'Model inputs'!H62,"")</f>
        <v>0.8738</v>
      </c>
      <c r="I72" s="11">
        <f>IFERROR('Model inputs'!I78/'Model inputs'!I62,"")</f>
        <v>0.8738</v>
      </c>
      <c r="J72" s="11">
        <f>IFERROR('Model inputs'!J78/'Model inputs'!J62,"")</f>
        <v>0.8738</v>
      </c>
      <c r="K72" s="11">
        <f>IFERROR('Model inputs'!K78/'Model inputs'!K62,"")</f>
        <v>0.8738</v>
      </c>
      <c r="L72" s="11">
        <f>IFERROR('Model inputs'!L78/'Model inputs'!L62,"")</f>
        <v>0.8738</v>
      </c>
      <c r="M72" s="11">
        <f>IFERROR('Model inputs'!M78/'Model inputs'!M62,"")</f>
        <v>0.8738</v>
      </c>
      <c r="N72" s="11">
        <f>IFERROR('Model inputs'!N78/'Model inputs'!N62,"")</f>
        <v>0.8738</v>
      </c>
    </row>
    <row r="73">
      <c r="A73" t="inlineStr" s="14">
        <is>
          <t xml:space="preserve">Gross profit</t>
        </is>
      </c>
      <c r="C73" t="str" s="12">
        <f>""</f>
        <v/>
      </c>
      <c r="D73" t="str" s="12">
        <f>""</f>
        <v/>
      </c>
      <c r="E73" t="str" s="12">
        <f>""</f>
        <v/>
      </c>
      <c r="F73" t="str" s="12">
        <f>""</f>
        <v/>
      </c>
      <c r="G73" t="str" s="12">
        <f>""</f>
        <v/>
      </c>
      <c r="H73" t="str" s="12">
        <f>""</f>
        <v/>
      </c>
      <c r="I73" t="str" s="12">
        <f>""</f>
        <v/>
      </c>
      <c r="J73" t="str" s="12">
        <f>""</f>
        <v/>
      </c>
      <c r="K73" t="str" s="12">
        <f>""</f>
        <v/>
      </c>
      <c r="L73" t="str" s="12">
        <f>""</f>
        <v/>
      </c>
      <c r="M73" t="str" s="12">
        <f>""</f>
        <v/>
      </c>
      <c r="N73" t="str" s="12">
        <f>""</f>
        <v/>
      </c>
    </row>
    <row r="74" outlineLevel="1">
      <c r="A74" t="inlineStr" s="15">
        <is>
          <t xml:space="preserve">Gross profit &gt; Annual deal-team</t>
        </is>
      </c>
      <c r="C74" s="10">
        <f>'Model inputs'!C58-'Model inputs'!C51</f>
        <v>4526.75</v>
      </c>
      <c r="D74" s="10">
        <f>'Model inputs'!D58-'Model inputs'!D51</f>
        <v>9053.5</v>
      </c>
      <c r="E74" s="10">
        <f>'Model inputs'!E58-'Model inputs'!E51</f>
        <v>13580.25</v>
      </c>
      <c r="F74" s="10">
        <f>'Model inputs'!F58-'Model inputs'!F51</f>
        <v>18107</v>
      </c>
      <c r="G74" s="10">
        <f>'Model inputs'!G58-'Model inputs'!G51</f>
        <v>22633.75</v>
      </c>
      <c r="H74" s="10">
        <f>'Model inputs'!H58-'Model inputs'!H51</f>
        <v>27160.5</v>
      </c>
      <c r="I74" s="10">
        <f>'Model inputs'!I58-'Model inputs'!I51</f>
        <v>31687.25</v>
      </c>
      <c r="J74" s="10">
        <f>'Model inputs'!J58-'Model inputs'!J51</f>
        <v>36214</v>
      </c>
      <c r="K74" s="10">
        <f>'Model inputs'!K58-'Model inputs'!K51</f>
        <v>40740.75</v>
      </c>
      <c r="L74" s="10">
        <f>'Model inputs'!L58-'Model inputs'!L51</f>
        <v>45267.5</v>
      </c>
      <c r="M74" s="10">
        <f>'Model inputs'!M58-'Model inputs'!M51</f>
        <v>49794.25</v>
      </c>
      <c r="N74" s="10">
        <f>'Model inputs'!N58-'Model inputs'!N51</f>
        <v>54321</v>
      </c>
    </row>
    <row r="75" outlineLevel="1">
      <c r="A75" t="inlineStr" s="15">
        <is>
          <t xml:space="preserve">Gross profit &gt; Hybrid</t>
        </is>
      </c>
      <c r="C75" s="10">
        <f>'Model inputs'!C59-'Model inputs'!C52</f>
        <v>5151.75</v>
      </c>
      <c r="D75" s="10">
        <f>'Model inputs'!D59-'Model inputs'!D52</f>
        <v>10303.5</v>
      </c>
      <c r="E75" s="10">
        <f>'Model inputs'!E59-'Model inputs'!E52</f>
        <v>15455.25</v>
      </c>
      <c r="F75" s="10">
        <f>'Model inputs'!F59-'Model inputs'!F52</f>
        <v>20607</v>
      </c>
      <c r="G75" s="10">
        <f>'Model inputs'!G59-'Model inputs'!G52</f>
        <v>25758.75</v>
      </c>
      <c r="H75" s="10">
        <f>'Model inputs'!H59-'Model inputs'!H52</f>
        <v>30910.5</v>
      </c>
      <c r="I75" s="10">
        <f>'Model inputs'!I59-'Model inputs'!I52</f>
        <v>36062.25</v>
      </c>
      <c r="J75" s="10">
        <f>'Model inputs'!J59-'Model inputs'!J52</f>
        <v>41214</v>
      </c>
      <c r="K75" s="10">
        <f>'Model inputs'!K59-'Model inputs'!K52</f>
        <v>46365.75</v>
      </c>
      <c r="L75" s="10">
        <f>'Model inputs'!L59-'Model inputs'!L52</f>
        <v>51517.5</v>
      </c>
      <c r="M75" s="10">
        <f>'Model inputs'!M59-'Model inputs'!M52</f>
        <v>56669.25</v>
      </c>
      <c r="N75" s="10">
        <f>'Model inputs'!N59-'Model inputs'!N52</f>
        <v>61821</v>
      </c>
    </row>
    <row r="76" outlineLevel="1">
      <c r="A76" t="inlineStr" s="15">
        <is>
          <t xml:space="preserve">Gross profit &gt; Per audit — base</t>
        </is>
      </c>
      <c r="C76" s="10">
        <f>'Model inputs'!C60-'Model inputs'!C53</f>
        <v>7026.75</v>
      </c>
      <c r="D76" s="10">
        <f>'Model inputs'!D60-'Model inputs'!D53</f>
        <v>14053.5</v>
      </c>
      <c r="E76" s="10">
        <f>'Model inputs'!E60-'Model inputs'!E53</f>
        <v>21080.25</v>
      </c>
      <c r="F76" s="10">
        <f>'Model inputs'!F60-'Model inputs'!F53</f>
        <v>28107</v>
      </c>
      <c r="G76" s="10">
        <f>'Model inputs'!G60-'Model inputs'!G53</f>
        <v>35133.75</v>
      </c>
      <c r="H76" s="10">
        <f>'Model inputs'!H60-'Model inputs'!H53</f>
        <v>42160.5</v>
      </c>
      <c r="I76" s="10">
        <f>'Model inputs'!I60-'Model inputs'!I53</f>
        <v>49187.25</v>
      </c>
      <c r="J76" s="10">
        <f>'Model inputs'!J60-'Model inputs'!J53</f>
        <v>56214</v>
      </c>
      <c r="K76" s="10">
        <f>'Model inputs'!K60-'Model inputs'!K53</f>
        <v>63240.75</v>
      </c>
      <c r="L76" s="10">
        <f>'Model inputs'!L60-'Model inputs'!L53</f>
        <v>70267.5</v>
      </c>
      <c r="M76" s="10">
        <f>'Model inputs'!M60-'Model inputs'!M53</f>
        <v>77294.25</v>
      </c>
      <c r="N76" s="10">
        <f>'Model inputs'!N60-'Model inputs'!N53</f>
        <v>84321</v>
      </c>
    </row>
    <row r="77" outlineLevel="1">
      <c r="A77" t="inlineStr" s="15">
        <is>
          <t xml:space="preserve">Gross profit &gt; Per audit — high</t>
        </is>
      </c>
      <c r="C77" s="10">
        <f>'Model inputs'!C61-'Model inputs'!C54</f>
        <v>14526.75</v>
      </c>
      <c r="D77" s="10">
        <f>'Model inputs'!D61-'Model inputs'!D54</f>
        <v>29053.5</v>
      </c>
      <c r="E77" s="10">
        <f>'Model inputs'!E61-'Model inputs'!E54</f>
        <v>43580.25</v>
      </c>
      <c r="F77" s="10">
        <f>'Model inputs'!F61-'Model inputs'!F54</f>
        <v>58107</v>
      </c>
      <c r="G77" s="10">
        <f>'Model inputs'!G61-'Model inputs'!G54</f>
        <v>72633.75</v>
      </c>
      <c r="H77" s="10">
        <f>'Model inputs'!H61-'Model inputs'!H54</f>
        <v>87160.5</v>
      </c>
      <c r="I77" s="10">
        <f>'Model inputs'!I61-'Model inputs'!I54</f>
        <v>101687.25</v>
      </c>
      <c r="J77" s="10">
        <f>'Model inputs'!J61-'Model inputs'!J54</f>
        <v>116214</v>
      </c>
      <c r="K77" s="10">
        <f>'Model inputs'!K61-'Model inputs'!K54</f>
        <v>130740.75</v>
      </c>
      <c r="L77" s="10">
        <f>'Model inputs'!L61-'Model inputs'!L54</f>
        <v>145267.5</v>
      </c>
      <c r="M77" s="10">
        <f>'Model inputs'!M61-'Model inputs'!M54</f>
        <v>159794.25</v>
      </c>
      <c r="N77" s="10">
        <f>'Model inputs'!N61-'Model inputs'!N54</f>
        <v>174321</v>
      </c>
    </row>
    <row r="78" outlineLevel="1">
      <c r="A78" t="inlineStr" s="15">
        <is>
          <t xml:space="preserve">Gross profit &gt; Per audit — low</t>
        </is>
      </c>
      <c r="C78" s="10">
        <f>'Model inputs'!C62-'Model inputs'!C55</f>
        <v>3276.75</v>
      </c>
      <c r="D78" s="10">
        <f>'Model inputs'!D62-'Model inputs'!D55</f>
        <v>6553.5</v>
      </c>
      <c r="E78" s="10">
        <f>'Model inputs'!E62-'Model inputs'!E55</f>
        <v>9830.25</v>
      </c>
      <c r="F78" s="10">
        <f>'Model inputs'!F62-'Model inputs'!F55</f>
        <v>13107</v>
      </c>
      <c r="G78" s="10">
        <f>'Model inputs'!G62-'Model inputs'!G55</f>
        <v>16383.75</v>
      </c>
      <c r="H78" s="10">
        <f>'Model inputs'!H62-'Model inputs'!H55</f>
        <v>19660.5</v>
      </c>
      <c r="I78" s="10">
        <f>'Model inputs'!I62-'Model inputs'!I55</f>
        <v>22937.25</v>
      </c>
      <c r="J78" s="10">
        <f>'Model inputs'!J62-'Model inputs'!J55</f>
        <v>26214</v>
      </c>
      <c r="K78" s="10">
        <f>'Model inputs'!K62-'Model inputs'!K55</f>
        <v>29490.75</v>
      </c>
      <c r="L78" s="10">
        <f>'Model inputs'!L62-'Model inputs'!L55</f>
        <v>32767.5</v>
      </c>
      <c r="M78" s="10">
        <f>'Model inputs'!M62-'Model inputs'!M55</f>
        <v>36044.25</v>
      </c>
      <c r="N78" s="10">
        <f>'Model inputs'!N62-'Model inputs'!N55</f>
        <v>39321</v>
      </c>
    </row>
    <row r="79">
      <c r="A79" t="inlineStr" s="14">
        <is>
          <t xml:space="preserve">Hosting monthly</t>
        </is>
      </c>
      <c r="O79" s="10">
        <f>150</f>
        <v>150</v>
      </c>
    </row>
    <row r="80">
      <c r="A80" t="inlineStr" s="14">
        <is>
          <t xml:space="preserve">Linear customer ramp switch · DealScope 12-month financial projection</t>
        </is>
      </c>
      <c r="O80" s="9">
        <f>1</f>
        <v>1</v>
      </c>
    </row>
    <row r="81">
      <c r="A81" t="inlineStr" s="14">
        <is>
          <t xml:space="preserve">LLM cost per audit</t>
        </is>
      </c>
      <c r="O81" s="10">
        <f>'Model inputs'!O135*(1+'Model inputs'!O133*('Model inputs'!O132-1))*'Model inputs'!O130</f>
        <v>0.05</v>
      </c>
    </row>
    <row r="82">
      <c r="A82" t="inlineStr" s="14">
        <is>
          <t xml:space="preserve">Net cash burn</t>
        </is>
      </c>
      <c r="B82" s="12">
        <f>SUM('Model inputs'!B83,'Model inputs'!B84,'Model inputs'!B85,'Model inputs'!B86,'Model inputs'!B87)</f>
        <v>0</v>
      </c>
      <c r="C82" t="str" s="12">
        <f>""</f>
        <v/>
      </c>
      <c r="D82" t="str" s="12">
        <f>""</f>
        <v/>
      </c>
      <c r="E82" t="str" s="12">
        <f>""</f>
        <v/>
      </c>
      <c r="F82" t="str" s="12">
        <f>""</f>
        <v/>
      </c>
      <c r="G82" t="str" s="12">
        <f>""</f>
        <v/>
      </c>
      <c r="H82" t="str" s="12">
        <f>""</f>
        <v/>
      </c>
      <c r="I82" t="str" s="12">
        <f>""</f>
        <v/>
      </c>
      <c r="J82" t="str" s="12">
        <f>""</f>
        <v/>
      </c>
      <c r="K82" t="str" s="12">
        <f>""</f>
        <v/>
      </c>
      <c r="L82" t="str" s="12">
        <f>""</f>
        <v/>
      </c>
      <c r="M82" t="str" s="12">
        <f>""</f>
        <v/>
      </c>
      <c r="N82" t="str" s="12">
        <f>""</f>
        <v/>
      </c>
    </row>
    <row r="83" outlineLevel="1">
      <c r="A83" t="inlineStr" s="15">
        <is>
          <t xml:space="preserve">Net cash burn &gt; Annual deal-team</t>
        </is>
      </c>
      <c r="B83" s="10">
        <f>0</f>
        <v>0</v>
      </c>
      <c r="C83" s="10">
        <f>'Model inputs'!C51+'Model inputs'!C89+'Model inputs'!C7+'Model inputs'!C134-'Model inputs'!C23</f>
        <v>-30264.25</v>
      </c>
      <c r="D83" s="10">
        <f>'Model inputs'!D51+'Model inputs'!D89+'Model inputs'!D7+'Model inputs'!D134-'Model inputs'!D23</f>
        <v>-32178.5</v>
      </c>
      <c r="E83" s="10">
        <f>'Model inputs'!E51+'Model inputs'!E89+'Model inputs'!E7+'Model inputs'!E134-'Model inputs'!E23</f>
        <v>-34092.75</v>
      </c>
      <c r="F83" s="10">
        <f>'Model inputs'!F51+'Model inputs'!F89+'Model inputs'!F7+'Model inputs'!F134-'Model inputs'!F23</f>
        <v>-36007</v>
      </c>
      <c r="G83" s="10">
        <f>'Model inputs'!G51+'Model inputs'!G89+'Model inputs'!G7+'Model inputs'!G134-'Model inputs'!G23</f>
        <v>-37921.25</v>
      </c>
      <c r="H83" s="10">
        <f>'Model inputs'!H51+'Model inputs'!H89+'Model inputs'!H7+'Model inputs'!H134-'Model inputs'!H23</f>
        <v>-39335.5</v>
      </c>
      <c r="I83" s="10">
        <f>'Model inputs'!I51+'Model inputs'!I89+'Model inputs'!I7+'Model inputs'!I134-'Model inputs'!I23</f>
        <v>-41249.75</v>
      </c>
      <c r="J83" s="10">
        <f>'Model inputs'!J51+'Model inputs'!J89+'Model inputs'!J7+'Model inputs'!J134-'Model inputs'!J23</f>
        <v>-43164</v>
      </c>
      <c r="K83" s="10">
        <f>'Model inputs'!K51+'Model inputs'!K89+'Model inputs'!K7+'Model inputs'!K134-'Model inputs'!K23</f>
        <v>-45078.25</v>
      </c>
      <c r="L83" s="10">
        <f>'Model inputs'!L51+'Model inputs'!L89+'Model inputs'!L7+'Model inputs'!L134-'Model inputs'!L23</f>
        <v>-46992.5</v>
      </c>
      <c r="M83" s="10">
        <f>'Model inputs'!M51+'Model inputs'!M89+'Model inputs'!M7+'Model inputs'!M134-'Model inputs'!M23</f>
        <v>-48906.75</v>
      </c>
      <c r="N83" s="10">
        <f>'Model inputs'!N51+'Model inputs'!N89+'Model inputs'!N7+'Model inputs'!N134-'Model inputs'!N23</f>
        <v>-50821</v>
      </c>
    </row>
    <row r="84" outlineLevel="1">
      <c r="A84" t="inlineStr" s="15">
        <is>
          <t xml:space="preserve">Net cash burn &gt; Hybrid</t>
        </is>
      </c>
      <c r="B84" s="10">
        <f>0</f>
        <v>0</v>
      </c>
      <c r="C84" s="10">
        <f>'Model inputs'!C52+'Model inputs'!C90+'Model inputs'!C8+'Model inputs'!C134-'Model inputs'!C24</f>
        <v>-10864.25</v>
      </c>
      <c r="D84" s="10">
        <f>'Model inputs'!D52+'Model inputs'!D90+'Model inputs'!D8+'Model inputs'!D134-'Model inputs'!D24</f>
        <v>-15203.5</v>
      </c>
      <c r="E84" s="10">
        <f>'Model inputs'!E52+'Model inputs'!E90+'Model inputs'!E8+'Model inputs'!E134-'Model inputs'!E24</f>
        <v>-19542.75</v>
      </c>
      <c r="F84" s="10">
        <f>'Model inputs'!F52+'Model inputs'!F90+'Model inputs'!F8+'Model inputs'!F134-'Model inputs'!F24</f>
        <v>-23882</v>
      </c>
      <c r="G84" s="10">
        <f>'Model inputs'!G52+'Model inputs'!G90+'Model inputs'!G8+'Model inputs'!G134-'Model inputs'!G24</f>
        <v>-28221.25</v>
      </c>
      <c r="H84" s="10">
        <f>'Model inputs'!H52+'Model inputs'!H90+'Model inputs'!H8+'Model inputs'!H134-'Model inputs'!H24</f>
        <v>-32060.5</v>
      </c>
      <c r="I84" s="10">
        <f>'Model inputs'!I52+'Model inputs'!I90+'Model inputs'!I8+'Model inputs'!I134-'Model inputs'!I24</f>
        <v>-36399.75</v>
      </c>
      <c r="J84" s="10">
        <f>'Model inputs'!J52+'Model inputs'!J90+'Model inputs'!J8+'Model inputs'!J134-'Model inputs'!J24</f>
        <v>-40739</v>
      </c>
      <c r="K84" s="10">
        <f>'Model inputs'!K52+'Model inputs'!K90+'Model inputs'!K8+'Model inputs'!K134-'Model inputs'!K24</f>
        <v>-45078.25</v>
      </c>
      <c r="L84" s="10">
        <f>'Model inputs'!L52+'Model inputs'!L90+'Model inputs'!L8+'Model inputs'!L134-'Model inputs'!L24</f>
        <v>-49417.5</v>
      </c>
      <c r="M84" s="10">
        <f>'Model inputs'!M52+'Model inputs'!M90+'Model inputs'!M8+'Model inputs'!M134-'Model inputs'!M24</f>
        <v>-53756.75</v>
      </c>
      <c r="N84" s="10">
        <f>'Model inputs'!N52+'Model inputs'!N90+'Model inputs'!N8+'Model inputs'!N134-'Model inputs'!N24</f>
        <v>-58096</v>
      </c>
    </row>
    <row r="85" outlineLevel="1">
      <c r="A85" t="inlineStr" s="15">
        <is>
          <t xml:space="preserve">Net cash burn &gt; Per audit — base</t>
        </is>
      </c>
      <c r="B85" s="10">
        <f>0</f>
        <v>0</v>
      </c>
      <c r="C85" s="10">
        <f>'Model inputs'!C53+'Model inputs'!C91+'Model inputs'!C9+'Model inputs'!C134-'Model inputs'!C25</f>
        <v>-6014.25</v>
      </c>
      <c r="D85" s="10">
        <f>'Model inputs'!D53+'Model inputs'!D91+'Model inputs'!D9+'Model inputs'!D134-'Model inputs'!D25</f>
        <v>-12778.5</v>
      </c>
      <c r="E85" s="10">
        <f>'Model inputs'!E53+'Model inputs'!E91+'Model inputs'!E9+'Model inputs'!E134-'Model inputs'!E25</f>
        <v>-19542.75</v>
      </c>
      <c r="F85" s="10">
        <f>'Model inputs'!F53+'Model inputs'!F91+'Model inputs'!F9+'Model inputs'!F134-'Model inputs'!F25</f>
        <v>-26307</v>
      </c>
      <c r="G85" s="10">
        <f>'Model inputs'!G53+'Model inputs'!G91+'Model inputs'!G9+'Model inputs'!G134-'Model inputs'!G25</f>
        <v>-33071.25</v>
      </c>
      <c r="H85" s="10">
        <f>'Model inputs'!H53+'Model inputs'!H91+'Model inputs'!H9+'Model inputs'!H134-'Model inputs'!H25</f>
        <v>-39335.5</v>
      </c>
      <c r="I85" s="10">
        <f>'Model inputs'!I53+'Model inputs'!I91+'Model inputs'!I9+'Model inputs'!I134-'Model inputs'!I25</f>
        <v>-46099.75</v>
      </c>
      <c r="J85" s="10">
        <f>'Model inputs'!J53+'Model inputs'!J91+'Model inputs'!J9+'Model inputs'!J134-'Model inputs'!J25</f>
        <v>-52864</v>
      </c>
      <c r="K85" s="10">
        <f>'Model inputs'!K53+'Model inputs'!K91+'Model inputs'!K9+'Model inputs'!K134-'Model inputs'!K25</f>
        <v>-59628.25</v>
      </c>
      <c r="L85" s="10">
        <f>'Model inputs'!L53+'Model inputs'!L91+'Model inputs'!L9+'Model inputs'!L134-'Model inputs'!L25</f>
        <v>-66392.5</v>
      </c>
      <c r="M85" s="10">
        <f>'Model inputs'!M53+'Model inputs'!M91+'Model inputs'!M9+'Model inputs'!M134-'Model inputs'!M25</f>
        <v>-73156.75</v>
      </c>
      <c r="N85" s="10">
        <f>'Model inputs'!N53+'Model inputs'!N91+'Model inputs'!N9+'Model inputs'!N134-'Model inputs'!N25</f>
        <v>-79921</v>
      </c>
    </row>
    <row r="86" outlineLevel="1">
      <c r="A86" t="inlineStr" s="15">
        <is>
          <t xml:space="preserve">Net cash burn &gt; Per audit — high</t>
        </is>
      </c>
      <c r="B86" s="10">
        <f>0</f>
        <v>0</v>
      </c>
      <c r="C86" s="10">
        <f>'Model inputs'!C54+'Model inputs'!C92+'Model inputs'!C10+'Model inputs'!C134-'Model inputs'!C26</f>
        <v>-13289.25</v>
      </c>
      <c r="D86" s="10">
        <f>'Model inputs'!D54+'Model inputs'!D92+'Model inputs'!D10+'Model inputs'!D134-'Model inputs'!D26</f>
        <v>-27328.5</v>
      </c>
      <c r="E86" s="10">
        <f>'Model inputs'!E54+'Model inputs'!E92+'Model inputs'!E10+'Model inputs'!E134-'Model inputs'!E26</f>
        <v>-41367.75</v>
      </c>
      <c r="F86" s="10">
        <f>'Model inputs'!F54+'Model inputs'!F92+'Model inputs'!F10+'Model inputs'!F134-'Model inputs'!F26</f>
        <v>-55407</v>
      </c>
      <c r="G86" s="10">
        <f>'Model inputs'!G54+'Model inputs'!G92+'Model inputs'!G10+'Model inputs'!G134-'Model inputs'!G26</f>
        <v>-69446.25</v>
      </c>
      <c r="H86" s="10">
        <f>'Model inputs'!H54+'Model inputs'!H92+'Model inputs'!H10+'Model inputs'!H134-'Model inputs'!H26</f>
        <v>-82985.5</v>
      </c>
      <c r="I86" s="10">
        <f>'Model inputs'!I54+'Model inputs'!I92+'Model inputs'!I10+'Model inputs'!I134-'Model inputs'!I26</f>
        <v>-97024.75</v>
      </c>
      <c r="J86" s="10">
        <f>'Model inputs'!J54+'Model inputs'!J92+'Model inputs'!J10+'Model inputs'!J134-'Model inputs'!J26</f>
        <v>-111064</v>
      </c>
      <c r="K86" s="10">
        <f>'Model inputs'!K54+'Model inputs'!K92+'Model inputs'!K10+'Model inputs'!K134-'Model inputs'!K26</f>
        <v>-125103.25</v>
      </c>
      <c r="L86" s="10">
        <f>'Model inputs'!L54+'Model inputs'!L92+'Model inputs'!L10+'Model inputs'!L134-'Model inputs'!L26</f>
        <v>-139142.5</v>
      </c>
      <c r="M86" s="10">
        <f>'Model inputs'!M54+'Model inputs'!M92+'Model inputs'!M10+'Model inputs'!M134-'Model inputs'!M26</f>
        <v>-153181.75</v>
      </c>
      <c r="N86" s="10">
        <f>'Model inputs'!N54+'Model inputs'!N92+'Model inputs'!N10+'Model inputs'!N134-'Model inputs'!N26</f>
        <v>-167221</v>
      </c>
    </row>
    <row r="87" outlineLevel="1">
      <c r="A87" t="inlineStr" s="15">
        <is>
          <t xml:space="preserve">Net cash burn &gt; Per audit — low</t>
        </is>
      </c>
      <c r="B87" s="10">
        <f>0</f>
        <v>0</v>
      </c>
      <c r="C87" s="10">
        <f>'Model inputs'!C55+'Model inputs'!C93+'Model inputs'!C11+'Model inputs'!C134-'Model inputs'!C27</f>
        <v>-2376.75</v>
      </c>
      <c r="D87" s="10">
        <f>'Model inputs'!D55+'Model inputs'!D93+'Model inputs'!D11+'Model inputs'!D134-'Model inputs'!D27</f>
        <v>-5503.5</v>
      </c>
      <c r="E87" s="10">
        <f>'Model inputs'!E55+'Model inputs'!E93+'Model inputs'!E11+'Model inputs'!E134-'Model inputs'!E27</f>
        <v>-8630.25</v>
      </c>
      <c r="F87" s="10">
        <f>'Model inputs'!F55+'Model inputs'!F93+'Model inputs'!F11+'Model inputs'!F134-'Model inputs'!F27</f>
        <v>-11757</v>
      </c>
      <c r="G87" s="10">
        <f>'Model inputs'!G55+'Model inputs'!G93+'Model inputs'!G11+'Model inputs'!G134-'Model inputs'!G27</f>
        <v>-14883.75</v>
      </c>
      <c r="H87" s="10">
        <f>'Model inputs'!H55+'Model inputs'!H93+'Model inputs'!H11+'Model inputs'!H134-'Model inputs'!H27</f>
        <v>-17510.5</v>
      </c>
      <c r="I87" s="10">
        <f>'Model inputs'!I55+'Model inputs'!I93+'Model inputs'!I11+'Model inputs'!I134-'Model inputs'!I27</f>
        <v>-20637.25</v>
      </c>
      <c r="J87" s="10">
        <f>'Model inputs'!J55+'Model inputs'!J93+'Model inputs'!J11+'Model inputs'!J134-'Model inputs'!J27</f>
        <v>-23764</v>
      </c>
      <c r="K87" s="10">
        <f>'Model inputs'!K55+'Model inputs'!K93+'Model inputs'!K11+'Model inputs'!K134-'Model inputs'!K27</f>
        <v>-26890.75</v>
      </c>
      <c r="L87" s="10">
        <f>'Model inputs'!L55+'Model inputs'!L93+'Model inputs'!L11+'Model inputs'!L134-'Model inputs'!L27</f>
        <v>-30017.5</v>
      </c>
      <c r="M87" s="10">
        <f>'Model inputs'!M55+'Model inputs'!M93+'Model inputs'!M11+'Model inputs'!M134-'Model inputs'!M27</f>
        <v>-33144.25</v>
      </c>
      <c r="N87" s="10">
        <f>'Model inputs'!N55+'Model inputs'!N93+'Model inputs'!N11+'Model inputs'!N134-'Model inputs'!N27</f>
        <v>-36271</v>
      </c>
    </row>
    <row r="88">
      <c r="A88" t="inlineStr" s="14">
        <is>
          <t xml:space="preserve">Payment fees</t>
        </is>
      </c>
      <c r="B88" s="12">
        <f>SUM('Model inputs'!B89,'Model inputs'!B90,'Model inputs'!B91,'Model inputs'!B92,'Model inputs'!B93)</f>
        <v>0</v>
      </c>
      <c r="C88" t="str" s="12">
        <f>""</f>
        <v/>
      </c>
      <c r="D88" t="str" s="12">
        <f>""</f>
        <v/>
      </c>
      <c r="E88" t="str" s="12">
        <f>""</f>
        <v/>
      </c>
      <c r="F88" t="str" s="12">
        <f>""</f>
        <v/>
      </c>
      <c r="G88" t="str" s="12">
        <f>""</f>
        <v/>
      </c>
      <c r="H88" t="str" s="12">
        <f>""</f>
        <v/>
      </c>
      <c r="I88" t="str" s="12">
        <f>""</f>
        <v/>
      </c>
      <c r="J88" t="str" s="12">
        <f>""</f>
        <v/>
      </c>
      <c r="K88" t="str" s="12">
        <f>""</f>
        <v/>
      </c>
      <c r="L88" t="str" s="12">
        <f>""</f>
        <v/>
      </c>
      <c r="M88" t="str" s="12">
        <f>""</f>
        <v/>
      </c>
      <c r="N88" t="str" s="12">
        <f>""</f>
        <v/>
      </c>
    </row>
    <row r="89" outlineLevel="1">
      <c r="A89" t="inlineStr" s="15">
        <is>
          <t xml:space="preserve">Payment fees &gt; Annual deal-team</t>
        </is>
      </c>
      <c r="B89" s="10">
        <f>0</f>
        <v>0</v>
      </c>
      <c r="C89" s="10">
        <f>'Model inputs'!C23*'Model inputs'!O145</f>
        <v>975</v>
      </c>
      <c r="D89" s="10">
        <f>'Model inputs'!D23*'Model inputs'!O145</f>
        <v>1050</v>
      </c>
      <c r="E89" s="10">
        <f>'Model inputs'!E23*'Model inputs'!O145</f>
        <v>1125</v>
      </c>
      <c r="F89" s="10">
        <f>'Model inputs'!F23*'Model inputs'!O145</f>
        <v>1200</v>
      </c>
      <c r="G89" s="10">
        <f>'Model inputs'!G23*'Model inputs'!O145</f>
        <v>1275</v>
      </c>
      <c r="H89" s="10">
        <f>'Model inputs'!H23*'Model inputs'!O145</f>
        <v>1350</v>
      </c>
      <c r="I89" s="10">
        <f>'Model inputs'!I23*'Model inputs'!O145</f>
        <v>1425</v>
      </c>
      <c r="J89" s="10">
        <f>'Model inputs'!J23*'Model inputs'!O145</f>
        <v>1500</v>
      </c>
      <c r="K89" s="10">
        <f>'Model inputs'!K23*'Model inputs'!O145</f>
        <v>1575</v>
      </c>
      <c r="L89" s="10">
        <f>'Model inputs'!L23*'Model inputs'!O145</f>
        <v>1650</v>
      </c>
      <c r="M89" s="10">
        <f>'Model inputs'!M23*'Model inputs'!O145</f>
        <v>1725</v>
      </c>
      <c r="N89" s="10">
        <f>'Model inputs'!N23*'Model inputs'!O145</f>
        <v>1800</v>
      </c>
    </row>
    <row r="90" outlineLevel="1">
      <c r="A90" t="inlineStr" s="15">
        <is>
          <t xml:space="preserve">Payment fees &gt; Hybrid</t>
        </is>
      </c>
      <c r="B90" s="10">
        <f>0</f>
        <v>0</v>
      </c>
      <c r="C90" s="10">
        <f>'Model inputs'!C24*'Model inputs'!O145</f>
        <v>375</v>
      </c>
      <c r="D90" s="10">
        <f>'Model inputs'!D24*'Model inputs'!O145</f>
        <v>525</v>
      </c>
      <c r="E90" s="10">
        <f>'Model inputs'!E24*'Model inputs'!O145</f>
        <v>675</v>
      </c>
      <c r="F90" s="10">
        <f>'Model inputs'!F24*'Model inputs'!O145</f>
        <v>825</v>
      </c>
      <c r="G90" s="10">
        <f>'Model inputs'!G24*'Model inputs'!O145</f>
        <v>975</v>
      </c>
      <c r="H90" s="10">
        <f>'Model inputs'!H24*'Model inputs'!O145</f>
        <v>1125</v>
      </c>
      <c r="I90" s="10">
        <f>'Model inputs'!I24*'Model inputs'!O145</f>
        <v>1275</v>
      </c>
      <c r="J90" s="10">
        <f>'Model inputs'!J24*'Model inputs'!O145</f>
        <v>1425</v>
      </c>
      <c r="K90" s="10">
        <f>'Model inputs'!K24*'Model inputs'!O145</f>
        <v>1575</v>
      </c>
      <c r="L90" s="10">
        <f>'Model inputs'!L24*'Model inputs'!O145</f>
        <v>1725</v>
      </c>
      <c r="M90" s="10">
        <f>'Model inputs'!M24*'Model inputs'!O145</f>
        <v>1875</v>
      </c>
      <c r="N90" s="10">
        <f>'Model inputs'!N24*'Model inputs'!O145</f>
        <v>2025</v>
      </c>
    </row>
    <row r="91" outlineLevel="1">
      <c r="A91" t="inlineStr" s="15">
        <is>
          <t xml:space="preserve">Payment fees &gt; Per audit — base</t>
        </is>
      </c>
      <c r="B91" s="10">
        <f>0</f>
        <v>0</v>
      </c>
      <c r="C91" s="10">
        <f>'Model inputs'!C25*'Model inputs'!O145</f>
        <v>225</v>
      </c>
      <c r="D91" s="10">
        <f>'Model inputs'!D25*'Model inputs'!O145</f>
        <v>450</v>
      </c>
      <c r="E91" s="10">
        <f>'Model inputs'!E25*'Model inputs'!O145</f>
        <v>675</v>
      </c>
      <c r="F91" s="10">
        <f>'Model inputs'!F25*'Model inputs'!O145</f>
        <v>900</v>
      </c>
      <c r="G91" s="10">
        <f>'Model inputs'!G25*'Model inputs'!O145</f>
        <v>1125</v>
      </c>
      <c r="H91" s="10">
        <f>'Model inputs'!H25*'Model inputs'!O145</f>
        <v>1350</v>
      </c>
      <c r="I91" s="10">
        <f>'Model inputs'!I25*'Model inputs'!O145</f>
        <v>1575</v>
      </c>
      <c r="J91" s="10">
        <f>'Model inputs'!J25*'Model inputs'!O145</f>
        <v>1800</v>
      </c>
      <c r="K91" s="10">
        <f>'Model inputs'!K25*'Model inputs'!O145</f>
        <v>2025</v>
      </c>
      <c r="L91" s="10">
        <f>'Model inputs'!L25*'Model inputs'!O145</f>
        <v>2250</v>
      </c>
      <c r="M91" s="10">
        <f>'Model inputs'!M25*'Model inputs'!O145</f>
        <v>2475</v>
      </c>
      <c r="N91" s="10">
        <f>'Model inputs'!N25*'Model inputs'!O145</f>
        <v>2700</v>
      </c>
    </row>
    <row r="92" outlineLevel="1">
      <c r="A92" t="inlineStr" s="15">
        <is>
          <t xml:space="preserve">Payment fees &gt; Per audit — high</t>
        </is>
      </c>
      <c r="B92" s="10">
        <f>0</f>
        <v>0</v>
      </c>
      <c r="C92" s="10">
        <f>'Model inputs'!C26*'Model inputs'!O145</f>
        <v>450</v>
      </c>
      <c r="D92" s="10">
        <f>'Model inputs'!D26*'Model inputs'!O145</f>
        <v>900</v>
      </c>
      <c r="E92" s="10">
        <f>'Model inputs'!E26*'Model inputs'!O145</f>
        <v>1350</v>
      </c>
      <c r="F92" s="10">
        <f>'Model inputs'!F26*'Model inputs'!O145</f>
        <v>1800</v>
      </c>
      <c r="G92" s="10">
        <f>'Model inputs'!G26*'Model inputs'!O145</f>
        <v>2250</v>
      </c>
      <c r="H92" s="10">
        <f>'Model inputs'!H26*'Model inputs'!O145</f>
        <v>2700</v>
      </c>
      <c r="I92" s="10">
        <f>'Model inputs'!I26*'Model inputs'!O145</f>
        <v>3150</v>
      </c>
      <c r="J92" s="10">
        <f>'Model inputs'!J26*'Model inputs'!O145</f>
        <v>3600</v>
      </c>
      <c r="K92" s="10">
        <f>'Model inputs'!K26*'Model inputs'!O145</f>
        <v>4050</v>
      </c>
      <c r="L92" s="10">
        <f>'Model inputs'!L26*'Model inputs'!O145</f>
        <v>4500</v>
      </c>
      <c r="M92" s="10">
        <f>'Model inputs'!M26*'Model inputs'!O145</f>
        <v>4950</v>
      </c>
      <c r="N92" s="10">
        <f>'Model inputs'!N26*'Model inputs'!O145</f>
        <v>5400</v>
      </c>
    </row>
    <row r="93" outlineLevel="1">
      <c r="A93" t="inlineStr" s="15">
        <is>
          <t xml:space="preserve">Payment fees &gt; Per audit — low</t>
        </is>
      </c>
      <c r="B93" s="10">
        <f>0</f>
        <v>0</v>
      </c>
      <c r="C93" s="10">
        <f>'Model inputs'!C27*'Model inputs'!O145</f>
        <v>112.5</v>
      </c>
      <c r="D93" s="10">
        <f>'Model inputs'!D27*'Model inputs'!O145</f>
        <v>225</v>
      </c>
      <c r="E93" s="10">
        <f>'Model inputs'!E27*'Model inputs'!O145</f>
        <v>337.5</v>
      </c>
      <c r="F93" s="10">
        <f>'Model inputs'!F27*'Model inputs'!O145</f>
        <v>450</v>
      </c>
      <c r="G93" s="10">
        <f>'Model inputs'!G27*'Model inputs'!O145</f>
        <v>562.5</v>
      </c>
      <c r="H93" s="10">
        <f>'Model inputs'!H27*'Model inputs'!O145</f>
        <v>675</v>
      </c>
      <c r="I93" s="10">
        <f>'Model inputs'!I27*'Model inputs'!O145</f>
        <v>787.5</v>
      </c>
      <c r="J93" s="10">
        <f>'Model inputs'!J27*'Model inputs'!O145</f>
        <v>900</v>
      </c>
      <c r="K93" s="10">
        <f>'Model inputs'!K27*'Model inputs'!O145</f>
        <v>1012.5</v>
      </c>
      <c r="L93" s="10">
        <f>'Model inputs'!L27*'Model inputs'!O145</f>
        <v>1125</v>
      </c>
      <c r="M93" s="10">
        <f>'Model inputs'!M27*'Model inputs'!O145</f>
        <v>1237.5</v>
      </c>
      <c r="N93" s="10">
        <f>'Model inputs'!N27*'Model inputs'!O145</f>
        <v>1350</v>
      </c>
    </row>
    <row r="94">
      <c r="A94" t="inlineStr" s="14">
        <is>
          <t xml:space="preserve">Plan Audits delivered · DealScope 12-month financial projection</t>
        </is>
      </c>
      <c r="C94" s="9">
        <f>IF(SUM(IF(IF('Model inputs'!B274="",0,1)="",0,IF('Model inputs'!B274="",0,1)),IF(IF('Model inputs'!B275="",0,1)="",0,IF('Model inputs'!B275="",0,1)),IF(IF('Model inputs'!B276="",0,1)="",0,IF('Model inputs'!B276="",0,1)),IF(IF('Model inputs'!B277="",0,1)="",0,IF('Model inputs'!B277="",0,1)),IF(IF('Model inputs'!B278="",0,1)="",0,IF('Model inputs'!B278="",0,1)))=0,"",SUM('Model inputs'!B274,'Model inputs'!B275,'Model inputs'!B276,'Model inputs'!B277,'Model inputs'!B278))</f>
        <v>5</v>
      </c>
      <c r="D94" s="9">
        <f>IF(SUM(IF(IF('Model inputs'!B279="",0,1)="",0,IF('Model inputs'!B279="",0,1)),IF(IF('Model inputs'!B280="",0,1)="",0,IF('Model inputs'!B280="",0,1)),IF(IF('Model inputs'!B281="",0,1)="",0,IF('Model inputs'!B281="",0,1)),IF(IF('Model inputs'!B282="",0,1)="",0,IF('Model inputs'!B282="",0,1)),IF(IF('Model inputs'!B283="",0,1)="",0,IF('Model inputs'!B283="",0,1)))=0,"",SUM('Model inputs'!B279,'Model inputs'!B280,'Model inputs'!B281,'Model inputs'!B282,'Model inputs'!B283))</f>
        <v>10</v>
      </c>
      <c r="E94" s="9">
        <f>IF(SUM(IF(IF('Model inputs'!B284="",0,1)="",0,IF('Model inputs'!B284="",0,1)),IF(IF('Model inputs'!B285="",0,1)="",0,IF('Model inputs'!B285="",0,1)),IF(IF('Model inputs'!B286="",0,1)="",0,IF('Model inputs'!B286="",0,1)),IF(IF('Model inputs'!B287="",0,1)="",0,IF('Model inputs'!B287="",0,1)),IF(IF('Model inputs'!B288="",0,1)="",0,IF('Model inputs'!B288="",0,1)))=0,"",SUM('Model inputs'!B284,'Model inputs'!B285,'Model inputs'!B286,'Model inputs'!B287,'Model inputs'!B288))</f>
        <v>15</v>
      </c>
      <c r="F94" s="9">
        <f>IF(SUM(IF(IF('Model inputs'!B289="",0,1)="",0,IF('Model inputs'!B289="",0,1)),IF(IF('Model inputs'!B290="",0,1)="",0,IF('Model inputs'!B290="",0,1)),IF(IF('Model inputs'!B291="",0,1)="",0,IF('Model inputs'!B291="",0,1)),IF(IF('Model inputs'!B292="",0,1)="",0,IF('Model inputs'!B292="",0,1)),IF(IF('Model inputs'!B293="",0,1)="",0,IF('Model inputs'!B293="",0,1)))=0,"",SUM('Model inputs'!B289,'Model inputs'!B290,'Model inputs'!B291,'Model inputs'!B292,'Model inputs'!B293))</f>
        <v>20</v>
      </c>
      <c r="G94" s="9">
        <f>IF(SUM(IF(IF('Model inputs'!B294="",0,1)="",0,IF('Model inputs'!B294="",0,1)),IF(IF('Model inputs'!B295="",0,1)="",0,IF('Model inputs'!B295="",0,1)),IF(IF('Model inputs'!B296="",0,1)="",0,IF('Model inputs'!B296="",0,1)),IF(IF('Model inputs'!B297="",0,1)="",0,IF('Model inputs'!B297="",0,1)),IF(IF('Model inputs'!B298="",0,1)="",0,IF('Model inputs'!B298="",0,1)))=0,"",SUM('Model inputs'!B294,'Model inputs'!B295,'Model inputs'!B296,'Model inputs'!B297,'Model inputs'!B298))</f>
        <v>25</v>
      </c>
      <c r="H94" s="9">
        <f>IF(SUM(IF(IF('Model inputs'!B299="",0,1)="",0,IF('Model inputs'!B299="",0,1)),IF(IF('Model inputs'!B300="",0,1)="",0,IF('Model inputs'!B300="",0,1)),IF(IF('Model inputs'!B301="",0,1)="",0,IF('Model inputs'!B301="",0,1)),IF(IF('Model inputs'!B302="",0,1)="",0,IF('Model inputs'!B302="",0,1)),IF(IF('Model inputs'!B303="",0,1)="",0,IF('Model inputs'!B303="",0,1)))=0,"",SUM('Model inputs'!B299,'Model inputs'!B300,'Model inputs'!B301,'Model inputs'!B302,'Model inputs'!B303))</f>
        <v>30</v>
      </c>
      <c r="I94" s="9">
        <f>IF(SUM(IF(IF('Model inputs'!B304="",0,1)="",0,IF('Model inputs'!B304="",0,1)),IF(IF('Model inputs'!B305="",0,1)="",0,IF('Model inputs'!B305="",0,1)),IF(IF('Model inputs'!B306="",0,1)="",0,IF('Model inputs'!B306="",0,1)),IF(IF('Model inputs'!B307="",0,1)="",0,IF('Model inputs'!B307="",0,1)),IF(IF('Model inputs'!B308="",0,1)="",0,IF('Model inputs'!B308="",0,1)))=0,"",SUM('Model inputs'!B304,'Model inputs'!B305,'Model inputs'!B306,'Model inputs'!B307,'Model inputs'!B308))</f>
        <v>35</v>
      </c>
      <c r="J94" s="9">
        <f>IF(SUM(IF(IF('Model inputs'!B309="",0,1)="",0,IF('Model inputs'!B309="",0,1)),IF(IF('Model inputs'!B310="",0,1)="",0,IF('Model inputs'!B310="",0,1)),IF(IF('Model inputs'!B311="",0,1)="",0,IF('Model inputs'!B311="",0,1)),IF(IF('Model inputs'!B312="",0,1)="",0,IF('Model inputs'!B312="",0,1)),IF(IF('Model inputs'!B313="",0,1)="",0,IF('Model inputs'!B313="",0,1)))=0,"",SUM('Model inputs'!B309,'Model inputs'!B310,'Model inputs'!B311,'Model inputs'!B312,'Model inputs'!B313))</f>
        <v>40</v>
      </c>
      <c r="K94" s="9">
        <f>IF(SUM(IF(IF('Model inputs'!B314="",0,1)="",0,IF('Model inputs'!B314="",0,1)),IF(IF('Model inputs'!B315="",0,1)="",0,IF('Model inputs'!B315="",0,1)),IF(IF('Model inputs'!B316="",0,1)="",0,IF('Model inputs'!B316="",0,1)),IF(IF('Model inputs'!B317="",0,1)="",0,IF('Model inputs'!B317="",0,1)),IF(IF('Model inputs'!B318="",0,1)="",0,IF('Model inputs'!B318="",0,1)))=0,"",SUM('Model inputs'!B314,'Model inputs'!B315,'Model inputs'!B316,'Model inputs'!B317,'Model inputs'!B318))</f>
        <v>45</v>
      </c>
      <c r="L94" s="9">
        <f>IF(SUM(IF(IF('Model inputs'!B319="",0,1)="",0,IF('Model inputs'!B319="",0,1)),IF(IF('Model inputs'!B320="",0,1)="",0,IF('Model inputs'!B320="",0,1)),IF(IF('Model inputs'!B321="",0,1)="",0,IF('Model inputs'!B321="",0,1)),IF(IF('Model inputs'!B322="",0,1)="",0,IF('Model inputs'!B322="",0,1)),IF(IF('Model inputs'!B323="",0,1)="",0,IF('Model inputs'!B323="",0,1)))=0,"",SUM('Model inputs'!B319,'Model inputs'!B320,'Model inputs'!B321,'Model inputs'!B322,'Model inputs'!B323))</f>
        <v>50</v>
      </c>
      <c r="M94" s="9">
        <f>IF(SUM(IF(IF('Model inputs'!B324="",0,1)="",0,IF('Model inputs'!B324="",0,1)),IF(IF('Model inputs'!B325="",0,1)="",0,IF('Model inputs'!B325="",0,1)),IF(IF('Model inputs'!B326="",0,1)="",0,IF('Model inputs'!B326="",0,1)),IF(IF('Model inputs'!B327="",0,1)="",0,IF('Model inputs'!B327="",0,1)),IF(IF('Model inputs'!B328="",0,1)="",0,IF('Model inputs'!B328="",0,1)))=0,"",SUM('Model inputs'!B324,'Model inputs'!B325,'Model inputs'!B326,'Model inputs'!B327,'Model inputs'!B328))</f>
        <v>55</v>
      </c>
      <c r="N94" s="9">
        <f>IF(SUM(IF(IF('Model inputs'!B329="",0,1)="",0,IF('Model inputs'!B329="",0,1)),IF(IF('Model inputs'!B330="",0,1)="",0,IF('Model inputs'!B330="",0,1)),IF(IF('Model inputs'!B331="",0,1)="",0,IF('Model inputs'!B331="",0,1)),IF(IF('Model inputs'!B332="",0,1)="",0,IF('Model inputs'!B332="",0,1)),IF(IF('Model inputs'!B333="",0,1)="",0,IF('Model inputs'!B333="",0,1)))=0,"",SUM('Model inputs'!B329,'Model inputs'!B330,'Model inputs'!B331,'Model inputs'!B332,'Model inputs'!B333))</f>
        <v>60</v>
      </c>
    </row>
    <row r="95">
      <c r="A95" t="inlineStr" s="14">
        <is>
          <t xml:space="preserve">Plan Audits delivered · DealScope forecast overview</t>
        </is>
      </c>
      <c r="B95" s="9">
        <v>0</v>
      </c>
      <c r="C95" s="9">
        <f>IF('Model inputs'!C94="","",'Model inputs'!C94)</f>
        <v>5</v>
      </c>
      <c r="D95" s="9">
        <f>IF('Model inputs'!D94="","",'Model inputs'!D94)</f>
        <v>10</v>
      </c>
      <c r="E95" s="9">
        <f>IF('Model inputs'!E94="","",'Model inputs'!E94)</f>
        <v>15</v>
      </c>
      <c r="F95" s="9">
        <f>IF('Model inputs'!F94="","",'Model inputs'!F94)</f>
        <v>20</v>
      </c>
      <c r="G95" s="9">
        <f>IF('Model inputs'!G94="","",'Model inputs'!G94)</f>
        <v>25</v>
      </c>
      <c r="H95" s="9">
        <f>IF('Model inputs'!H94="","",'Model inputs'!H94)</f>
        <v>30</v>
      </c>
      <c r="I95" s="9">
        <f>IF('Model inputs'!I94="","",'Model inputs'!I94)</f>
        <v>35</v>
      </c>
      <c r="J95" s="9">
        <f>IF('Model inputs'!J94="","",'Model inputs'!J94)</f>
        <v>40</v>
      </c>
      <c r="K95" s="9">
        <f>IF('Model inputs'!K94="","",'Model inputs'!K94)</f>
        <v>45</v>
      </c>
      <c r="L95" s="9">
        <f>IF('Model inputs'!L94="","",'Model inputs'!L94)</f>
        <v>50</v>
      </c>
      <c r="M95" s="9">
        <f>IF('Model inputs'!M94="","",'Model inputs'!M94)</f>
        <v>55</v>
      </c>
      <c r="N95" s="9">
        <f>IF('Model inputs'!N94="","",'Model inputs'!N94)</f>
        <v>60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f>IF(SUM(IF(IF('Model inputs'!B961="",0,1)="",0,IF('Model inputs'!B961="",0,1)),IF(IF('Model inputs'!B962="",0,1)="",0,IF('Model inputs'!B962="",0,1)),IF(IF('Model inputs'!B963="",0,1)="",0,IF('Model inputs'!B963="",0,1)),IF(IF('Model inputs'!B964="",0,1)="",0,IF('Model inputs'!B964="",0,1)),IF(IF('Model inputs'!B965="",0,1)="",0,IF('Model inputs'!B965="",0,1)))=0,"",SUM('Model inputs'!B961,'Model inputs'!B962,'Model inputs'!B963,'Model inputs'!B964,'Model inputs'!B965))</f>
        <v>60</v>
      </c>
      <c r="Z95" s="9">
        <f>IF(SUM(IF(IF('Model inputs'!B966="",0,1)="",0,IF('Model inputs'!B966="",0,1)),IF(IF('Model inputs'!B967="",0,1)="",0,IF('Model inputs'!B967="",0,1)),IF(IF('Model inputs'!B968="",0,1)="",0,IF('Model inputs'!B968="",0,1)),IF(IF('Model inputs'!B969="",0,1)="",0,IF('Model inputs'!B969="",0,1)),IF(IF('Model inputs'!B970="",0,1)="",0,IF('Model inputs'!B970="",0,1)))=0,"",SUM('Model inputs'!B966,'Model inputs'!B967,'Model inputs'!B968,'Model inputs'!B969,'Model inputs'!B970))</f>
        <v>60</v>
      </c>
      <c r="AA95" s="9">
        <f>IF(SUM(IF(IF('Model inputs'!B971="",0,1)="",0,IF('Model inputs'!B971="",0,1)),IF(IF('Model inputs'!B972="",0,1)="",0,IF('Model inputs'!B972="",0,1)),IF(IF('Model inputs'!B973="",0,1)="",0,IF('Model inputs'!B973="",0,1)),IF(IF('Model inputs'!B974="",0,1)="",0,IF('Model inputs'!B974="",0,1)),IF(IF('Model inputs'!B975="",0,1)="",0,IF('Model inputs'!B975="",0,1)))=0,"",SUM('Model inputs'!B971,'Model inputs'!B972,'Model inputs'!B973,'Model inputs'!B974,'Model inputs'!B975))</f>
        <v>60</v>
      </c>
    </row>
    <row r="96">
      <c r="A96" t="inlineStr" s="14">
        <is>
          <t xml:space="preserve">Plan Cash collections · DealScope 12-month financial projection</t>
        </is>
      </c>
      <c r="B96" s="10">
        <v>0</v>
      </c>
      <c r="C96" s="10">
        <f>IF(SUM(IF(IF('Model inputs'!B754="",0,1)="",0,IF('Model inputs'!B754="",0,1)),IF(IF('Model inputs'!B755="",0,1)="",0,IF('Model inputs'!B755="",0,1)),IF(IF('Model inputs'!B756="",0,1)="",0,IF('Model inputs'!B756="",0,1)),IF(IF('Model inputs'!B757="",0,1)="",0,IF('Model inputs'!B757="",0,1)),IF(IF('Model inputs'!B758="",0,1)="",0,IF('Model inputs'!B758="",0,1)))=0,"",SUM('Model inputs'!B754,'Model inputs'!B755,'Model inputs'!B756,'Model inputs'!B757,'Model inputs'!B758))</f>
        <v>32500</v>
      </c>
      <c r="D96" s="10">
        <f>IF(SUM(IF(IF('Model inputs'!B759="",0,1)="",0,IF('Model inputs'!B759="",0,1)),IF(IF('Model inputs'!B760="",0,1)="",0,IF('Model inputs'!B760="",0,1)),IF(IF('Model inputs'!B761="",0,1)="",0,IF('Model inputs'!B761="",0,1)),IF(IF('Model inputs'!B762="",0,1)="",0,IF('Model inputs'!B762="",0,1)),IF(IF('Model inputs'!B763="",0,1)="",0,IF('Model inputs'!B763="",0,1)))=0,"",SUM('Model inputs'!B759,'Model inputs'!B760,'Model inputs'!B761,'Model inputs'!B762,'Model inputs'!B763))</f>
        <v>35000</v>
      </c>
      <c r="E96" s="10">
        <f>IF(SUM(IF(IF('Model inputs'!B764="",0,1)="",0,IF('Model inputs'!B764="",0,1)),IF(IF('Model inputs'!B765="",0,1)="",0,IF('Model inputs'!B765="",0,1)),IF(IF('Model inputs'!B766="",0,1)="",0,IF('Model inputs'!B766="",0,1)),IF(IF('Model inputs'!B767="",0,1)="",0,IF('Model inputs'!B767="",0,1)),IF(IF('Model inputs'!B768="",0,1)="",0,IF('Model inputs'!B768="",0,1)))=0,"",SUM('Model inputs'!B764,'Model inputs'!B765,'Model inputs'!B766,'Model inputs'!B767,'Model inputs'!B768))</f>
        <v>37500</v>
      </c>
      <c r="F96" s="10">
        <f>IF(SUM(IF(IF('Model inputs'!B769="",0,1)="",0,IF('Model inputs'!B769="",0,1)),IF(IF('Model inputs'!B770="",0,1)="",0,IF('Model inputs'!B770="",0,1)),IF(IF('Model inputs'!B771="",0,1)="",0,IF('Model inputs'!B771="",0,1)),IF(IF('Model inputs'!B772="",0,1)="",0,IF('Model inputs'!B772="",0,1)),IF(IF('Model inputs'!B773="",0,1)="",0,IF('Model inputs'!B773="",0,1)))=0,"",SUM('Model inputs'!B769,'Model inputs'!B770,'Model inputs'!B771,'Model inputs'!B772,'Model inputs'!B773))</f>
        <v>40000</v>
      </c>
      <c r="G96" s="10">
        <f>IF(SUM(IF(IF('Model inputs'!B774="",0,1)="",0,IF('Model inputs'!B774="",0,1)),IF(IF('Model inputs'!B775="",0,1)="",0,IF('Model inputs'!B775="",0,1)),IF(IF('Model inputs'!B776="",0,1)="",0,IF('Model inputs'!B776="",0,1)),IF(IF('Model inputs'!B777="",0,1)="",0,IF('Model inputs'!B777="",0,1)),IF(IF('Model inputs'!B778="",0,1)="",0,IF('Model inputs'!B778="",0,1)))=0,"",SUM('Model inputs'!B774,'Model inputs'!B775,'Model inputs'!B776,'Model inputs'!B777,'Model inputs'!B778))</f>
        <v>42500</v>
      </c>
      <c r="H96" s="10">
        <f>IF(SUM(IF(IF('Model inputs'!B779="",0,1)="",0,IF('Model inputs'!B779="",0,1)),IF(IF('Model inputs'!B780="",0,1)="",0,IF('Model inputs'!B780="",0,1)),IF(IF('Model inputs'!B781="",0,1)="",0,IF('Model inputs'!B781="",0,1)),IF(IF('Model inputs'!B782="",0,1)="",0,IF('Model inputs'!B782="",0,1)),IF(IF('Model inputs'!B783="",0,1)="",0,IF('Model inputs'!B783="",0,1)))=0,"",SUM('Model inputs'!B779,'Model inputs'!B780,'Model inputs'!B781,'Model inputs'!B782,'Model inputs'!B783))</f>
        <v>45000</v>
      </c>
      <c r="I96" s="10">
        <f>IF(SUM(IF(IF('Model inputs'!B784="",0,1)="",0,IF('Model inputs'!B784="",0,1)),IF(IF('Model inputs'!B785="",0,1)="",0,IF('Model inputs'!B785="",0,1)),IF(IF('Model inputs'!B786="",0,1)="",0,IF('Model inputs'!B786="",0,1)),IF(IF('Model inputs'!B787="",0,1)="",0,IF('Model inputs'!B787="",0,1)),IF(IF('Model inputs'!B788="",0,1)="",0,IF('Model inputs'!B788="",0,1)))=0,"",SUM('Model inputs'!B784,'Model inputs'!B785,'Model inputs'!B786,'Model inputs'!B787,'Model inputs'!B788))</f>
        <v>47500</v>
      </c>
      <c r="J96" s="10">
        <f>IF(SUM(IF(IF('Model inputs'!B789="",0,1)="",0,IF('Model inputs'!B789="",0,1)),IF(IF('Model inputs'!B790="",0,1)="",0,IF('Model inputs'!B790="",0,1)),IF(IF('Model inputs'!B791="",0,1)="",0,IF('Model inputs'!B791="",0,1)),IF(IF('Model inputs'!B792="",0,1)="",0,IF('Model inputs'!B792="",0,1)),IF(IF('Model inputs'!B793="",0,1)="",0,IF('Model inputs'!B793="",0,1)))=0,"",SUM('Model inputs'!B789,'Model inputs'!B790,'Model inputs'!B791,'Model inputs'!B792,'Model inputs'!B793))</f>
        <v>50000</v>
      </c>
      <c r="K96" s="10">
        <f>IF(SUM(IF(IF('Model inputs'!B794="",0,1)="",0,IF('Model inputs'!B794="",0,1)),IF(IF('Model inputs'!B795="",0,1)="",0,IF('Model inputs'!B795="",0,1)),IF(IF('Model inputs'!B796="",0,1)="",0,IF('Model inputs'!B796="",0,1)),IF(IF('Model inputs'!B797="",0,1)="",0,IF('Model inputs'!B797="",0,1)),IF(IF('Model inputs'!B798="",0,1)="",0,IF('Model inputs'!B798="",0,1)))=0,"",SUM('Model inputs'!B794,'Model inputs'!B795,'Model inputs'!B796,'Model inputs'!B797,'Model inputs'!B798))</f>
        <v>52500</v>
      </c>
      <c r="L96" s="10">
        <f>IF(SUM(IF(IF('Model inputs'!B799="",0,1)="",0,IF('Model inputs'!B799="",0,1)),IF(IF('Model inputs'!B800="",0,1)="",0,IF('Model inputs'!B800="",0,1)),IF(IF('Model inputs'!B801="",0,1)="",0,IF('Model inputs'!B801="",0,1)),IF(IF('Model inputs'!B802="",0,1)="",0,IF('Model inputs'!B802="",0,1)),IF(IF('Model inputs'!B803="",0,1)="",0,IF('Model inputs'!B803="",0,1)))=0,"",SUM('Model inputs'!B799,'Model inputs'!B800,'Model inputs'!B801,'Model inputs'!B802,'Model inputs'!B803))</f>
        <v>55000</v>
      </c>
      <c r="M96" s="10">
        <f>IF(SUM(IF(IF('Model inputs'!B804="",0,1)="",0,IF('Model inputs'!B804="",0,1)),IF(IF('Model inputs'!B805="",0,1)="",0,IF('Model inputs'!B805="",0,1)),IF(IF('Model inputs'!B806="",0,1)="",0,IF('Model inputs'!B806="",0,1)),IF(IF('Model inputs'!B807="",0,1)="",0,IF('Model inputs'!B807="",0,1)),IF(IF('Model inputs'!B808="",0,1)="",0,IF('Model inputs'!B808="",0,1)))=0,"",SUM('Model inputs'!B804,'Model inputs'!B805,'Model inputs'!B806,'Model inputs'!B807,'Model inputs'!B808))</f>
        <v>57500</v>
      </c>
      <c r="N96" s="10">
        <f>IF(SUM(IF(IF('Model inputs'!B809="",0,1)="",0,IF('Model inputs'!B809="",0,1)),IF(IF('Model inputs'!B810="",0,1)="",0,IF('Model inputs'!B810="",0,1)),IF(IF('Model inputs'!B811="",0,1)="",0,IF('Model inputs'!B811="",0,1)),IF(IF('Model inputs'!B812="",0,1)="",0,IF('Model inputs'!B812="",0,1)),IF(IF('Model inputs'!B813="",0,1)="",0,IF('Model inputs'!B813="",0,1)))=0,"",SUM('Model inputs'!B809,'Model inputs'!B810,'Model inputs'!B811,'Model inputs'!B812,'Model inputs'!B813))</f>
        <v>60000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</row>
    <row r="97">
      <c r="A97" t="inlineStr" s="14">
        <is>
          <t xml:space="preserve">Plan Cash collections · DealScope forecast overview</t>
        </is>
      </c>
      <c r="B97" s="10">
        <f>IF('Model inputs'!B96="","",'Model inputs'!B96)</f>
        <v>0</v>
      </c>
      <c r="C97" s="10">
        <f>IF('Model inputs'!C96="","",'Model inputs'!C96)</f>
        <v>32500</v>
      </c>
      <c r="D97" s="10">
        <f>IF('Model inputs'!D96="","",'Model inputs'!D96)</f>
        <v>35000</v>
      </c>
      <c r="E97" s="10">
        <f>IF('Model inputs'!E96="","",'Model inputs'!E96)</f>
        <v>37500</v>
      </c>
      <c r="F97" s="10">
        <f>IF('Model inputs'!F96="","",'Model inputs'!F96)</f>
        <v>40000</v>
      </c>
      <c r="G97" s="10">
        <f>IF('Model inputs'!G96="","",'Model inputs'!G96)</f>
        <v>42500</v>
      </c>
      <c r="H97" s="10">
        <f>IF('Model inputs'!H96="","",'Model inputs'!H96)</f>
        <v>45000</v>
      </c>
      <c r="I97" s="10">
        <f>IF('Model inputs'!I96="","",'Model inputs'!I96)</f>
        <v>47500</v>
      </c>
      <c r="J97" s="10">
        <f>IF('Model inputs'!J96="","",'Model inputs'!J96)</f>
        <v>50000</v>
      </c>
      <c r="K97" s="10">
        <f>IF('Model inputs'!K96="","",'Model inputs'!K96)</f>
        <v>52500</v>
      </c>
      <c r="L97" s="10">
        <f>IF('Model inputs'!L96="","",'Model inputs'!L96)</f>
        <v>55000</v>
      </c>
      <c r="M97" s="10">
        <f>IF('Model inputs'!M96="","",'Model inputs'!M96)</f>
        <v>57500</v>
      </c>
      <c r="N97" s="10">
        <f>IF('Model inputs'!N96="","",'Model inputs'!N96)</f>
        <v>60000</v>
      </c>
      <c r="Q97" s="10">
        <f>IF('Model inputs'!Q96="","",'Model inputs'!Q96)</f>
        <v>0</v>
      </c>
      <c r="R97" s="10">
        <f>IF('Model inputs'!R96="","",'Model inputs'!R96)</f>
        <v>0</v>
      </c>
      <c r="S97" s="10">
        <f>IF('Model inputs'!S96="","",'Model inputs'!S96)</f>
        <v>0</v>
      </c>
      <c r="T97" s="10">
        <f>IF('Model inputs'!T96="","",'Model inputs'!T96)</f>
        <v>0</v>
      </c>
      <c r="U97" s="10">
        <f>IF('Model inputs'!U96="","",'Model inputs'!U96)</f>
        <v>0</v>
      </c>
      <c r="V97" s="10">
        <f>IF('Model inputs'!V96="","",'Model inputs'!V96)</f>
        <v>0</v>
      </c>
      <c r="W97" s="10">
        <f>IF('Model inputs'!W96="","",'Model inputs'!W96)</f>
        <v>0</v>
      </c>
      <c r="X97" s="10">
        <f>IF('Model inputs'!X96="","",'Model inputs'!X96)</f>
        <v>0</v>
      </c>
      <c r="Y97" s="10">
        <f>IF(SUM(IF(IF('Model inputs'!B976="",0,1)="",0,IF('Model inputs'!B976="",0,1)),IF(IF('Model inputs'!B977="",0,1)="",0,IF('Model inputs'!B977="",0,1)),IF(IF('Model inputs'!B978="",0,1)="",0,IF('Model inputs'!B978="",0,1)),IF(IF('Model inputs'!B979="",0,1)="",0,IF('Model inputs'!B979="",0,1)),IF(IF('Model inputs'!B980="",0,1)="",0,IF('Model inputs'!B980="",0,1)))=0,"",SUM('Model inputs'!B976,'Model inputs'!B977,'Model inputs'!B978,'Model inputs'!B979,'Model inputs'!B980))</f>
        <v>30000</v>
      </c>
      <c r="Z97" s="10">
        <f>IF(SUM(IF(IF('Model inputs'!B981="",0,1)="",0,IF('Model inputs'!B981="",0,1)),IF(IF('Model inputs'!B982="",0,1)="",0,IF('Model inputs'!B982="",0,1)),IF(IF('Model inputs'!B983="",0,1)="",0,IF('Model inputs'!B983="",0,1)),IF(IF('Model inputs'!B984="",0,1)="",0,IF('Model inputs'!B984="",0,1)),IF(IF('Model inputs'!B985="",0,1)="",0,IF('Model inputs'!B985="",0,1)))=0,"",SUM('Model inputs'!B981,'Model inputs'!B982,'Model inputs'!B983,'Model inputs'!B984,'Model inputs'!B985))</f>
        <v>30000</v>
      </c>
      <c r="AA97" s="10">
        <f>IF(SUM(IF(IF('Model inputs'!B986="",0,1)="",0,IF('Model inputs'!B986="",0,1)),IF(IF('Model inputs'!B987="",0,1)="",0,IF('Model inputs'!B987="",0,1)),IF(IF('Model inputs'!B988="",0,1)="",0,IF('Model inputs'!B988="",0,1)),IF(IF('Model inputs'!B989="",0,1)="",0,IF('Model inputs'!B989="",0,1)),IF(IF('Model inputs'!B990="",0,1)="",0,IF('Model inputs'!B990="",0,1)))=0,"",SUM('Model inputs'!B986,'Model inputs'!B987,'Model inputs'!B988,'Model inputs'!B989,'Model inputs'!B990))</f>
        <v>30000</v>
      </c>
    </row>
    <row r="98">
      <c r="A98" t="inlineStr" s="14">
        <is>
          <t xml:space="preserve">Plan Contribution profit</t>
        </is>
      </c>
      <c r="B98" s="10">
        <v>0</v>
      </c>
      <c r="C98" s="10">
        <f>IF(SUM(IF(IF('Model inputs'!B634="",0,1)="",0,IF('Model inputs'!B634="",0,1)),IF(IF('Model inputs'!B635="",0,1)="",0,IF('Model inputs'!B635="",0,1)),IF(IF('Model inputs'!B636="",0,1)="",0,IF('Model inputs'!B636="",0,1)),IF(IF('Model inputs'!B637="",0,1)="",0,IF('Model inputs'!B637="",0,1)),IF(IF('Model inputs'!B638="",0,1)="",0,IF('Model inputs'!B638="",0,1)))=0,"",SUM('Model inputs'!B634,'Model inputs'!B635,'Model inputs'!B636,'Model inputs'!B637,'Model inputs'!B638))</f>
        <v>4339.25</v>
      </c>
      <c r="D98" s="10">
        <f>IF(SUM(IF(IF('Model inputs'!B639="",0,1)="",0,IF('Model inputs'!B639="",0,1)),IF(IF('Model inputs'!B640="",0,1)="",0,IF('Model inputs'!B640="",0,1)),IF(IF('Model inputs'!B641="",0,1)="",0,IF('Model inputs'!B641="",0,1)),IF(IF('Model inputs'!B642="",0,1)="",0,IF('Model inputs'!B642="",0,1)),IF(IF('Model inputs'!B643="",0,1)="",0,IF('Model inputs'!B643="",0,1)))=0,"",SUM('Model inputs'!B639,'Model inputs'!B640,'Model inputs'!B641,'Model inputs'!B642,'Model inputs'!B643))</f>
        <v>8678.5</v>
      </c>
      <c r="E98" s="10">
        <f>IF(SUM(IF(IF('Model inputs'!B644="",0,1)="",0,IF('Model inputs'!B644="",0,1)),IF(IF('Model inputs'!B645="",0,1)="",0,IF('Model inputs'!B645="",0,1)),IF(IF('Model inputs'!B646="",0,1)="",0,IF('Model inputs'!B646="",0,1)),IF(IF('Model inputs'!B647="",0,1)="",0,IF('Model inputs'!B647="",0,1)),IF(IF('Model inputs'!B648="",0,1)="",0,IF('Model inputs'!B648="",0,1)))=0,"",SUM('Model inputs'!B644,'Model inputs'!B645,'Model inputs'!B646,'Model inputs'!B647,'Model inputs'!B648))</f>
        <v>13017.75</v>
      </c>
      <c r="F98" s="10">
        <f>IF(SUM(IF(IF('Model inputs'!B649="",0,1)="",0,IF('Model inputs'!B649="",0,1)),IF(IF('Model inputs'!B650="",0,1)="",0,IF('Model inputs'!B650="",0,1)),IF(IF('Model inputs'!B651="",0,1)="",0,IF('Model inputs'!B651="",0,1)),IF(IF('Model inputs'!B652="",0,1)="",0,IF('Model inputs'!B652="",0,1)),IF(IF('Model inputs'!B653="",0,1)="",0,IF('Model inputs'!B653="",0,1)))=0,"",SUM('Model inputs'!B649,'Model inputs'!B650,'Model inputs'!B651,'Model inputs'!B652,'Model inputs'!B653))</f>
        <v>17357</v>
      </c>
      <c r="G98" s="10">
        <f>IF(SUM(IF(IF('Model inputs'!B654="",0,1)="",0,IF('Model inputs'!B654="",0,1)),IF(IF('Model inputs'!B655="",0,1)="",0,IF('Model inputs'!B655="",0,1)),IF(IF('Model inputs'!B656="",0,1)="",0,IF('Model inputs'!B656="",0,1)),IF(IF('Model inputs'!B657="",0,1)="",0,IF('Model inputs'!B657="",0,1)),IF(IF('Model inputs'!B658="",0,1)="",0,IF('Model inputs'!B658="",0,1)))=0,"",SUM('Model inputs'!B654,'Model inputs'!B655,'Model inputs'!B656,'Model inputs'!B657,'Model inputs'!B658))</f>
        <v>21696.25</v>
      </c>
      <c r="H98" s="10">
        <f>IF(SUM(IF(IF('Model inputs'!B659="",0,1)="",0,IF('Model inputs'!B659="",0,1)),IF(IF('Model inputs'!B660="",0,1)="",0,IF('Model inputs'!B660="",0,1)),IF(IF('Model inputs'!B661="",0,1)="",0,IF('Model inputs'!B661="",0,1)),IF(IF('Model inputs'!B662="",0,1)="",0,IF('Model inputs'!B662="",0,1)),IF(IF('Model inputs'!B663="",0,1)="",0,IF('Model inputs'!B663="",0,1)))=0,"",SUM('Model inputs'!B659,'Model inputs'!B660,'Model inputs'!B661,'Model inputs'!B662,'Model inputs'!B663))</f>
        <v>26035.5</v>
      </c>
      <c r="I98" s="10">
        <f>IF(SUM(IF(IF('Model inputs'!B664="",0,1)="",0,IF('Model inputs'!B664="",0,1)),IF(IF('Model inputs'!B665="",0,1)="",0,IF('Model inputs'!B665="",0,1)),IF(IF('Model inputs'!B666="",0,1)="",0,IF('Model inputs'!B666="",0,1)),IF(IF('Model inputs'!B667="",0,1)="",0,IF('Model inputs'!B667="",0,1)),IF(IF('Model inputs'!B668="",0,1)="",0,IF('Model inputs'!B668="",0,1)))=0,"",SUM('Model inputs'!B664,'Model inputs'!B665,'Model inputs'!B666,'Model inputs'!B667,'Model inputs'!B668))</f>
        <v>30374.75</v>
      </c>
      <c r="J98" s="10">
        <f>IF(SUM(IF(IF('Model inputs'!B669="",0,1)="",0,IF('Model inputs'!B669="",0,1)),IF(IF('Model inputs'!B670="",0,1)="",0,IF('Model inputs'!B670="",0,1)),IF(IF('Model inputs'!B671="",0,1)="",0,IF('Model inputs'!B671="",0,1)),IF(IF('Model inputs'!B672="",0,1)="",0,IF('Model inputs'!B672="",0,1)),IF(IF('Model inputs'!B673="",0,1)="",0,IF('Model inputs'!B673="",0,1)))=0,"",SUM('Model inputs'!B669,'Model inputs'!B670,'Model inputs'!B671,'Model inputs'!B672,'Model inputs'!B673))</f>
        <v>34714</v>
      </c>
      <c r="K98" s="10">
        <f>IF(SUM(IF(IF('Model inputs'!B674="",0,1)="",0,IF('Model inputs'!B674="",0,1)),IF(IF('Model inputs'!B675="",0,1)="",0,IF('Model inputs'!B675="",0,1)),IF(IF('Model inputs'!B676="",0,1)="",0,IF('Model inputs'!B676="",0,1)),IF(IF('Model inputs'!B677="",0,1)="",0,IF('Model inputs'!B677="",0,1)),IF(IF('Model inputs'!B678="",0,1)="",0,IF('Model inputs'!B678="",0,1)))=0,"",SUM('Model inputs'!B674,'Model inputs'!B675,'Model inputs'!B676,'Model inputs'!B677,'Model inputs'!B678))</f>
        <v>39053.25</v>
      </c>
      <c r="L98" s="10">
        <f>IF(SUM(IF(IF('Model inputs'!B679="",0,1)="",0,IF('Model inputs'!B679="",0,1)),IF(IF('Model inputs'!B680="",0,1)="",0,IF('Model inputs'!B680="",0,1)),IF(IF('Model inputs'!B681="",0,1)="",0,IF('Model inputs'!B681="",0,1)),IF(IF('Model inputs'!B682="",0,1)="",0,IF('Model inputs'!B682="",0,1)),IF(IF('Model inputs'!B683="",0,1)="",0,IF('Model inputs'!B683="",0,1)))=0,"",SUM('Model inputs'!B679,'Model inputs'!B680,'Model inputs'!B681,'Model inputs'!B682,'Model inputs'!B683))</f>
        <v>43392.5</v>
      </c>
      <c r="M98" s="10">
        <f>IF(SUM(IF(IF('Model inputs'!B684="",0,1)="",0,IF('Model inputs'!B684="",0,1)),IF(IF('Model inputs'!B685="",0,1)="",0,IF('Model inputs'!B685="",0,1)),IF(IF('Model inputs'!B686="",0,1)="",0,IF('Model inputs'!B686="",0,1)),IF(IF('Model inputs'!B687="",0,1)="",0,IF('Model inputs'!B687="",0,1)),IF(IF('Model inputs'!B688="",0,1)="",0,IF('Model inputs'!B688="",0,1)))=0,"",SUM('Model inputs'!B684,'Model inputs'!B685,'Model inputs'!B686,'Model inputs'!B687,'Model inputs'!B688))</f>
        <v>47731.75</v>
      </c>
      <c r="N98" s="10">
        <f>IF(SUM(IF(IF('Model inputs'!B689="",0,1)="",0,IF('Model inputs'!B689="",0,1)),IF(IF('Model inputs'!B690="",0,1)="",0,IF('Model inputs'!B690="",0,1)),IF(IF('Model inputs'!B691="",0,1)="",0,IF('Model inputs'!B691="",0,1)),IF(IF('Model inputs'!B692="",0,1)="",0,IF('Model inputs'!B692="",0,1)),IF(IF('Model inputs'!B693="",0,1)="",0,IF('Model inputs'!B693="",0,1)))=0,"",SUM('Model inputs'!B689,'Model inputs'!B690,'Model inputs'!B691,'Model inputs'!B692,'Model inputs'!B693))</f>
        <v>52071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f>IF(SUM(IF(IF('Model inputs'!B991="",0,1)="",0,IF('Model inputs'!B991="",0,1)),IF(IF('Model inputs'!B992="",0,1)="",0,IF('Model inputs'!B992="",0,1)),IF(IF('Model inputs'!B993="",0,1)="",0,IF('Model inputs'!B993="",0,1)),IF(IF('Model inputs'!B994="",0,1)="",0,IF('Model inputs'!B994="",0,1)),IF(IF('Model inputs'!B995="",0,1)="",0,IF('Model inputs'!B995="",0,1)))=0,"",SUM('Model inputs'!B991,'Model inputs'!B992,'Model inputs'!B993,'Model inputs'!B994,'Model inputs'!B995))</f>
        <v>52071</v>
      </c>
      <c r="Z98" s="10">
        <f>IF(SUM(IF(IF('Model inputs'!B996="",0,1)="",0,IF('Model inputs'!B996="",0,1)),IF(IF('Model inputs'!B997="",0,1)="",0,IF('Model inputs'!B997="",0,1)),IF(IF('Model inputs'!B998="",0,1)="",0,IF('Model inputs'!B998="",0,1)),IF(IF('Model inputs'!B999="",0,1)="",0,IF('Model inputs'!B999="",0,1)),IF(IF('Model inputs'!B1000="",0,1)="",0,IF('Model inputs'!B1000="",0,1)))=0,"",SUM('Model inputs'!B996,'Model inputs'!B997,'Model inputs'!B998,'Model inputs'!B999,'Model inputs'!B1000))</f>
        <v>52071</v>
      </c>
      <c r="AA98" s="10">
        <f>IF(SUM(IF(IF('Model inputs'!B1001="",0,1)="",0,IF('Model inputs'!B1001="",0,1)),IF(IF('Model inputs'!B1002="",0,1)="",0,IF('Model inputs'!B1002="",0,1)),IF(IF('Model inputs'!B1003="",0,1)="",0,IF('Model inputs'!B1003="",0,1)),IF(IF('Model inputs'!B1004="",0,1)="",0,IF('Model inputs'!B1004="",0,1)),IF(IF('Model inputs'!B1005="",0,1)="",0,IF('Model inputs'!B1005="",0,1)))=0,"",SUM('Model inputs'!B1001,'Model inputs'!B1002,'Model inputs'!B1003,'Model inputs'!B1004,'Model inputs'!B1005))</f>
        <v>52071</v>
      </c>
    </row>
    <row r="99">
      <c r="A99" t="inlineStr" s="14">
        <is>
          <t xml:space="preserve">Plan Delivery COGS</t>
        </is>
      </c>
      <c r="B99" s="10">
        <v>0</v>
      </c>
      <c r="C99" s="10">
        <f>IF(SUM(IF(IF('Model inputs'!B394="",0,1)="",0,IF('Model inputs'!B394="",0,1)),IF(IF('Model inputs'!B395="",0,1)="",0,IF('Model inputs'!B395="",0,1)),IF(IF('Model inputs'!B396="",0,1)="",0,IF('Model inputs'!B396="",0,1)),IF(IF('Model inputs'!B397="",0,1)="",0,IF('Model inputs'!B397="",0,1)),IF(IF('Model inputs'!B398="",0,1)="",0,IF('Model inputs'!B398="",0,1)))=0,"",SUM('Model inputs'!B394,'Model inputs'!B395,'Model inputs'!B396,'Model inputs'!B397,'Model inputs'!B398))</f>
        <v>473.25</v>
      </c>
      <c r="D99" s="10">
        <f>IF(SUM(IF(IF('Model inputs'!B399="",0,1)="",0,IF('Model inputs'!B399="",0,1)),IF(IF('Model inputs'!B400="",0,1)="",0,IF('Model inputs'!B400="",0,1)),IF(IF('Model inputs'!B401="",0,1)="",0,IF('Model inputs'!B401="",0,1)),IF(IF('Model inputs'!B402="",0,1)="",0,IF('Model inputs'!B402="",0,1)),IF(IF('Model inputs'!B403="",0,1)="",0,IF('Model inputs'!B403="",0,1)))=0,"",SUM('Model inputs'!B399,'Model inputs'!B400,'Model inputs'!B401,'Model inputs'!B402,'Model inputs'!B403))</f>
        <v>946.5</v>
      </c>
      <c r="E99" s="10">
        <f>IF(SUM(IF(IF('Model inputs'!B404="",0,1)="",0,IF('Model inputs'!B404="",0,1)),IF(IF('Model inputs'!B405="",0,1)="",0,IF('Model inputs'!B405="",0,1)),IF(IF('Model inputs'!B406="",0,1)="",0,IF('Model inputs'!B406="",0,1)),IF(IF('Model inputs'!B407="",0,1)="",0,IF('Model inputs'!B407="",0,1)),IF(IF('Model inputs'!B408="",0,1)="",0,IF('Model inputs'!B408="",0,1)))=0,"",SUM('Model inputs'!B404,'Model inputs'!B405,'Model inputs'!B406,'Model inputs'!B407,'Model inputs'!B408))</f>
        <v>1419.75</v>
      </c>
      <c r="F99" s="10">
        <f>IF(SUM(IF(IF('Model inputs'!B409="",0,1)="",0,IF('Model inputs'!B409="",0,1)),IF(IF('Model inputs'!B410="",0,1)="",0,IF('Model inputs'!B410="",0,1)),IF(IF('Model inputs'!B411="",0,1)="",0,IF('Model inputs'!B411="",0,1)),IF(IF('Model inputs'!B412="",0,1)="",0,IF('Model inputs'!B412="",0,1)),IF(IF('Model inputs'!B413="",0,1)="",0,IF('Model inputs'!B413="",0,1)))=0,"",SUM('Model inputs'!B409,'Model inputs'!B410,'Model inputs'!B411,'Model inputs'!B412,'Model inputs'!B413))</f>
        <v>1893</v>
      </c>
      <c r="G99" s="10">
        <f>IF(SUM(IF(IF('Model inputs'!B414="",0,1)="",0,IF('Model inputs'!B414="",0,1)),IF(IF('Model inputs'!B415="",0,1)="",0,IF('Model inputs'!B415="",0,1)),IF(IF('Model inputs'!B416="",0,1)="",0,IF('Model inputs'!B416="",0,1)),IF(IF('Model inputs'!B417="",0,1)="",0,IF('Model inputs'!B417="",0,1)),IF(IF('Model inputs'!B418="",0,1)="",0,IF('Model inputs'!B418="",0,1)))=0,"",SUM('Model inputs'!B414,'Model inputs'!B415,'Model inputs'!B416,'Model inputs'!B417,'Model inputs'!B418))</f>
        <v>2366.25</v>
      </c>
      <c r="H99" s="10">
        <f>IF(SUM(IF(IF('Model inputs'!B419="",0,1)="",0,IF('Model inputs'!B419="",0,1)),IF(IF('Model inputs'!B420="",0,1)="",0,IF('Model inputs'!B420="",0,1)),IF(IF('Model inputs'!B421="",0,1)="",0,IF('Model inputs'!B421="",0,1)),IF(IF('Model inputs'!B422="",0,1)="",0,IF('Model inputs'!B422="",0,1)),IF(IF('Model inputs'!B423="",0,1)="",0,IF('Model inputs'!B423="",0,1)))=0,"",SUM('Model inputs'!B419,'Model inputs'!B420,'Model inputs'!B421,'Model inputs'!B422,'Model inputs'!B423))</f>
        <v>2839.5</v>
      </c>
      <c r="I99" s="10">
        <f>IF(SUM(IF(IF('Model inputs'!B424="",0,1)="",0,IF('Model inputs'!B424="",0,1)),IF(IF('Model inputs'!B425="",0,1)="",0,IF('Model inputs'!B425="",0,1)),IF(IF('Model inputs'!B426="",0,1)="",0,IF('Model inputs'!B426="",0,1)),IF(IF('Model inputs'!B427="",0,1)="",0,IF('Model inputs'!B427="",0,1)),IF(IF('Model inputs'!B428="",0,1)="",0,IF('Model inputs'!B428="",0,1)))=0,"",SUM('Model inputs'!B424,'Model inputs'!B425,'Model inputs'!B426,'Model inputs'!B427,'Model inputs'!B428))</f>
        <v>3312.75</v>
      </c>
      <c r="J99" s="10">
        <f>IF(SUM(IF(IF('Model inputs'!B429="",0,1)="",0,IF('Model inputs'!B429="",0,1)),IF(IF('Model inputs'!B430="",0,1)="",0,IF('Model inputs'!B430="",0,1)),IF(IF('Model inputs'!B431="",0,1)="",0,IF('Model inputs'!B431="",0,1)),IF(IF('Model inputs'!B432="",0,1)="",0,IF('Model inputs'!B432="",0,1)),IF(IF('Model inputs'!B433="",0,1)="",0,IF('Model inputs'!B433="",0,1)))=0,"",SUM('Model inputs'!B429,'Model inputs'!B430,'Model inputs'!B431,'Model inputs'!B432,'Model inputs'!B433))</f>
        <v>3786</v>
      </c>
      <c r="K99" s="10">
        <f>IF(SUM(IF(IF('Model inputs'!B434="",0,1)="",0,IF('Model inputs'!B434="",0,1)),IF(IF('Model inputs'!B435="",0,1)="",0,IF('Model inputs'!B435="",0,1)),IF(IF('Model inputs'!B436="",0,1)="",0,IF('Model inputs'!B436="",0,1)),IF(IF('Model inputs'!B437="",0,1)="",0,IF('Model inputs'!B437="",0,1)),IF(IF('Model inputs'!B438="",0,1)="",0,IF('Model inputs'!B438="",0,1)))=0,"",SUM('Model inputs'!B434,'Model inputs'!B435,'Model inputs'!B436,'Model inputs'!B437,'Model inputs'!B438))</f>
        <v>4259.25</v>
      </c>
      <c r="L99" s="10">
        <f>IF(SUM(IF(IF('Model inputs'!B439="",0,1)="",0,IF('Model inputs'!B439="",0,1)),IF(IF('Model inputs'!B440="",0,1)="",0,IF('Model inputs'!B440="",0,1)),IF(IF('Model inputs'!B441="",0,1)="",0,IF('Model inputs'!B441="",0,1)),IF(IF('Model inputs'!B442="",0,1)="",0,IF('Model inputs'!B442="",0,1)),IF(IF('Model inputs'!B443="",0,1)="",0,IF('Model inputs'!B443="",0,1)))=0,"",SUM('Model inputs'!B439,'Model inputs'!B440,'Model inputs'!B441,'Model inputs'!B442,'Model inputs'!B443))</f>
        <v>4732.5</v>
      </c>
      <c r="M99" s="10">
        <f>IF(SUM(IF(IF('Model inputs'!B444="",0,1)="",0,IF('Model inputs'!B444="",0,1)),IF(IF('Model inputs'!B445="",0,1)="",0,IF('Model inputs'!B445="",0,1)),IF(IF('Model inputs'!B446="",0,1)="",0,IF('Model inputs'!B446="",0,1)),IF(IF('Model inputs'!B447="",0,1)="",0,IF('Model inputs'!B447="",0,1)),IF(IF('Model inputs'!B448="",0,1)="",0,IF('Model inputs'!B448="",0,1)))=0,"",SUM('Model inputs'!B444,'Model inputs'!B445,'Model inputs'!B446,'Model inputs'!B447,'Model inputs'!B448))</f>
        <v>5205.75</v>
      </c>
      <c r="N99" s="10">
        <f>IF(SUM(IF(IF('Model inputs'!B449="",0,1)="",0,IF('Model inputs'!B449="",0,1)),IF(IF('Model inputs'!B450="",0,1)="",0,IF('Model inputs'!B450="",0,1)),IF(IF('Model inputs'!B451="",0,1)="",0,IF('Model inputs'!B451="",0,1)),IF(IF('Model inputs'!B452="",0,1)="",0,IF('Model inputs'!B452="",0,1)),IF(IF('Model inputs'!B453="",0,1)="",0,IF('Model inputs'!B453="",0,1)))=0,"",SUM('Model inputs'!B449,'Model inputs'!B450,'Model inputs'!B451,'Model inputs'!B452,'Model inputs'!B453))</f>
        <v>5679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f>IF(SUM(IF(IF('Model inputs'!B1006="",0,1)="",0,IF('Model inputs'!B1006="",0,1)),IF(IF('Model inputs'!B1007="",0,1)="",0,IF('Model inputs'!B1007="",0,1)),IF(IF('Model inputs'!B1008="",0,1)="",0,IF('Model inputs'!B1008="",0,1)),IF(IF('Model inputs'!B1009="",0,1)="",0,IF('Model inputs'!B1009="",0,1)),IF(IF('Model inputs'!B1010="",0,1)="",0,IF('Model inputs'!B1010="",0,1)))=0,"",SUM('Model inputs'!B1006,'Model inputs'!B1007,'Model inputs'!B1008,'Model inputs'!B1009,'Model inputs'!B1010))</f>
        <v>5679</v>
      </c>
      <c r="Z99" s="10">
        <f>IF(SUM(IF(IF('Model inputs'!B1011="",0,1)="",0,IF('Model inputs'!B1011="",0,1)),IF(IF('Model inputs'!B1012="",0,1)="",0,IF('Model inputs'!B1012="",0,1)),IF(IF('Model inputs'!B1013="",0,1)="",0,IF('Model inputs'!B1013="",0,1)),IF(IF('Model inputs'!B1014="",0,1)="",0,IF('Model inputs'!B1014="",0,1)),IF(IF('Model inputs'!B1015="",0,1)="",0,IF('Model inputs'!B1015="",0,1)))=0,"",SUM('Model inputs'!B1011,'Model inputs'!B1012,'Model inputs'!B1013,'Model inputs'!B1014,'Model inputs'!B1015))</f>
        <v>5679</v>
      </c>
      <c r="AA99" s="10">
        <f>IF(SUM(IF(IF('Model inputs'!B1016="",0,1)="",0,IF('Model inputs'!B1016="",0,1)),IF(IF('Model inputs'!B1017="",0,1)="",0,IF('Model inputs'!B1017="",0,1)),IF(IF('Model inputs'!B1018="",0,1)="",0,IF('Model inputs'!B1018="",0,1)),IF(IF('Model inputs'!B1019="",0,1)="",0,IF('Model inputs'!B1019="",0,1)),IF(IF('Model inputs'!B1020="",0,1)="",0,IF('Model inputs'!B1020="",0,1)))=0,"",SUM('Model inputs'!B1016,'Model inputs'!B1017,'Model inputs'!B1018,'Model inputs'!B1019,'Model inputs'!B1020))</f>
        <v>5679</v>
      </c>
    </row>
    <row r="100">
      <c r="A100" t="inlineStr" s="14">
        <is>
          <t xml:space="preserve">Plan Earned revenue · DealScope 12-month financial projection</t>
        </is>
      </c>
      <c r="B100" s="10">
        <v>0</v>
      </c>
      <c r="C100" s="10">
        <f>IF(SUM(IF(IF('Model inputs'!B334="",0,1)="",0,IF('Model inputs'!B334="",0,1)),IF(IF('Model inputs'!B335="",0,1)="",0,IF('Model inputs'!B335="",0,1)),IF(IF('Model inputs'!B336="",0,1)="",0,IF('Model inputs'!B336="",0,1)),IF(IF('Model inputs'!B337="",0,1)="",0,IF('Model inputs'!B337="",0,1)),IF(IF('Model inputs'!B338="",0,1)="",0,IF('Model inputs'!B338="",0,1)))=0,"",SUM('Model inputs'!B334,'Model inputs'!B335,'Model inputs'!B336,'Model inputs'!B337,'Model inputs'!B338))</f>
        <v>5000</v>
      </c>
      <c r="D100" s="10">
        <f>IF(SUM(IF(IF('Model inputs'!B339="",0,1)="",0,IF('Model inputs'!B339="",0,1)),IF(IF('Model inputs'!B340="",0,1)="",0,IF('Model inputs'!B340="",0,1)),IF(IF('Model inputs'!B341="",0,1)="",0,IF('Model inputs'!B341="",0,1)),IF(IF('Model inputs'!B342="",0,1)="",0,IF('Model inputs'!B342="",0,1)),IF(IF('Model inputs'!B343="",0,1)="",0,IF('Model inputs'!B343="",0,1)))=0,"",SUM('Model inputs'!B339,'Model inputs'!B340,'Model inputs'!B341,'Model inputs'!B342,'Model inputs'!B343))</f>
        <v>10000</v>
      </c>
      <c r="E100" s="10">
        <f>IF(SUM(IF(IF('Model inputs'!B344="",0,1)="",0,IF('Model inputs'!B344="",0,1)),IF(IF('Model inputs'!B345="",0,1)="",0,IF('Model inputs'!B345="",0,1)),IF(IF('Model inputs'!B346="",0,1)="",0,IF('Model inputs'!B346="",0,1)),IF(IF('Model inputs'!B347="",0,1)="",0,IF('Model inputs'!B347="",0,1)),IF(IF('Model inputs'!B348="",0,1)="",0,IF('Model inputs'!B348="",0,1)))=0,"",SUM('Model inputs'!B344,'Model inputs'!B345,'Model inputs'!B346,'Model inputs'!B347,'Model inputs'!B348))</f>
        <v>15000</v>
      </c>
      <c r="F100" s="10">
        <f>IF(SUM(IF(IF('Model inputs'!B349="",0,1)="",0,IF('Model inputs'!B349="",0,1)),IF(IF('Model inputs'!B350="",0,1)="",0,IF('Model inputs'!B350="",0,1)),IF(IF('Model inputs'!B351="",0,1)="",0,IF('Model inputs'!B351="",0,1)),IF(IF('Model inputs'!B352="",0,1)="",0,IF('Model inputs'!B352="",0,1)),IF(IF('Model inputs'!B353="",0,1)="",0,IF('Model inputs'!B353="",0,1)))=0,"",SUM('Model inputs'!B349,'Model inputs'!B350,'Model inputs'!B351,'Model inputs'!B352,'Model inputs'!B353))</f>
        <v>20000</v>
      </c>
      <c r="G100" s="10">
        <f>IF(SUM(IF(IF('Model inputs'!B354="",0,1)="",0,IF('Model inputs'!B354="",0,1)),IF(IF('Model inputs'!B355="",0,1)="",0,IF('Model inputs'!B355="",0,1)),IF(IF('Model inputs'!B356="",0,1)="",0,IF('Model inputs'!B356="",0,1)),IF(IF('Model inputs'!B357="",0,1)="",0,IF('Model inputs'!B357="",0,1)),IF(IF('Model inputs'!B358="",0,1)="",0,IF('Model inputs'!B358="",0,1)))=0,"",SUM('Model inputs'!B354,'Model inputs'!B355,'Model inputs'!B356,'Model inputs'!B357,'Model inputs'!B358))</f>
        <v>25000</v>
      </c>
      <c r="H100" s="10">
        <f>IF(SUM(IF(IF('Model inputs'!B359="",0,1)="",0,IF('Model inputs'!B359="",0,1)),IF(IF('Model inputs'!B360="",0,1)="",0,IF('Model inputs'!B360="",0,1)),IF(IF('Model inputs'!B361="",0,1)="",0,IF('Model inputs'!B361="",0,1)),IF(IF('Model inputs'!B362="",0,1)="",0,IF('Model inputs'!B362="",0,1)),IF(IF('Model inputs'!B363="",0,1)="",0,IF('Model inputs'!B363="",0,1)))=0,"",SUM('Model inputs'!B359,'Model inputs'!B360,'Model inputs'!B361,'Model inputs'!B362,'Model inputs'!B363))</f>
        <v>30000</v>
      </c>
      <c r="I100" s="10">
        <f>IF(SUM(IF(IF('Model inputs'!B364="",0,1)="",0,IF('Model inputs'!B364="",0,1)),IF(IF('Model inputs'!B365="",0,1)="",0,IF('Model inputs'!B365="",0,1)),IF(IF('Model inputs'!B366="",0,1)="",0,IF('Model inputs'!B366="",0,1)),IF(IF('Model inputs'!B367="",0,1)="",0,IF('Model inputs'!B367="",0,1)),IF(IF('Model inputs'!B368="",0,1)="",0,IF('Model inputs'!B368="",0,1)))=0,"",SUM('Model inputs'!B364,'Model inputs'!B365,'Model inputs'!B366,'Model inputs'!B367,'Model inputs'!B368))</f>
        <v>35000</v>
      </c>
      <c r="J100" s="10">
        <f>IF(SUM(IF(IF('Model inputs'!B369="",0,1)="",0,IF('Model inputs'!B369="",0,1)),IF(IF('Model inputs'!B370="",0,1)="",0,IF('Model inputs'!B370="",0,1)),IF(IF('Model inputs'!B371="",0,1)="",0,IF('Model inputs'!B371="",0,1)),IF(IF('Model inputs'!B372="",0,1)="",0,IF('Model inputs'!B372="",0,1)),IF(IF('Model inputs'!B373="",0,1)="",0,IF('Model inputs'!B373="",0,1)))=0,"",SUM('Model inputs'!B369,'Model inputs'!B370,'Model inputs'!B371,'Model inputs'!B372,'Model inputs'!B373))</f>
        <v>40000</v>
      </c>
      <c r="K100" s="10">
        <f>IF(SUM(IF(IF('Model inputs'!B374="",0,1)="",0,IF('Model inputs'!B374="",0,1)),IF(IF('Model inputs'!B375="",0,1)="",0,IF('Model inputs'!B375="",0,1)),IF(IF('Model inputs'!B376="",0,1)="",0,IF('Model inputs'!B376="",0,1)),IF(IF('Model inputs'!B377="",0,1)="",0,IF('Model inputs'!B377="",0,1)),IF(IF('Model inputs'!B378="",0,1)="",0,IF('Model inputs'!B378="",0,1)))=0,"",SUM('Model inputs'!B374,'Model inputs'!B375,'Model inputs'!B376,'Model inputs'!B377,'Model inputs'!B378))</f>
        <v>45000</v>
      </c>
      <c r="L100" s="10">
        <f>IF(SUM(IF(IF('Model inputs'!B379="",0,1)="",0,IF('Model inputs'!B379="",0,1)),IF(IF('Model inputs'!B380="",0,1)="",0,IF('Model inputs'!B380="",0,1)),IF(IF('Model inputs'!B381="",0,1)="",0,IF('Model inputs'!B381="",0,1)),IF(IF('Model inputs'!B382="",0,1)="",0,IF('Model inputs'!B382="",0,1)),IF(IF('Model inputs'!B383="",0,1)="",0,IF('Model inputs'!B383="",0,1)))=0,"",SUM('Model inputs'!B379,'Model inputs'!B380,'Model inputs'!B381,'Model inputs'!B382,'Model inputs'!B383))</f>
        <v>50000</v>
      </c>
      <c r="M100" s="10">
        <f>IF(SUM(IF(IF('Model inputs'!B384="",0,1)="",0,IF('Model inputs'!B384="",0,1)),IF(IF('Model inputs'!B385="",0,1)="",0,IF('Model inputs'!B385="",0,1)),IF(IF('Model inputs'!B386="",0,1)="",0,IF('Model inputs'!B386="",0,1)),IF(IF('Model inputs'!B387="",0,1)="",0,IF('Model inputs'!B387="",0,1)),IF(IF('Model inputs'!B388="",0,1)="",0,IF('Model inputs'!B388="",0,1)))=0,"",SUM('Model inputs'!B384,'Model inputs'!B385,'Model inputs'!B386,'Model inputs'!B387,'Model inputs'!B388))</f>
        <v>55000</v>
      </c>
      <c r="N100" s="10">
        <f>IF(SUM(IF(IF('Model inputs'!B389="",0,1)="",0,IF('Model inputs'!B389="",0,1)),IF(IF('Model inputs'!B390="",0,1)="",0,IF('Model inputs'!B390="",0,1)),IF(IF('Model inputs'!B391="",0,1)="",0,IF('Model inputs'!B391="",0,1)),IF(IF('Model inputs'!B392="",0,1)="",0,IF('Model inputs'!B392="",0,1)),IF(IF('Model inputs'!B393="",0,1)="",0,IF('Model inputs'!B393="",0,1)))=0,"",SUM('Model inputs'!B389,'Model inputs'!B390,'Model inputs'!B391,'Model inputs'!B392,'Model inputs'!B393))</f>
        <v>60000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</row>
    <row r="101">
      <c r="A101" t="inlineStr" s="14">
        <is>
          <t xml:space="preserve">Plan Earned revenue · DealScope forecast overview</t>
        </is>
      </c>
      <c r="B101" s="10">
        <f>IF('Model inputs'!B100="","",'Model inputs'!B100)</f>
        <v>0</v>
      </c>
      <c r="C101" s="10">
        <f>IF('Model inputs'!C100="","",'Model inputs'!C100)</f>
        <v>5000</v>
      </c>
      <c r="D101" s="10">
        <f>IF('Model inputs'!D100="","",'Model inputs'!D100)</f>
        <v>10000</v>
      </c>
      <c r="E101" s="10">
        <f>IF('Model inputs'!E100="","",'Model inputs'!E100)</f>
        <v>15000</v>
      </c>
      <c r="F101" s="10">
        <f>IF('Model inputs'!F100="","",'Model inputs'!F100)</f>
        <v>20000</v>
      </c>
      <c r="G101" s="10">
        <f>IF('Model inputs'!G100="","",'Model inputs'!G100)</f>
        <v>25000</v>
      </c>
      <c r="H101" s="10">
        <f>IF('Model inputs'!H100="","",'Model inputs'!H100)</f>
        <v>30000</v>
      </c>
      <c r="I101" s="10">
        <f>IF('Model inputs'!I100="","",'Model inputs'!I100)</f>
        <v>35000</v>
      </c>
      <c r="J101" s="10">
        <f>IF('Model inputs'!J100="","",'Model inputs'!J100)</f>
        <v>40000</v>
      </c>
      <c r="K101" s="10">
        <f>IF('Model inputs'!K100="","",'Model inputs'!K100)</f>
        <v>45000</v>
      </c>
      <c r="L101" s="10">
        <f>IF('Model inputs'!L100="","",'Model inputs'!L100)</f>
        <v>50000</v>
      </c>
      <c r="M101" s="10">
        <f>IF('Model inputs'!M100="","",'Model inputs'!M100)</f>
        <v>55000</v>
      </c>
      <c r="N101" s="10">
        <f>IF('Model inputs'!N100="","",'Model inputs'!N100)</f>
        <v>60000</v>
      </c>
      <c r="Q101" s="10">
        <f>IF('Model inputs'!Q100="","",'Model inputs'!Q100)</f>
        <v>0</v>
      </c>
      <c r="R101" s="10">
        <f>IF('Model inputs'!R100="","",'Model inputs'!R100)</f>
        <v>0</v>
      </c>
      <c r="S101" s="10">
        <f>IF('Model inputs'!S100="","",'Model inputs'!S100)</f>
        <v>0</v>
      </c>
      <c r="T101" s="10">
        <f>IF('Model inputs'!T100="","",'Model inputs'!T100)</f>
        <v>0</v>
      </c>
      <c r="U101" s="10">
        <f>IF('Model inputs'!U100="","",'Model inputs'!U100)</f>
        <v>0</v>
      </c>
      <c r="V101" s="10">
        <f>IF('Model inputs'!V100="","",'Model inputs'!V100)</f>
        <v>0</v>
      </c>
      <c r="W101" s="10">
        <f>IF('Model inputs'!W100="","",'Model inputs'!W100)</f>
        <v>0</v>
      </c>
      <c r="X101" s="10">
        <f>IF('Model inputs'!X100="","",'Model inputs'!X100)</f>
        <v>0</v>
      </c>
      <c r="Y101" s="10">
        <f>IF(SUM(IF(IF('Model inputs'!B1021="",0,1)="",0,IF('Model inputs'!B1021="",0,1)),IF(IF('Model inputs'!B1022="",0,1)="",0,IF('Model inputs'!B1022="",0,1)),IF(IF('Model inputs'!B1023="",0,1)="",0,IF('Model inputs'!B1023="",0,1)),IF(IF('Model inputs'!B1024="",0,1)="",0,IF('Model inputs'!B1024="",0,1)),IF(IF('Model inputs'!B1025="",0,1)="",0,IF('Model inputs'!B1025="",0,1)))=0,"",SUM('Model inputs'!B1021,'Model inputs'!B1022,'Model inputs'!B1023,'Model inputs'!B1024,'Model inputs'!B1025))</f>
        <v>60000</v>
      </c>
      <c r="Z101" s="10">
        <f>IF(SUM(IF(IF('Model inputs'!B1026="",0,1)="",0,IF('Model inputs'!B1026="",0,1)),IF(IF('Model inputs'!B1027="",0,1)="",0,IF('Model inputs'!B1027="",0,1)),IF(IF('Model inputs'!B1028="",0,1)="",0,IF('Model inputs'!B1028="",0,1)),IF(IF('Model inputs'!B1029="",0,1)="",0,IF('Model inputs'!B1029="",0,1)),IF(IF('Model inputs'!B1030="",0,1)="",0,IF('Model inputs'!B1030="",0,1)))=0,"",SUM('Model inputs'!B1026,'Model inputs'!B1027,'Model inputs'!B1028,'Model inputs'!B1029,'Model inputs'!B1030))</f>
        <v>60000</v>
      </c>
      <c r="AA101" s="10">
        <f>IF(SUM(IF(IF('Model inputs'!B1031="",0,1)="",0,IF('Model inputs'!B1031="",0,1)),IF(IF('Model inputs'!B1032="",0,1)="",0,IF('Model inputs'!B1032="",0,1)),IF(IF('Model inputs'!B1033="",0,1)="",0,IF('Model inputs'!B1033="",0,1)),IF(IF('Model inputs'!B1034="",0,1)="",0,IF('Model inputs'!B1034="",0,1)),IF(IF('Model inputs'!B1035="",0,1)="",0,IF('Model inputs'!B1035="",0,1)))=0,"",SUM('Model inputs'!B1031,'Model inputs'!B1032,'Model inputs'!B1033,'Model inputs'!B1034,'Model inputs'!B1035))</f>
        <v>60000</v>
      </c>
    </row>
    <row r="102">
      <c r="A102" t="inlineStr" s="14">
        <is>
          <t xml:space="preserve">Plan Net cash burn · DealScope 12-month financial projection</t>
        </is>
      </c>
      <c r="B102" s="10">
        <v>0</v>
      </c>
      <c r="C102" s="10">
        <f>IF(SUM(IF(IF('Model inputs'!B874="",0,1)="",0,IF('Model inputs'!B874="",0,1)),IF(IF('Model inputs'!B875="",0,1)="",0,IF('Model inputs'!B875="",0,1)),IF(IF('Model inputs'!B876="",0,1)="",0,IF('Model inputs'!B876="",0,1)),IF(IF('Model inputs'!B877="",0,1)="",0,IF('Model inputs'!B877="",0,1)),IF(IF('Model inputs'!B878="",0,1)="",0,IF('Model inputs'!B878="",0,1)))=0,"",SUM('Model inputs'!B874,'Model inputs'!B875,'Model inputs'!B876,'Model inputs'!B877,'Model inputs'!B878))</f>
        <v>-30264.25</v>
      </c>
      <c r="D102" s="10">
        <f>IF(SUM(IF(IF('Model inputs'!B879="",0,1)="",0,IF('Model inputs'!B879="",0,1)),IF(IF('Model inputs'!B880="",0,1)="",0,IF('Model inputs'!B880="",0,1)),IF(IF('Model inputs'!B881="",0,1)="",0,IF('Model inputs'!B881="",0,1)),IF(IF('Model inputs'!B882="",0,1)="",0,IF('Model inputs'!B882="",0,1)),IF(IF('Model inputs'!B883="",0,1)="",0,IF('Model inputs'!B883="",0,1)))=0,"",SUM('Model inputs'!B879,'Model inputs'!B880,'Model inputs'!B881,'Model inputs'!B882,'Model inputs'!B883))</f>
        <v>-32178.5</v>
      </c>
      <c r="E102" s="10">
        <f>IF(SUM(IF(IF('Model inputs'!B884="",0,1)="",0,IF('Model inputs'!B884="",0,1)),IF(IF('Model inputs'!B885="",0,1)="",0,IF('Model inputs'!B885="",0,1)),IF(IF('Model inputs'!B886="",0,1)="",0,IF('Model inputs'!B886="",0,1)),IF(IF('Model inputs'!B887="",0,1)="",0,IF('Model inputs'!B887="",0,1)),IF(IF('Model inputs'!B888="",0,1)="",0,IF('Model inputs'!B888="",0,1)))=0,"",SUM('Model inputs'!B884,'Model inputs'!B885,'Model inputs'!B886,'Model inputs'!B887,'Model inputs'!B888))</f>
        <v>-34092.75</v>
      </c>
      <c r="F102" s="10">
        <f>IF(SUM(IF(IF('Model inputs'!B889="",0,1)="",0,IF('Model inputs'!B889="",0,1)),IF(IF('Model inputs'!B890="",0,1)="",0,IF('Model inputs'!B890="",0,1)),IF(IF('Model inputs'!B891="",0,1)="",0,IF('Model inputs'!B891="",0,1)),IF(IF('Model inputs'!B892="",0,1)="",0,IF('Model inputs'!B892="",0,1)),IF(IF('Model inputs'!B893="",0,1)="",0,IF('Model inputs'!B893="",0,1)))=0,"",SUM('Model inputs'!B889,'Model inputs'!B890,'Model inputs'!B891,'Model inputs'!B892,'Model inputs'!B893))</f>
        <v>-36007</v>
      </c>
      <c r="G102" s="10">
        <f>IF(SUM(IF(IF('Model inputs'!B894="",0,1)="",0,IF('Model inputs'!B894="",0,1)),IF(IF('Model inputs'!B895="",0,1)="",0,IF('Model inputs'!B895="",0,1)),IF(IF('Model inputs'!B896="",0,1)="",0,IF('Model inputs'!B896="",0,1)),IF(IF('Model inputs'!B897="",0,1)="",0,IF('Model inputs'!B897="",0,1)),IF(IF('Model inputs'!B898="",0,1)="",0,IF('Model inputs'!B898="",0,1)))=0,"",SUM('Model inputs'!B894,'Model inputs'!B895,'Model inputs'!B896,'Model inputs'!B897,'Model inputs'!B898))</f>
        <v>-37921.25</v>
      </c>
      <c r="H102" s="10">
        <f>IF(SUM(IF(IF('Model inputs'!B899="",0,1)="",0,IF('Model inputs'!B899="",0,1)),IF(IF('Model inputs'!B900="",0,1)="",0,IF('Model inputs'!B900="",0,1)),IF(IF('Model inputs'!B901="",0,1)="",0,IF('Model inputs'!B901="",0,1)),IF(IF('Model inputs'!B902="",0,1)="",0,IF('Model inputs'!B902="",0,1)),IF(IF('Model inputs'!B903="",0,1)="",0,IF('Model inputs'!B903="",0,1)))=0,"",SUM('Model inputs'!B899,'Model inputs'!B900,'Model inputs'!B901,'Model inputs'!B902,'Model inputs'!B903))</f>
        <v>-39335.5</v>
      </c>
      <c r="I102" s="10">
        <f>IF(SUM(IF(IF('Model inputs'!B904="",0,1)="",0,IF('Model inputs'!B904="",0,1)),IF(IF('Model inputs'!B905="",0,1)="",0,IF('Model inputs'!B905="",0,1)),IF(IF('Model inputs'!B906="",0,1)="",0,IF('Model inputs'!B906="",0,1)),IF(IF('Model inputs'!B907="",0,1)="",0,IF('Model inputs'!B907="",0,1)),IF(IF('Model inputs'!B908="",0,1)="",0,IF('Model inputs'!B908="",0,1)))=0,"",SUM('Model inputs'!B904,'Model inputs'!B905,'Model inputs'!B906,'Model inputs'!B907,'Model inputs'!B908))</f>
        <v>-41249.75</v>
      </c>
      <c r="J102" s="10">
        <f>IF(SUM(IF(IF('Model inputs'!B909="",0,1)="",0,IF('Model inputs'!B909="",0,1)),IF(IF('Model inputs'!B910="",0,1)="",0,IF('Model inputs'!B910="",0,1)),IF(IF('Model inputs'!B911="",0,1)="",0,IF('Model inputs'!B911="",0,1)),IF(IF('Model inputs'!B912="",0,1)="",0,IF('Model inputs'!B912="",0,1)),IF(IF('Model inputs'!B913="",0,1)="",0,IF('Model inputs'!B913="",0,1)))=0,"",SUM('Model inputs'!B909,'Model inputs'!B910,'Model inputs'!B911,'Model inputs'!B912,'Model inputs'!B913))</f>
        <v>-43164</v>
      </c>
      <c r="K102" s="10">
        <f>IF(SUM(IF(IF('Model inputs'!B914="",0,1)="",0,IF('Model inputs'!B914="",0,1)),IF(IF('Model inputs'!B915="",0,1)="",0,IF('Model inputs'!B915="",0,1)),IF(IF('Model inputs'!B916="",0,1)="",0,IF('Model inputs'!B916="",0,1)),IF(IF('Model inputs'!B917="",0,1)="",0,IF('Model inputs'!B917="",0,1)),IF(IF('Model inputs'!B918="",0,1)="",0,IF('Model inputs'!B918="",0,1)))=0,"",SUM('Model inputs'!B914,'Model inputs'!B915,'Model inputs'!B916,'Model inputs'!B917,'Model inputs'!B918))</f>
        <v>-45078.25</v>
      </c>
      <c r="L102" s="10">
        <f>IF(SUM(IF(IF('Model inputs'!B919="",0,1)="",0,IF('Model inputs'!B919="",0,1)),IF(IF('Model inputs'!B920="",0,1)="",0,IF('Model inputs'!B920="",0,1)),IF(IF('Model inputs'!B921="",0,1)="",0,IF('Model inputs'!B921="",0,1)),IF(IF('Model inputs'!B922="",0,1)="",0,IF('Model inputs'!B922="",0,1)),IF(IF('Model inputs'!B923="",0,1)="",0,IF('Model inputs'!B923="",0,1)))=0,"",SUM('Model inputs'!B919,'Model inputs'!B920,'Model inputs'!B921,'Model inputs'!B922,'Model inputs'!B923))</f>
        <v>-46992.5</v>
      </c>
      <c r="M102" s="10">
        <f>IF(SUM(IF(IF('Model inputs'!B924="",0,1)="",0,IF('Model inputs'!B924="",0,1)),IF(IF('Model inputs'!B925="",0,1)="",0,IF('Model inputs'!B925="",0,1)),IF(IF('Model inputs'!B926="",0,1)="",0,IF('Model inputs'!B926="",0,1)),IF(IF('Model inputs'!B927="",0,1)="",0,IF('Model inputs'!B927="",0,1)),IF(IF('Model inputs'!B928="",0,1)="",0,IF('Model inputs'!B928="",0,1)))=0,"",SUM('Model inputs'!B924,'Model inputs'!B925,'Model inputs'!B926,'Model inputs'!B927,'Model inputs'!B928))</f>
        <v>-48906.75</v>
      </c>
      <c r="N102" s="10">
        <f>IF(SUM(IF(IF('Model inputs'!B929="",0,1)="",0,IF('Model inputs'!B929="",0,1)),IF(IF('Model inputs'!B930="",0,1)="",0,IF('Model inputs'!B930="",0,1)),IF(IF('Model inputs'!B931="",0,1)="",0,IF('Model inputs'!B931="",0,1)),IF(IF('Model inputs'!B932="",0,1)="",0,IF('Model inputs'!B932="",0,1)),IF(IF('Model inputs'!B933="",0,1)="",0,IF('Model inputs'!B933="",0,1)))=0,"",SUM('Model inputs'!B929,'Model inputs'!B930,'Model inputs'!B931,'Model inputs'!B932,'Model inputs'!B933))</f>
        <v>-50821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</row>
    <row r="103">
      <c r="A103" t="inlineStr" s="14">
        <is>
          <t xml:space="preserve">Plan Net cash burn · DealScope forecast overview</t>
        </is>
      </c>
      <c r="B103" s="10">
        <f>IF('Model inputs'!B102="","",'Model inputs'!B102)</f>
        <v>0</v>
      </c>
      <c r="C103" s="10">
        <f>IF('Model inputs'!C102="","",'Model inputs'!C102)</f>
        <v>-30264.25</v>
      </c>
      <c r="D103" s="10">
        <f>IF('Model inputs'!D102="","",'Model inputs'!D102)</f>
        <v>-32178.5</v>
      </c>
      <c r="E103" s="10">
        <f>IF('Model inputs'!E102="","",'Model inputs'!E102)</f>
        <v>-34092.75</v>
      </c>
      <c r="F103" s="10">
        <f>IF('Model inputs'!F102="","",'Model inputs'!F102)</f>
        <v>-36007</v>
      </c>
      <c r="G103" s="10">
        <f>IF('Model inputs'!G102="","",'Model inputs'!G102)</f>
        <v>-37921.25</v>
      </c>
      <c r="H103" s="10">
        <f>IF('Model inputs'!H102="","",'Model inputs'!H102)</f>
        <v>-39335.5</v>
      </c>
      <c r="I103" s="10">
        <f>IF('Model inputs'!I102="","",'Model inputs'!I102)</f>
        <v>-41249.75</v>
      </c>
      <c r="J103" s="10">
        <f>IF('Model inputs'!J102="","",'Model inputs'!J102)</f>
        <v>-43164</v>
      </c>
      <c r="K103" s="10">
        <f>IF('Model inputs'!K102="","",'Model inputs'!K102)</f>
        <v>-45078.25</v>
      </c>
      <c r="L103" s="10">
        <f>IF('Model inputs'!L102="","",'Model inputs'!L102)</f>
        <v>-46992.5</v>
      </c>
      <c r="M103" s="10">
        <f>IF('Model inputs'!M102="","",'Model inputs'!M102)</f>
        <v>-48906.75</v>
      </c>
      <c r="N103" s="10">
        <f>IF('Model inputs'!N102="","",'Model inputs'!N102)</f>
        <v>-50821</v>
      </c>
      <c r="Q103" s="10">
        <f>IF('Model inputs'!Q102="","",'Model inputs'!Q102)</f>
        <v>0</v>
      </c>
      <c r="R103" s="10">
        <f>IF('Model inputs'!R102="","",'Model inputs'!R102)</f>
        <v>0</v>
      </c>
      <c r="S103" s="10">
        <f>IF('Model inputs'!S102="","",'Model inputs'!S102)</f>
        <v>0</v>
      </c>
      <c r="T103" s="10">
        <f>IF('Model inputs'!T102="","",'Model inputs'!T102)</f>
        <v>0</v>
      </c>
      <c r="U103" s="10">
        <f>IF('Model inputs'!U102="","",'Model inputs'!U102)</f>
        <v>0</v>
      </c>
      <c r="V103" s="10">
        <f>IF('Model inputs'!V102="","",'Model inputs'!V102)</f>
        <v>0</v>
      </c>
      <c r="W103" s="10">
        <f>IF('Model inputs'!W102="","",'Model inputs'!W102)</f>
        <v>0</v>
      </c>
      <c r="X103" s="10">
        <f>IF('Model inputs'!X102="","",'Model inputs'!X102)</f>
        <v>0</v>
      </c>
      <c r="Y103" s="10">
        <f>IF(SUM(IF(IF('Model inputs'!B1036="",0,1)="",0,IF('Model inputs'!B1036="",0,1)),IF(IF('Model inputs'!B1037="",0,1)="",0,IF('Model inputs'!B1037="",0,1)),IF(IF('Model inputs'!B1038="",0,1)="",0,IF('Model inputs'!B1038="",0,1)),IF(IF('Model inputs'!B1039="",0,1)="",0,IF('Model inputs'!B1039="",0,1)),IF(IF('Model inputs'!B1040="",0,1)="",0,IF('Model inputs'!B1040="",0,1)))=0,"",SUM('Model inputs'!B1036,'Model inputs'!B1037,'Model inputs'!B1038,'Model inputs'!B1039,'Model inputs'!B1040))</f>
        <v>-21721</v>
      </c>
      <c r="Z103" s="10">
        <f>IF(SUM(IF(IF('Model inputs'!B1041="",0,1)="",0,IF('Model inputs'!B1041="",0,1)),IF(IF('Model inputs'!B1042="",0,1)="",0,IF('Model inputs'!B1042="",0,1)),IF(IF('Model inputs'!B1043="",0,1)="",0,IF('Model inputs'!B1043="",0,1)),IF(IF('Model inputs'!B1044="",0,1)="",0,IF('Model inputs'!B1044="",0,1)),IF(IF('Model inputs'!B1045="",0,1)="",0,IF('Model inputs'!B1045="",0,1)))=0,"",SUM('Model inputs'!B1041,'Model inputs'!B1042,'Model inputs'!B1043,'Model inputs'!B1044,'Model inputs'!B1045))</f>
        <v>-21721</v>
      </c>
      <c r="AA103" s="10">
        <f>IF(SUM(IF(IF('Model inputs'!B1046="",0,1)="",0,IF('Model inputs'!B1046="",0,1)),IF(IF('Model inputs'!B1047="",0,1)="",0,IF('Model inputs'!B1047="",0,1)),IF(IF('Model inputs'!B1048="",0,1)="",0,IF('Model inputs'!B1048="",0,1)),IF(IF('Model inputs'!B1049="",0,1)="",0,IF('Model inputs'!B1049="",0,1)),IF(IF('Model inputs'!B1050="",0,1)="",0,IF('Model inputs'!B1050="",0,1)))=0,"",SUM('Model inputs'!B1046,'Model inputs'!B1047,'Model inputs'!B1048,'Model inputs'!B1049,'Model inputs'!B1050))</f>
        <v>-21721</v>
      </c>
    </row>
    <row r="104">
      <c r="A104" t="inlineStr" s="14">
        <is>
          <t xml:space="preserve">Plan Operating profit</t>
        </is>
      </c>
      <c r="C104" s="10">
        <f>IF(SUM(IF(IF('Model inputs'!B1051="",0,1)="",0,IF('Model inputs'!B1051="",0,1)),IF(IF('Model inputs'!B1052="",0,1)="",0,IF('Model inputs'!B1052="",0,1)),IF(IF('Model inputs'!B1053="",0,1)="",0,IF('Model inputs'!B1053="",0,1)),IF(IF('Model inputs'!B1054="",0,1)="",0,IF('Model inputs'!B1054="",0,1)),IF(IF('Model inputs'!B1055="",0,1)="",0,IF('Model inputs'!B1055="",0,1)))=0,"",SUM('Model inputs'!B1051,'Model inputs'!B1052,'Model inputs'!B1053,'Model inputs'!B1054,'Model inputs'!B1055))</f>
        <v>3589.25</v>
      </c>
      <c r="D104" s="10">
        <f>IF(SUM(IF(IF('Model inputs'!B1056="",0,1)="",0,IF('Model inputs'!B1056="",0,1)),IF(IF('Model inputs'!B1057="",0,1)="",0,IF('Model inputs'!B1057="",0,1)),IF(IF('Model inputs'!B1058="",0,1)="",0,IF('Model inputs'!B1058="",0,1)),IF(IF('Model inputs'!B1059="",0,1)="",0,IF('Model inputs'!B1059="",0,1)),IF(IF('Model inputs'!B1060="",0,1)="",0,IF('Model inputs'!B1060="",0,1)))=0,"",SUM('Model inputs'!B1056,'Model inputs'!B1057,'Model inputs'!B1058,'Model inputs'!B1059,'Model inputs'!B1060))</f>
        <v>7928.5</v>
      </c>
      <c r="E104" s="10">
        <f>IF(SUM(IF(IF('Model inputs'!B1061="",0,1)="",0,IF('Model inputs'!B1061="",0,1)),IF(IF('Model inputs'!B1062="",0,1)="",0,IF('Model inputs'!B1062="",0,1)),IF(IF('Model inputs'!B1063="",0,1)="",0,IF('Model inputs'!B1063="",0,1)),IF(IF('Model inputs'!B1064="",0,1)="",0,IF('Model inputs'!B1064="",0,1)),IF(IF('Model inputs'!B1065="",0,1)="",0,IF('Model inputs'!B1065="",0,1)))=0,"",SUM('Model inputs'!B1061,'Model inputs'!B1062,'Model inputs'!B1063,'Model inputs'!B1064,'Model inputs'!B1065))</f>
        <v>12267.75</v>
      </c>
      <c r="F104" s="10">
        <f>IF(SUM(IF(IF('Model inputs'!B1066="",0,1)="",0,IF('Model inputs'!B1066="",0,1)),IF(IF('Model inputs'!B1067="",0,1)="",0,IF('Model inputs'!B1067="",0,1)),IF(IF('Model inputs'!B1068="",0,1)="",0,IF('Model inputs'!B1068="",0,1)),IF(IF('Model inputs'!B1069="",0,1)="",0,IF('Model inputs'!B1069="",0,1)),IF(IF('Model inputs'!B1070="",0,1)="",0,IF('Model inputs'!B1070="",0,1)))=0,"",SUM('Model inputs'!B1066,'Model inputs'!B1067,'Model inputs'!B1068,'Model inputs'!B1069,'Model inputs'!B1070))</f>
        <v>16607</v>
      </c>
      <c r="G104" s="10">
        <f>IF(SUM(IF(IF('Model inputs'!B1071="",0,1)="",0,IF('Model inputs'!B1071="",0,1)),IF(IF('Model inputs'!B1072="",0,1)="",0,IF('Model inputs'!B1072="",0,1)),IF(IF('Model inputs'!B1073="",0,1)="",0,IF('Model inputs'!B1073="",0,1)),IF(IF('Model inputs'!B1074="",0,1)="",0,IF('Model inputs'!B1074="",0,1)),IF(IF('Model inputs'!B1075="",0,1)="",0,IF('Model inputs'!B1075="",0,1)))=0,"",SUM('Model inputs'!B1071,'Model inputs'!B1072,'Model inputs'!B1073,'Model inputs'!B1074,'Model inputs'!B1075))</f>
        <v>20946.25</v>
      </c>
      <c r="H104" s="10">
        <f>IF(SUM(IF(IF('Model inputs'!B1076="",0,1)="",0,IF('Model inputs'!B1076="",0,1)),IF(IF('Model inputs'!B1077="",0,1)="",0,IF('Model inputs'!B1077="",0,1)),IF(IF('Model inputs'!B1078="",0,1)="",0,IF('Model inputs'!B1078="",0,1)),IF(IF('Model inputs'!B1079="",0,1)="",0,IF('Model inputs'!B1079="",0,1)),IF(IF('Model inputs'!B1080="",0,1)="",0,IF('Model inputs'!B1080="",0,1)))=0,"",SUM('Model inputs'!B1076,'Model inputs'!B1077,'Model inputs'!B1078,'Model inputs'!B1079,'Model inputs'!B1080))</f>
        <v>24785.5</v>
      </c>
      <c r="I104" s="10">
        <f>IF(SUM(IF(IF('Model inputs'!B1081="",0,1)="",0,IF('Model inputs'!B1081="",0,1)),IF(IF('Model inputs'!B1082="",0,1)="",0,IF('Model inputs'!B1082="",0,1)),IF(IF('Model inputs'!B1083="",0,1)="",0,IF('Model inputs'!B1083="",0,1)),IF(IF('Model inputs'!B1084="",0,1)="",0,IF('Model inputs'!B1084="",0,1)),IF(IF('Model inputs'!B1085="",0,1)="",0,IF('Model inputs'!B1085="",0,1)))=0,"",SUM('Model inputs'!B1081,'Model inputs'!B1082,'Model inputs'!B1083,'Model inputs'!B1084,'Model inputs'!B1085))</f>
        <v>29124.75</v>
      </c>
      <c r="J104" s="10">
        <f>IF(SUM(IF(IF('Model inputs'!B1086="",0,1)="",0,IF('Model inputs'!B1086="",0,1)),IF(IF('Model inputs'!B1087="",0,1)="",0,IF('Model inputs'!B1087="",0,1)),IF(IF('Model inputs'!B1088="",0,1)="",0,IF('Model inputs'!B1088="",0,1)),IF(IF('Model inputs'!B1089="",0,1)="",0,IF('Model inputs'!B1089="",0,1)),IF(IF('Model inputs'!B1090="",0,1)="",0,IF('Model inputs'!B1090="",0,1)))=0,"",SUM('Model inputs'!B1086,'Model inputs'!B1087,'Model inputs'!B1088,'Model inputs'!B1089,'Model inputs'!B1090))</f>
        <v>33464</v>
      </c>
      <c r="K104" s="10">
        <f>IF(SUM(IF(IF('Model inputs'!B1091="",0,1)="",0,IF('Model inputs'!B1091="",0,1)),IF(IF('Model inputs'!B1092="",0,1)="",0,IF('Model inputs'!B1092="",0,1)),IF(IF('Model inputs'!B1093="",0,1)="",0,IF('Model inputs'!B1093="",0,1)),IF(IF('Model inputs'!B1094="",0,1)="",0,IF('Model inputs'!B1094="",0,1)),IF(IF('Model inputs'!B1095="",0,1)="",0,IF('Model inputs'!B1095="",0,1)))=0,"",SUM('Model inputs'!B1091,'Model inputs'!B1092,'Model inputs'!B1093,'Model inputs'!B1094,'Model inputs'!B1095))</f>
        <v>37803.25</v>
      </c>
      <c r="L104" s="10">
        <f>IF(SUM(IF(IF('Model inputs'!B1096="",0,1)="",0,IF('Model inputs'!B1096="",0,1)),IF(IF('Model inputs'!B1097="",0,1)="",0,IF('Model inputs'!B1097="",0,1)),IF(IF('Model inputs'!B1098="",0,1)="",0,IF('Model inputs'!B1098="",0,1)),IF(IF('Model inputs'!B1099="",0,1)="",0,IF('Model inputs'!B1099="",0,1)),IF(IF('Model inputs'!B1100="",0,1)="",0,IF('Model inputs'!B1100="",0,1)))=0,"",SUM('Model inputs'!B1096,'Model inputs'!B1097,'Model inputs'!B1098,'Model inputs'!B1099,'Model inputs'!B1100))</f>
        <v>42142.5</v>
      </c>
      <c r="M104" s="10">
        <f>IF(SUM(IF(IF('Model inputs'!B1101="",0,1)="",0,IF('Model inputs'!B1101="",0,1)),IF(IF('Model inputs'!B1102="",0,1)="",0,IF('Model inputs'!B1102="",0,1)),IF(IF('Model inputs'!B1103="",0,1)="",0,IF('Model inputs'!B1103="",0,1)),IF(IF('Model inputs'!B1104="",0,1)="",0,IF('Model inputs'!B1104="",0,1)),IF(IF('Model inputs'!B1105="",0,1)="",0,IF('Model inputs'!B1105="",0,1)))=0,"",SUM('Model inputs'!B1101,'Model inputs'!B1102,'Model inputs'!B1103,'Model inputs'!B1104,'Model inputs'!B1105))</f>
        <v>46481.75</v>
      </c>
      <c r="N104" s="10">
        <f>IF(SUM(IF(IF('Model inputs'!B1106="",0,1)="",0,IF('Model inputs'!B1106="",0,1)),IF(IF('Model inputs'!B1107="",0,1)="",0,IF('Model inputs'!B1107="",0,1)),IF(IF('Model inputs'!B1108="",0,1)="",0,IF('Model inputs'!B1108="",0,1)),IF(IF('Model inputs'!B1109="",0,1)="",0,IF('Model inputs'!B1109="",0,1)),IF(IF('Model inputs'!B1110="",0,1)="",0,IF('Model inputs'!B1110="",0,1)))=0,"",SUM('Model inputs'!B1106,'Model inputs'!B1107,'Model inputs'!B1108,'Model inputs'!B1109,'Model inputs'!B1110))</f>
        <v>50821</v>
      </c>
    </row>
    <row r="105">
      <c r="A105" t="inlineStr" s="14">
        <is>
          <t xml:space="preserve">Projection month · DealScope 12-month financial projection</t>
        </is>
      </c>
      <c r="B105" s="9">
        <v>0</v>
      </c>
      <c r="C105" s="9">
        <f>DATEDIF('Model inputs'!P65,DATE(2026,10,1),"M")+1</f>
        <v>1</v>
      </c>
      <c r="D105" s="9">
        <f>DATEDIF('Model inputs'!P65,DATE(2026,11,1),"M")+1</f>
        <v>2</v>
      </c>
      <c r="E105" s="9">
        <f>DATEDIF('Model inputs'!P65,DATE(2026,12,1),"M")+1</f>
        <v>3</v>
      </c>
      <c r="F105" s="9">
        <f>DATEDIF('Model inputs'!P65,DATE(2027,1,1),"M")+1</f>
        <v>4</v>
      </c>
      <c r="G105" s="9">
        <f>DATEDIF('Model inputs'!P65,DATE(2027,2,1),"M")+1</f>
        <v>5</v>
      </c>
      <c r="H105" s="9">
        <f>DATEDIF('Model inputs'!P65,DATE(2027,3,1),"M")+1</f>
        <v>6</v>
      </c>
      <c r="I105" s="9">
        <f>DATEDIF('Model inputs'!P65,DATE(2027,4,1),"M")+1</f>
        <v>7</v>
      </c>
      <c r="J105" s="9">
        <f>DATEDIF('Model inputs'!P65,DATE(2027,5,1),"M")+1</f>
        <v>8</v>
      </c>
      <c r="K105" s="9">
        <f>DATEDIF('Model inputs'!P65,DATE(2027,6,1),"M")+1</f>
        <v>9</v>
      </c>
      <c r="L105" s="9">
        <f>DATEDIF('Model inputs'!P65,DATE(2027,7,1),"M")+1</f>
        <v>10</v>
      </c>
      <c r="M105" s="9">
        <f>DATEDIF('Model inputs'!P65,DATE(2027,8,1),"M")+1</f>
        <v>11</v>
      </c>
      <c r="N105" s="9">
        <f>DATEDIF('Model inputs'!P65,DATE(2027,9,1),"M")+1</f>
        <v>12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</row>
    <row r="106">
      <c r="A106" t="inlineStr" s="14">
        <is>
          <t xml:space="preserve">QA cost per audit</t>
        </is>
      </c>
      <c r="O106" s="10">
        <f>'Model inputs'!O107*'Model inputs'!O147</f>
        <v>90</v>
      </c>
    </row>
    <row r="107">
      <c r="A107" t="inlineStr" s="14">
        <is>
          <t xml:space="preserve">QA hours per audit · DealScope 12-month financial projection</t>
        </is>
      </c>
      <c r="O107" s="9">
        <f>1.5</f>
        <v>1.5</v>
      </c>
    </row>
    <row r="108">
      <c r="A108" t="inlineStr" s="14">
        <is>
          <t xml:space="preserve">QA hours required</t>
        </is>
      </c>
      <c r="B108" s="9">
        <v>0</v>
      </c>
      <c r="C108" s="9">
        <f>'Model inputs'!C94*'Model inputs'!O107</f>
        <v>7.5</v>
      </c>
      <c r="D108" s="9">
        <f>'Model inputs'!D94*'Model inputs'!O107</f>
        <v>15</v>
      </c>
      <c r="E108" s="9">
        <f>'Model inputs'!E94*'Model inputs'!O107</f>
        <v>22.5</v>
      </c>
      <c r="F108" s="9">
        <f>'Model inputs'!F94*'Model inputs'!O107</f>
        <v>30</v>
      </c>
      <c r="G108" s="9">
        <f>'Model inputs'!G94*'Model inputs'!O107</f>
        <v>37.5</v>
      </c>
      <c r="H108" s="9">
        <f>'Model inputs'!H94*'Model inputs'!O107</f>
        <v>45</v>
      </c>
      <c r="I108" s="9">
        <f>'Model inputs'!I94*'Model inputs'!O107</f>
        <v>52.5</v>
      </c>
      <c r="J108" s="9">
        <f>'Model inputs'!J94*'Model inputs'!O107</f>
        <v>60</v>
      </c>
      <c r="K108" s="9">
        <f>'Model inputs'!K94*'Model inputs'!O107</f>
        <v>67.5</v>
      </c>
      <c r="L108" s="9">
        <f>'Model inputs'!L94*'Model inputs'!O107</f>
        <v>75</v>
      </c>
      <c r="M108" s="9">
        <f>'Model inputs'!M94*'Model inputs'!O107</f>
        <v>82.5</v>
      </c>
      <c r="N108" s="9">
        <f>'Model inputs'!N94*'Model inputs'!O107</f>
        <v>90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f>'Model inputs'!Y95*'Model inputs'!O107</f>
        <v>90</v>
      </c>
      <c r="Z108" s="9">
        <f>'Model inputs'!Z95*'Model inputs'!O107</f>
        <v>90</v>
      </c>
      <c r="AA108" s="9">
        <f>'Model inputs'!AA95*'Model inputs'!O107</f>
        <v>90</v>
      </c>
    </row>
    <row r="109">
      <c r="A109" t="inlineStr" s="14">
        <is>
          <t xml:space="preserve">Sales delay months · DealScope 12-month financial projection</t>
        </is>
      </c>
      <c r="O109" s="9">
        <f>0</f>
        <v>0</v>
      </c>
    </row>
    <row r="110">
      <c r="A110" t="inlineStr" s="14">
        <is>
          <t xml:space="preserve">Sales marketing monthly</t>
        </is>
      </c>
      <c r="O110" s="10">
        <f>500</f>
        <v>500</v>
      </c>
    </row>
    <row r="111">
      <c r="A111" t="inlineStr" s="14">
        <is>
          <t xml:space="preserve">Selected pricing model · DealScope 12-month financial projection</t>
        </is>
      </c>
      <c r="O111" t="str" s="9">
        <f>"Annual deal-team"</f>
        <v>Annual deal-team</v>
      </c>
    </row>
    <row r="112">
      <c r="A112" t="inlineStr" s="14">
        <is>
          <t xml:space="preserve">Software monthly</t>
        </is>
      </c>
      <c r="O112" s="10">
        <f>100</f>
        <v>100</v>
      </c>
    </row>
    <row r="113">
      <c r="A113" t="inlineStr" s="14">
        <is>
          <t xml:space="preserve">Support hours per customer per month</t>
        </is>
      </c>
      <c r="O113" s="9">
        <f>0.5</f>
        <v>0.5</v>
      </c>
    </row>
    <row r="114">
      <c r="A114" t="inlineStr" s="14">
        <is>
          <t xml:space="preserve">Target paying customers · DealScope 12-month financial projection</t>
        </is>
      </c>
      <c r="O114" s="9">
        <f>15</f>
        <v>15</v>
      </c>
    </row>
    <row r="115">
      <c r="A115" t="inlineStr" s="14">
        <is>
          <t xml:space="preserve">Forecast net cash burn · DealScope forecast overview</t>
        </is>
      </c>
      <c r="P115" s="10">
        <f>SUM('Model inputs'!B1111,'Model inputs'!B1112)</f>
        <v>-486011.5</v>
      </c>
    </row>
    <row r="116">
      <c r="A116" t="inlineStr" s="14">
        <is>
          <t xml:space="preserve">Crustdata dollars per credit · Crustdata cost per audit</t>
        </is>
      </c>
      <c r="O116" s="10">
        <f>0.1</f>
        <v>0.1</v>
      </c>
    </row>
    <row r="117">
      <c r="A117" t="inlineStr" s="14">
        <is>
          <t xml:space="preserve">Cumulative net cash burn · Cumulative funding gap</t>
        </is>
      </c>
      <c r="B117" s="10">
        <f>IF('Model inputs'!B47="","",'Model inputs'!B47)</f>
        <v>0</v>
      </c>
      <c r="C117" s="10">
        <f>IF('Model inputs'!C47="","",'Model inputs'!C47)</f>
        <v>-30264.25</v>
      </c>
      <c r="D117" s="10">
        <f>IF('Model inputs'!D47="","",'Model inputs'!D47)</f>
        <v>-62442.75</v>
      </c>
      <c r="E117" s="10">
        <f>IF('Model inputs'!E47="","",'Model inputs'!E47)</f>
        <v>-96535.5</v>
      </c>
      <c r="F117" s="10">
        <f>IF('Model inputs'!F47="","",'Model inputs'!F47)</f>
        <v>-132542.5</v>
      </c>
      <c r="G117" s="10">
        <f>IF('Model inputs'!G47="","",'Model inputs'!G47)</f>
        <v>-170463.75</v>
      </c>
      <c r="H117" s="10">
        <f>IF('Model inputs'!H47="","",'Model inputs'!H47)</f>
        <v>-209799.25</v>
      </c>
      <c r="I117" s="10">
        <f>IF('Model inputs'!I47="","",'Model inputs'!I47)</f>
        <v>-251049</v>
      </c>
      <c r="J117" s="10">
        <f>IF('Model inputs'!J47="","",'Model inputs'!J47)</f>
        <v>-294213</v>
      </c>
      <c r="K117" s="10">
        <f>IF('Model inputs'!K47="","",'Model inputs'!K47)</f>
        <v>-339291.25</v>
      </c>
      <c r="L117" s="10">
        <f>IF('Model inputs'!L47="","",'Model inputs'!L47)</f>
        <v>-386283.75</v>
      </c>
      <c r="M117" s="10">
        <f>IF('Model inputs'!M47="","",'Model inputs'!M47)</f>
        <v>-435190.5</v>
      </c>
      <c r="N117" s="10">
        <f>IF('Model inputs'!N47="","",'Model inputs'!N47)</f>
        <v>-486011.5</v>
      </c>
      <c r="Q117" s="10">
        <f>IF('Model inputs'!Q47="","",'Model inputs'!Q47)</f>
        <v>0</v>
      </c>
      <c r="R117" s="10">
        <f>IF('Model inputs'!R47="","",'Model inputs'!R47)</f>
        <v>0</v>
      </c>
      <c r="S117" s="10">
        <f>IF('Model inputs'!S47="","",'Model inputs'!S47)</f>
        <v>0</v>
      </c>
      <c r="T117" s="10">
        <f>IF('Model inputs'!T47="","",'Model inputs'!T47)</f>
        <v>0</v>
      </c>
      <c r="U117" s="10">
        <f>IF('Model inputs'!U47="","",'Model inputs'!U47)</f>
        <v>0</v>
      </c>
      <c r="V117" s="10">
        <f>IF('Model inputs'!V47="","",'Model inputs'!V47)</f>
        <v>0</v>
      </c>
      <c r="W117" s="10">
        <f>IF('Model inputs'!W47="","",'Model inputs'!W47)</f>
        <v>0</v>
      </c>
      <c r="X117" s="10">
        <f>IF('Model inputs'!X47="","",'Model inputs'!X47)</f>
        <v>0</v>
      </c>
      <c r="Y117" s="10">
        <f>IF(IF(IF(IF(ISERROR('Model inputs'!Y146=1),'Model inputs'!Y146=1,IF('Model inputs'!Y146="","",'Model inputs'!Y146=1))="",FALSE,IF(ISERROR('Model inputs'!Y146=1),'Model inputs'!Y146=1,IF('Model inputs'!Y146="","",'Model inputs'!Y146=1))),0,IF('Model inputs'!N47="","",'Model inputs'!N47))="",0,IF(IF(IF(ISERROR('Model inputs'!Y146=1),'Model inputs'!Y146=1,IF('Model inputs'!Y146="","",'Model inputs'!Y146=1))="",FALSE,IF(ISERROR('Model inputs'!Y146=1),'Model inputs'!Y146=1,IF('Model inputs'!Y146="","",'Model inputs'!Y146=1))),0,IF('Model inputs'!N47="","",'Model inputs'!N47)))+'Model inputs'!Y103</f>
        <v>-507732.5</v>
      </c>
      <c r="Z117" s="10">
        <f>IF(IF(IF(IF(ISERROR('Model inputs'!Z146=1),'Model inputs'!Z146=1,IF('Model inputs'!Z146="","",'Model inputs'!Z146=1))="",FALSE,IF(ISERROR('Model inputs'!Z146=1),'Model inputs'!Z146=1,IF('Model inputs'!Z146="","",'Model inputs'!Z146=1))),0,IF('Model inputs'!Y117="","",'Model inputs'!Y117))="",0,IF(IF(IF(ISERROR('Model inputs'!Z146=1),'Model inputs'!Z146=1,IF('Model inputs'!Z146="","",'Model inputs'!Z146=1))="",FALSE,IF(ISERROR('Model inputs'!Z146=1),'Model inputs'!Z146=1,IF('Model inputs'!Z146="","",'Model inputs'!Z146=1))),0,IF('Model inputs'!Y117="","",'Model inputs'!Y117)))+'Model inputs'!Z103</f>
        <v>-529453.5</v>
      </c>
      <c r="AA117" s="10">
        <f>IF(IF(IF(IF(ISERROR('Model inputs'!AA146=1),'Model inputs'!AA146=1,IF('Model inputs'!AA146="","",'Model inputs'!AA146=1))="",FALSE,IF(ISERROR('Model inputs'!AA146=1),'Model inputs'!AA146=1,IF('Model inputs'!AA146="","",'Model inputs'!AA146=1))),0,IF('Model inputs'!Z117="","",'Model inputs'!Z117))="",0,IF(IF(IF(ISERROR('Model inputs'!AA146=1),'Model inputs'!AA146=1,IF('Model inputs'!AA146="","",'Model inputs'!AA146=1))="",FALSE,IF(ISERROR('Model inputs'!AA146=1),'Model inputs'!AA146=1,IF('Model inputs'!AA146="","",'Model inputs'!AA146=1))),0,IF('Model inputs'!Z117="","",'Model inputs'!Z117)))+'Model inputs'!AA103</f>
        <v>-551174.5</v>
      </c>
    </row>
    <row r="118">
      <c r="A118" t="inlineStr" s="14">
        <is>
          <t xml:space="preserve">Customer monthly delivered audits</t>
        </is>
      </c>
      <c r="O118" s="7">
        <v>4</v>
      </c>
    </row>
    <row r="119" outlineLevel="1">
      <c r="A119" t="inlineStr" s="15">
        <is>
          <t xml:space="preserve">Customer monthly delivered audits &gt; Annual deal-team</t>
        </is>
      </c>
      <c r="O119" s="9">
        <f>'Model inputs'!O231*IF(IF(EXACT("Annual deal-team","Annual deal-team"),IF('Model inputs'!O224="","",'Model inputs'!O224),1)="",0,IF(EXACT("Annual deal-team","Annual deal-team"),IF('Model inputs'!O224="","",'Model inputs'!O224),1))</f>
        <v>4</v>
      </c>
    </row>
    <row r="120" outlineLevel="1">
      <c r="A120" t="inlineStr" s="15">
        <is>
          <t xml:space="preserve">Customer monthly delivered audits &gt; Hybrid</t>
        </is>
      </c>
      <c r="O120" s="9">
        <f>'Model inputs'!O231*IF(IF(EXACT("Hybrid","Annual deal-team"),IF('Model inputs'!O224="","",'Model inputs'!O224),1)="",0,IF(EXACT("Hybrid","Annual deal-team"),IF('Model inputs'!O224="","",'Model inputs'!O224),1))</f>
        <v>4</v>
      </c>
    </row>
    <row r="121" outlineLevel="1">
      <c r="A121" t="inlineStr" s="15">
        <is>
          <t xml:space="preserve">Customer monthly delivered audits &gt; Per audit — base</t>
        </is>
      </c>
      <c r="O121" s="9">
        <f>'Model inputs'!O231*IF(IF(EXACT("Per audit — base","Annual deal-team"),IF('Model inputs'!O224="","",'Model inputs'!O224),1)="",0,IF(EXACT("Per audit — base","Annual deal-team"),IF('Model inputs'!O224="","",'Model inputs'!O224),1))</f>
        <v>4</v>
      </c>
    </row>
    <row r="122" outlineLevel="1">
      <c r="A122" t="inlineStr" s="15">
        <is>
          <t xml:space="preserve">Customer monthly delivered audits &gt; Per audit — high</t>
        </is>
      </c>
      <c r="O122" s="9">
        <f>'Model inputs'!O231*IF(IF(EXACT("Per audit — high","Annual deal-team"),IF('Model inputs'!O224="","",'Model inputs'!O224),1)="",0,IF(EXACT("Per audit — high","Annual deal-team"),IF('Model inputs'!O224="","",'Model inputs'!O224),1))</f>
        <v>4</v>
      </c>
    </row>
    <row r="123" outlineLevel="1">
      <c r="A123" t="inlineStr" s="15">
        <is>
          <t xml:space="preserve">Customer monthly delivered audits &gt; Per audit — low</t>
        </is>
      </c>
      <c r="O123" s="9">
        <f>'Model inputs'!O231*IF(IF(EXACT("Per audit — low","Annual deal-team"),IF('Model inputs'!O224="","",'Model inputs'!O224),1)="",0,IF(EXACT("Per audit — low","Annual deal-team"),IF('Model inputs'!O224="","",'Model inputs'!O224),1))</f>
        <v>4</v>
      </c>
    </row>
    <row r="124">
      <c r="A124" t="inlineStr" s="14">
        <is>
          <t xml:space="preserve">Customer monthly earned revenue</t>
        </is>
      </c>
      <c r="O124" s="12">
        <v>0</v>
      </c>
    </row>
    <row r="125" outlineLevel="1">
      <c r="A125" t="inlineStr" s="15">
        <is>
          <t xml:space="preserve">Customer monthly earned revenue &gt; Annual deal-team</t>
        </is>
      </c>
      <c r="O125" s="10">
        <f>IF(EXACT("Annual deal-team","Annual deal-team"),('Model inputs'!O150/12+MAX('Model inputs'!O231*'Model inputs'!O224-'Model inputs'!O241/12,0)*'Model inputs'!O248)*(1-'Model inputs'!O144),('Model inputs'!O150/12+'Model inputs'!O226*'Model inputs'!O231)*(1-'Model inputs'!O144))</f>
        <v>4000</v>
      </c>
    </row>
    <row r="126" outlineLevel="1">
      <c r="A126" t="inlineStr" s="15">
        <is>
          <t xml:space="preserve">Customer monthly earned revenue &gt; Hybrid</t>
        </is>
      </c>
      <c r="O126" s="10">
        <f>IF(EXACT("Hybrid","Annual deal-team"),('Model inputs'!O151/12+MAX('Model inputs'!O231*'Model inputs'!O224-'Model inputs'!O242/12,0)*'Model inputs'!O249)*(1-'Model inputs'!O144),('Model inputs'!O151/12+'Model inputs'!O227*'Model inputs'!O231)*(1-'Model inputs'!O144))</f>
        <v>4500</v>
      </c>
    </row>
    <row r="127" outlineLevel="1">
      <c r="A127" t="inlineStr" s="15">
        <is>
          <t xml:space="preserve">Customer monthly earned revenue &gt; Per audit — base</t>
        </is>
      </c>
      <c r="O127" s="10">
        <f>IF(EXACT("Per audit — base","Annual deal-team"),('Model inputs'!O152/12+MAX('Model inputs'!O231*'Model inputs'!O224-'Model inputs'!O243/12,0)*'Model inputs'!O250)*(1-'Model inputs'!O144),('Model inputs'!O152/12+'Model inputs'!O228*'Model inputs'!O231)*(1-'Model inputs'!O144))</f>
        <v>6000</v>
      </c>
    </row>
    <row r="128" outlineLevel="1">
      <c r="A128" t="inlineStr" s="15">
        <is>
          <t xml:space="preserve">Customer monthly earned revenue &gt; Per audit — high</t>
        </is>
      </c>
      <c r="O128" s="10">
        <f>IF(EXACT("Per audit — high","Annual deal-team"),('Model inputs'!O153/12+MAX('Model inputs'!O231*'Model inputs'!O224-'Model inputs'!O244/12,0)*'Model inputs'!O251)*(1-'Model inputs'!O144),('Model inputs'!O153/12+'Model inputs'!O229*'Model inputs'!O231)*(1-'Model inputs'!O144))</f>
        <v>12000</v>
      </c>
    </row>
    <row r="129" outlineLevel="1">
      <c r="A129" t="inlineStr" s="15">
        <is>
          <t xml:space="preserve">Customer monthly earned revenue &gt; Per audit — low</t>
        </is>
      </c>
      <c r="O129" s="10">
        <f>IF(EXACT("Per audit — low","Annual deal-team"),('Model inputs'!O154/12+MAX('Model inputs'!O231*'Model inputs'!O224-'Model inputs'!O245/12,0)*'Model inputs'!O252)*(1-'Model inputs'!O144),('Model inputs'!O154/12+'Model inputs'!O230*'Model inputs'!O231)*(1-'Model inputs'!O144))</f>
        <v>3000</v>
      </c>
    </row>
    <row r="130">
      <c r="A130" t="inlineStr" s="14">
        <is>
          <t xml:space="preserve">Data and model cost multiplier · Crustdata cost per audit</t>
        </is>
      </c>
      <c r="O130" s="9">
        <f>1</f>
        <v>1</v>
      </c>
    </row>
    <row r="131">
      <c r="A131" t="inlineStr" s="14">
        <is>
          <t xml:space="preserve">Delivery cost per audit · Average monthly net cash burn · DealScope conditional cash and runway</t>
        </is>
      </c>
      <c r="O131" s="10">
        <f>'Model inputs'!O44+'Model inputs'!O81+'Model inputs'!O106+'Model inputs'!O56</f>
        <v>94.65</v>
      </c>
    </row>
    <row r="132">
      <c r="A132" t="inlineStr" s="14">
        <is>
          <t xml:space="preserve">Escalation cost multiple · LLM cost per audit</t>
        </is>
      </c>
      <c r="O132" s="9">
        <f>5</f>
        <v>5</v>
      </c>
    </row>
    <row r="133">
      <c r="A133" t="inlineStr" s="14">
        <is>
          <t xml:space="preserve">Escalation share · LLM cost per audit</t>
        </is>
      </c>
      <c r="O133" s="9">
        <f>0</f>
        <v>0</v>
      </c>
    </row>
    <row r="134">
      <c r="A134" t="inlineStr" s="14">
        <is>
          <t xml:space="preserve">Fixed costs · DealScope 12-month financial projection</t>
        </is>
      </c>
      <c r="B134" s="10">
        <v>0</v>
      </c>
      <c r="C134" s="10">
        <f>'Model inputs'!O79+'Model inputs'!O112+'Model inputs'!O48+'Model inputs'!O66+'Model inputs'!O110+IF(IF(IF(IF(ISERROR('Model inputs'!C105&gt;='Model inputs'!O31),'Model inputs'!C105&gt;='Model inputs'!O31,IF(OR('Model inputs'!C105="",'Model inputs'!O31=""),"",'Model inputs'!C105&gt;='Model inputs'!O31))="",FALSE,IF(ISERROR('Model inputs'!C105&gt;='Model inputs'!O31),'Model inputs'!C105&gt;='Model inputs'!O31,IF(OR('Model inputs'!C105="",'Model inputs'!O31=""),"",'Model inputs'!C105&gt;='Model inputs'!O31))),IF('Model inputs'!O30="","",'Model inputs'!O30),0)="",0,IF(IF(IF(ISERROR('Model inputs'!C105&gt;='Model inputs'!O31),'Model inputs'!C105&gt;='Model inputs'!O31,IF(OR('Model inputs'!C105="",'Model inputs'!O31=""),"",'Model inputs'!C105&gt;='Model inputs'!O31))="",FALSE,IF(ISERROR('Model inputs'!C105&gt;='Model inputs'!O31),'Model inputs'!C105&gt;='Model inputs'!O31,IF(OR('Model inputs'!C105="",'Model inputs'!O31=""),"",'Model inputs'!C105&gt;='Model inputs'!O31))),IF('Model inputs'!O30="","",'Model inputs'!O30),0))</f>
        <v>750</v>
      </c>
      <c r="D134" s="10">
        <f>'Model inputs'!O79+'Model inputs'!O112+'Model inputs'!O48+'Model inputs'!O66+'Model inputs'!O110+IF(IF(IF(IF(ISERROR('Model inputs'!D105&gt;='Model inputs'!O31),'Model inputs'!D105&gt;='Model inputs'!O31,IF(OR('Model inputs'!D105="",'Model inputs'!O31=""),"",'Model inputs'!D105&gt;='Model inputs'!O31))="",FALSE,IF(ISERROR('Model inputs'!D105&gt;='Model inputs'!O31),'Model inputs'!D105&gt;='Model inputs'!O31,IF(OR('Model inputs'!D105="",'Model inputs'!O31=""),"",'Model inputs'!D105&gt;='Model inputs'!O31))),IF('Model inputs'!O30="","",'Model inputs'!O30),0)="",0,IF(IF(IF(ISERROR('Model inputs'!D105&gt;='Model inputs'!O31),'Model inputs'!D105&gt;='Model inputs'!O31,IF(OR('Model inputs'!D105="",'Model inputs'!O31=""),"",'Model inputs'!D105&gt;='Model inputs'!O31))="",FALSE,IF(ISERROR('Model inputs'!D105&gt;='Model inputs'!O31),'Model inputs'!D105&gt;='Model inputs'!O31,IF(OR('Model inputs'!D105="",'Model inputs'!O31=""),"",'Model inputs'!D105&gt;='Model inputs'!O31))),IF('Model inputs'!O30="","",'Model inputs'!O30),0))</f>
        <v>750</v>
      </c>
      <c r="E134" s="10">
        <f>'Model inputs'!O79+'Model inputs'!O112+'Model inputs'!O48+'Model inputs'!O66+'Model inputs'!O110+IF(IF(IF(IF(ISERROR('Model inputs'!E105&gt;='Model inputs'!O31),'Model inputs'!E105&gt;='Model inputs'!O31,IF(OR('Model inputs'!E105="",'Model inputs'!O31=""),"",'Model inputs'!E105&gt;='Model inputs'!O31))="",FALSE,IF(ISERROR('Model inputs'!E105&gt;='Model inputs'!O31),'Model inputs'!E105&gt;='Model inputs'!O31,IF(OR('Model inputs'!E105="",'Model inputs'!O31=""),"",'Model inputs'!E105&gt;='Model inputs'!O31))),IF('Model inputs'!O30="","",'Model inputs'!O30),0)="",0,IF(IF(IF(ISERROR('Model inputs'!E105&gt;='Model inputs'!O31),'Model inputs'!E105&gt;='Model inputs'!O31,IF(OR('Model inputs'!E105="",'Model inputs'!O31=""),"",'Model inputs'!E105&gt;='Model inputs'!O31))="",FALSE,IF(ISERROR('Model inputs'!E105&gt;='Model inputs'!O31),'Model inputs'!E105&gt;='Model inputs'!O31,IF(OR('Model inputs'!E105="",'Model inputs'!O31=""),"",'Model inputs'!E105&gt;='Model inputs'!O31))),IF('Model inputs'!O30="","",'Model inputs'!O30),0))</f>
        <v>750</v>
      </c>
      <c r="F134" s="10">
        <f>'Model inputs'!O79+'Model inputs'!O112+'Model inputs'!O48+'Model inputs'!O66+'Model inputs'!O110+IF(IF(IF(IF(ISERROR('Model inputs'!F105&gt;='Model inputs'!O31),'Model inputs'!F105&gt;='Model inputs'!O31,IF(OR('Model inputs'!F105="",'Model inputs'!O31=""),"",'Model inputs'!F105&gt;='Model inputs'!O31))="",FALSE,IF(ISERROR('Model inputs'!F105&gt;='Model inputs'!O31),'Model inputs'!F105&gt;='Model inputs'!O31,IF(OR('Model inputs'!F105="",'Model inputs'!O31=""),"",'Model inputs'!F105&gt;='Model inputs'!O31))),IF('Model inputs'!O30="","",'Model inputs'!O30),0)="",0,IF(IF(IF(ISERROR('Model inputs'!F105&gt;='Model inputs'!O31),'Model inputs'!F105&gt;='Model inputs'!O31,IF(OR('Model inputs'!F105="",'Model inputs'!O31=""),"",'Model inputs'!F105&gt;='Model inputs'!O31))="",FALSE,IF(ISERROR('Model inputs'!F105&gt;='Model inputs'!O31),'Model inputs'!F105&gt;='Model inputs'!O31,IF(OR('Model inputs'!F105="",'Model inputs'!O31=""),"",'Model inputs'!F105&gt;='Model inputs'!O31))),IF('Model inputs'!O30="","",'Model inputs'!O30),0))</f>
        <v>750</v>
      </c>
      <c r="G134" s="10">
        <f>'Model inputs'!O79+'Model inputs'!O112+'Model inputs'!O48+'Model inputs'!O66+'Model inputs'!O110+IF(IF(IF(IF(ISERROR('Model inputs'!G105&gt;='Model inputs'!O31),'Model inputs'!G105&gt;='Model inputs'!O31,IF(OR('Model inputs'!G105="",'Model inputs'!O31=""),"",'Model inputs'!G105&gt;='Model inputs'!O31))="",FALSE,IF(ISERROR('Model inputs'!G105&gt;='Model inputs'!O31),'Model inputs'!G105&gt;='Model inputs'!O31,IF(OR('Model inputs'!G105="",'Model inputs'!O31=""),"",'Model inputs'!G105&gt;='Model inputs'!O31))),IF('Model inputs'!O30="","",'Model inputs'!O30),0)="",0,IF(IF(IF(ISERROR('Model inputs'!G105&gt;='Model inputs'!O31),'Model inputs'!G105&gt;='Model inputs'!O31,IF(OR('Model inputs'!G105="",'Model inputs'!O31=""),"",'Model inputs'!G105&gt;='Model inputs'!O31))="",FALSE,IF(ISERROR('Model inputs'!G105&gt;='Model inputs'!O31),'Model inputs'!G105&gt;='Model inputs'!O31,IF(OR('Model inputs'!G105="",'Model inputs'!O31=""),"",'Model inputs'!G105&gt;='Model inputs'!O31))),IF('Model inputs'!O30="","",'Model inputs'!O30),0))</f>
        <v>750</v>
      </c>
      <c r="H134" s="10">
        <f>'Model inputs'!O79+'Model inputs'!O112+'Model inputs'!O48+'Model inputs'!O66+'Model inputs'!O110+IF(IF(IF(IF(ISERROR('Model inputs'!H105&gt;='Model inputs'!O31),'Model inputs'!H105&gt;='Model inputs'!O31,IF(OR('Model inputs'!H105="",'Model inputs'!O31=""),"",'Model inputs'!H105&gt;='Model inputs'!O31))="",FALSE,IF(ISERROR('Model inputs'!H105&gt;='Model inputs'!O31),'Model inputs'!H105&gt;='Model inputs'!O31,IF(OR('Model inputs'!H105="",'Model inputs'!O31=""),"",'Model inputs'!H105&gt;='Model inputs'!O31))),IF('Model inputs'!O30="","",'Model inputs'!O30),0)="",0,IF(IF(IF(ISERROR('Model inputs'!H105&gt;='Model inputs'!O31),'Model inputs'!H105&gt;='Model inputs'!O31,IF(OR('Model inputs'!H105="",'Model inputs'!O31=""),"",'Model inputs'!H105&gt;='Model inputs'!O31))="",FALSE,IF(ISERROR('Model inputs'!H105&gt;='Model inputs'!O31),'Model inputs'!H105&gt;='Model inputs'!O31,IF(OR('Model inputs'!H105="",'Model inputs'!O31=""),"",'Model inputs'!H105&gt;='Model inputs'!O31))),IF('Model inputs'!O30="","",'Model inputs'!O30),0))</f>
        <v>1250</v>
      </c>
      <c r="I134" s="10">
        <f>'Model inputs'!O79+'Model inputs'!O112+'Model inputs'!O48+'Model inputs'!O66+'Model inputs'!O110+IF(IF(IF(IF(ISERROR('Model inputs'!I105&gt;='Model inputs'!O31),'Model inputs'!I105&gt;='Model inputs'!O31,IF(OR('Model inputs'!I105="",'Model inputs'!O31=""),"",'Model inputs'!I105&gt;='Model inputs'!O31))="",FALSE,IF(ISERROR('Model inputs'!I105&gt;='Model inputs'!O31),'Model inputs'!I105&gt;='Model inputs'!O31,IF(OR('Model inputs'!I105="",'Model inputs'!O31=""),"",'Model inputs'!I105&gt;='Model inputs'!O31))),IF('Model inputs'!O30="","",'Model inputs'!O30),0)="",0,IF(IF(IF(ISERROR('Model inputs'!I105&gt;='Model inputs'!O31),'Model inputs'!I105&gt;='Model inputs'!O31,IF(OR('Model inputs'!I105="",'Model inputs'!O31=""),"",'Model inputs'!I105&gt;='Model inputs'!O31))="",FALSE,IF(ISERROR('Model inputs'!I105&gt;='Model inputs'!O31),'Model inputs'!I105&gt;='Model inputs'!O31,IF(OR('Model inputs'!I105="",'Model inputs'!O31=""),"",'Model inputs'!I105&gt;='Model inputs'!O31))),IF('Model inputs'!O30="","",'Model inputs'!O30),0))</f>
        <v>1250</v>
      </c>
      <c r="J134" s="10">
        <f>'Model inputs'!O79+'Model inputs'!O112+'Model inputs'!O48+'Model inputs'!O66+'Model inputs'!O110+IF(IF(IF(IF(ISERROR('Model inputs'!J105&gt;='Model inputs'!O31),'Model inputs'!J105&gt;='Model inputs'!O31,IF(OR('Model inputs'!J105="",'Model inputs'!O31=""),"",'Model inputs'!J105&gt;='Model inputs'!O31))="",FALSE,IF(ISERROR('Model inputs'!J105&gt;='Model inputs'!O31),'Model inputs'!J105&gt;='Model inputs'!O31,IF(OR('Model inputs'!J105="",'Model inputs'!O31=""),"",'Model inputs'!J105&gt;='Model inputs'!O31))),IF('Model inputs'!O30="","",'Model inputs'!O30),0)="",0,IF(IF(IF(ISERROR('Model inputs'!J105&gt;='Model inputs'!O31),'Model inputs'!J105&gt;='Model inputs'!O31,IF(OR('Model inputs'!J105="",'Model inputs'!O31=""),"",'Model inputs'!J105&gt;='Model inputs'!O31))="",FALSE,IF(ISERROR('Model inputs'!J105&gt;='Model inputs'!O31),'Model inputs'!J105&gt;='Model inputs'!O31,IF(OR('Model inputs'!J105="",'Model inputs'!O31=""),"",'Model inputs'!J105&gt;='Model inputs'!O31))),IF('Model inputs'!O30="","",'Model inputs'!O30),0))</f>
        <v>1250</v>
      </c>
      <c r="K134" s="10">
        <f>'Model inputs'!O79+'Model inputs'!O112+'Model inputs'!O48+'Model inputs'!O66+'Model inputs'!O110+IF(IF(IF(IF(ISERROR('Model inputs'!K105&gt;='Model inputs'!O31),'Model inputs'!K105&gt;='Model inputs'!O31,IF(OR('Model inputs'!K105="",'Model inputs'!O31=""),"",'Model inputs'!K105&gt;='Model inputs'!O31))="",FALSE,IF(ISERROR('Model inputs'!K105&gt;='Model inputs'!O31),'Model inputs'!K105&gt;='Model inputs'!O31,IF(OR('Model inputs'!K105="",'Model inputs'!O31=""),"",'Model inputs'!K105&gt;='Model inputs'!O31))),IF('Model inputs'!O30="","",'Model inputs'!O30),0)="",0,IF(IF(IF(ISERROR('Model inputs'!K105&gt;='Model inputs'!O31),'Model inputs'!K105&gt;='Model inputs'!O31,IF(OR('Model inputs'!K105="",'Model inputs'!O31=""),"",'Model inputs'!K105&gt;='Model inputs'!O31))="",FALSE,IF(ISERROR('Model inputs'!K105&gt;='Model inputs'!O31),'Model inputs'!K105&gt;='Model inputs'!O31,IF(OR('Model inputs'!K105="",'Model inputs'!O31=""),"",'Model inputs'!K105&gt;='Model inputs'!O31))),IF('Model inputs'!O30="","",'Model inputs'!O30),0))</f>
        <v>1250</v>
      </c>
      <c r="L134" s="10">
        <f>'Model inputs'!O79+'Model inputs'!O112+'Model inputs'!O48+'Model inputs'!O66+'Model inputs'!O110+IF(IF(IF(IF(ISERROR('Model inputs'!L105&gt;='Model inputs'!O31),'Model inputs'!L105&gt;='Model inputs'!O31,IF(OR('Model inputs'!L105="",'Model inputs'!O31=""),"",'Model inputs'!L105&gt;='Model inputs'!O31))="",FALSE,IF(ISERROR('Model inputs'!L105&gt;='Model inputs'!O31),'Model inputs'!L105&gt;='Model inputs'!O31,IF(OR('Model inputs'!L105="",'Model inputs'!O31=""),"",'Model inputs'!L105&gt;='Model inputs'!O31))),IF('Model inputs'!O30="","",'Model inputs'!O30),0)="",0,IF(IF(IF(ISERROR('Model inputs'!L105&gt;='Model inputs'!O31),'Model inputs'!L105&gt;='Model inputs'!O31,IF(OR('Model inputs'!L105="",'Model inputs'!O31=""),"",'Model inputs'!L105&gt;='Model inputs'!O31))="",FALSE,IF(ISERROR('Model inputs'!L105&gt;='Model inputs'!O31),'Model inputs'!L105&gt;='Model inputs'!O31,IF(OR('Model inputs'!L105="",'Model inputs'!O31=""),"",'Model inputs'!L105&gt;='Model inputs'!O31))),IF('Model inputs'!O30="","",'Model inputs'!O30),0))</f>
        <v>1250</v>
      </c>
      <c r="M134" s="10">
        <f>'Model inputs'!O79+'Model inputs'!O112+'Model inputs'!O48+'Model inputs'!O66+'Model inputs'!O110+IF(IF(IF(IF(ISERROR('Model inputs'!M105&gt;='Model inputs'!O31),'Model inputs'!M105&gt;='Model inputs'!O31,IF(OR('Model inputs'!M105="",'Model inputs'!O31=""),"",'Model inputs'!M105&gt;='Model inputs'!O31))="",FALSE,IF(ISERROR('Model inputs'!M105&gt;='Model inputs'!O31),'Model inputs'!M105&gt;='Model inputs'!O31,IF(OR('Model inputs'!M105="",'Model inputs'!O31=""),"",'Model inputs'!M105&gt;='Model inputs'!O31))),IF('Model inputs'!O30="","",'Model inputs'!O30),0)="",0,IF(IF(IF(ISERROR('Model inputs'!M105&gt;='Model inputs'!O31),'Model inputs'!M105&gt;='Model inputs'!O31,IF(OR('Model inputs'!M105="",'Model inputs'!O31=""),"",'Model inputs'!M105&gt;='Model inputs'!O31))="",FALSE,IF(ISERROR('Model inputs'!M105&gt;='Model inputs'!O31),'Model inputs'!M105&gt;='Model inputs'!O31,IF(OR('Model inputs'!M105="",'Model inputs'!O31=""),"",'Model inputs'!M105&gt;='Model inputs'!O31))),IF('Model inputs'!O30="","",'Model inputs'!O30),0))</f>
        <v>1250</v>
      </c>
      <c r="N134" s="10">
        <f>'Model inputs'!O79+'Model inputs'!O112+'Model inputs'!O48+'Model inputs'!O66+'Model inputs'!O110+IF(IF(IF(IF(ISERROR('Model inputs'!N105&gt;='Model inputs'!O31),'Model inputs'!N105&gt;='Model inputs'!O31,IF(OR('Model inputs'!N105="",'Model inputs'!O31=""),"",'Model inputs'!N105&gt;='Model inputs'!O31))="",FALSE,IF(ISERROR('Model inputs'!N105&gt;='Model inputs'!O31),'Model inputs'!N105&gt;='Model inputs'!O31,IF(OR('Model inputs'!N105="",'Model inputs'!O31=""),"",'Model inputs'!N105&gt;='Model inputs'!O31))),IF('Model inputs'!O30="","",'Model inputs'!O30),0)="",0,IF(IF(IF(ISERROR('Model inputs'!N105&gt;='Model inputs'!O31),'Model inputs'!N105&gt;='Model inputs'!O31,IF(OR('Model inputs'!N105="",'Model inputs'!O31=""),"",'Model inputs'!N105&gt;='Model inputs'!O31))="",FALSE,IF(ISERROR('Model inputs'!N105&gt;='Model inputs'!O31),'Model inputs'!N105&gt;='Model inputs'!O31,IF(OR('Model inputs'!N105="",'Model inputs'!O31=""),"",'Model inputs'!N105&gt;='Model inputs'!O31))),IF('Model inputs'!O30="","",'Model inputs'!O30),0))</f>
        <v>1250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</row>
    <row r="135">
      <c r="A135" t="inlineStr" s="14">
        <is>
          <t xml:space="preserve">Flash inference per audit · LLM cost per audit</t>
        </is>
      </c>
      <c r="O135" s="10">
        <f>0.05</f>
        <v>0.05</v>
      </c>
    </row>
    <row r="136">
      <c r="A136" t="inlineStr" s="14">
        <is>
          <t xml:space="preserve">New customer equivalents · DealScope 12-month financial projection</t>
        </is>
      </c>
      <c r="B136" s="9">
        <v>0</v>
      </c>
      <c r="C136" s="9">
        <f>MAX('Model inputs'!C143-IF(IF(IF(IF(ISERROR('Model inputs'!C105=1),'Model inputs'!C105=1,IF('Model inputs'!C105="","",'Model inputs'!C105=1))="",FALSE,IF(ISERROR('Model inputs'!C105=1),'Model inputs'!C105=1,IF('Model inputs'!C105="","",'Model inputs'!C105=1))),0,IF('Model inputs'!B143="","",'Model inputs'!B143))="",0,IF(IF(IF(ISERROR('Model inputs'!C105=1),'Model inputs'!C105=1,IF('Model inputs'!C105="","",'Model inputs'!C105=1))="",FALSE,IF(ISERROR('Model inputs'!C105=1),'Model inputs'!C105=1,IF('Model inputs'!C105="","",'Model inputs'!C105=1))),0,IF('Model inputs'!B143="","",'Model inputs'!B143))),0)</f>
        <v>1.25</v>
      </c>
      <c r="D136" s="9">
        <f>MAX('Model inputs'!D143-IF(IF(IF(IF(ISERROR('Model inputs'!D105=1),'Model inputs'!D105=1,IF('Model inputs'!D105="","",'Model inputs'!D105=1))="",FALSE,IF(ISERROR('Model inputs'!D105=1),'Model inputs'!D105=1,IF('Model inputs'!D105="","",'Model inputs'!D105=1))),0,IF('Model inputs'!C143="","",'Model inputs'!C143))="",0,IF(IF(IF(ISERROR('Model inputs'!D105=1),'Model inputs'!D105=1,IF('Model inputs'!D105="","",'Model inputs'!D105=1))="",FALSE,IF(ISERROR('Model inputs'!D105=1),'Model inputs'!D105=1,IF('Model inputs'!D105="","",'Model inputs'!D105=1))),0,IF('Model inputs'!C143="","",'Model inputs'!C143))),0)</f>
        <v>1.25</v>
      </c>
      <c r="E136" s="9">
        <f>MAX('Model inputs'!E143-IF(IF(IF(IF(ISERROR('Model inputs'!E105=1),'Model inputs'!E105=1,IF('Model inputs'!E105="","",'Model inputs'!E105=1))="",FALSE,IF(ISERROR('Model inputs'!E105=1),'Model inputs'!E105=1,IF('Model inputs'!E105="","",'Model inputs'!E105=1))),0,IF('Model inputs'!D143="","",'Model inputs'!D143))="",0,IF(IF(IF(ISERROR('Model inputs'!E105=1),'Model inputs'!E105=1,IF('Model inputs'!E105="","",'Model inputs'!E105=1))="",FALSE,IF(ISERROR('Model inputs'!E105=1),'Model inputs'!E105=1,IF('Model inputs'!E105="","",'Model inputs'!E105=1))),0,IF('Model inputs'!D143="","",'Model inputs'!D143))),0)</f>
        <v>1.25</v>
      </c>
      <c r="F136" s="9">
        <f>MAX('Model inputs'!F143-IF(IF(IF(IF(ISERROR('Model inputs'!F105=1),'Model inputs'!F105=1,IF('Model inputs'!F105="","",'Model inputs'!F105=1))="",FALSE,IF(ISERROR('Model inputs'!F105=1),'Model inputs'!F105=1,IF('Model inputs'!F105="","",'Model inputs'!F105=1))),0,IF('Model inputs'!E143="","",'Model inputs'!E143))="",0,IF(IF(IF(ISERROR('Model inputs'!F105=1),'Model inputs'!F105=1,IF('Model inputs'!F105="","",'Model inputs'!F105=1))="",FALSE,IF(ISERROR('Model inputs'!F105=1),'Model inputs'!F105=1,IF('Model inputs'!F105="","",'Model inputs'!F105=1))),0,IF('Model inputs'!E143="","",'Model inputs'!E143))),0)</f>
        <v>1.25</v>
      </c>
      <c r="G136" s="9">
        <f>MAX('Model inputs'!G143-IF(IF(IF(IF(ISERROR('Model inputs'!G105=1),'Model inputs'!G105=1,IF('Model inputs'!G105="","",'Model inputs'!G105=1))="",FALSE,IF(ISERROR('Model inputs'!G105=1),'Model inputs'!G105=1,IF('Model inputs'!G105="","",'Model inputs'!G105=1))),0,IF('Model inputs'!F143="","",'Model inputs'!F143))="",0,IF(IF(IF(ISERROR('Model inputs'!G105=1),'Model inputs'!G105=1,IF('Model inputs'!G105="","",'Model inputs'!G105=1))="",FALSE,IF(ISERROR('Model inputs'!G105=1),'Model inputs'!G105=1,IF('Model inputs'!G105="","",'Model inputs'!G105=1))),0,IF('Model inputs'!F143="","",'Model inputs'!F143))),0)</f>
        <v>1.25</v>
      </c>
      <c r="H136" s="9">
        <f>MAX('Model inputs'!H143-IF(IF(IF(IF(ISERROR('Model inputs'!H105=1),'Model inputs'!H105=1,IF('Model inputs'!H105="","",'Model inputs'!H105=1))="",FALSE,IF(ISERROR('Model inputs'!H105=1),'Model inputs'!H105=1,IF('Model inputs'!H105="","",'Model inputs'!H105=1))),0,IF('Model inputs'!G143="","",'Model inputs'!G143))="",0,IF(IF(IF(ISERROR('Model inputs'!H105=1),'Model inputs'!H105=1,IF('Model inputs'!H105="","",'Model inputs'!H105=1))="",FALSE,IF(ISERROR('Model inputs'!H105=1),'Model inputs'!H105=1,IF('Model inputs'!H105="","",'Model inputs'!H105=1))),0,IF('Model inputs'!G143="","",'Model inputs'!G143))),0)</f>
        <v>1.25</v>
      </c>
      <c r="I136" s="9">
        <f>MAX('Model inputs'!I143-IF(IF(IF(IF(ISERROR('Model inputs'!I105=1),'Model inputs'!I105=1,IF('Model inputs'!I105="","",'Model inputs'!I105=1))="",FALSE,IF(ISERROR('Model inputs'!I105=1),'Model inputs'!I105=1,IF('Model inputs'!I105="","",'Model inputs'!I105=1))),0,IF('Model inputs'!H143="","",'Model inputs'!H143))="",0,IF(IF(IF(ISERROR('Model inputs'!I105=1),'Model inputs'!I105=1,IF('Model inputs'!I105="","",'Model inputs'!I105=1))="",FALSE,IF(ISERROR('Model inputs'!I105=1),'Model inputs'!I105=1,IF('Model inputs'!I105="","",'Model inputs'!I105=1))),0,IF('Model inputs'!H143="","",'Model inputs'!H143))),0)</f>
        <v>1.25</v>
      </c>
      <c r="J136" s="9">
        <f>MAX('Model inputs'!J143-IF(IF(IF(IF(ISERROR('Model inputs'!J105=1),'Model inputs'!J105=1,IF('Model inputs'!J105="","",'Model inputs'!J105=1))="",FALSE,IF(ISERROR('Model inputs'!J105=1),'Model inputs'!J105=1,IF('Model inputs'!J105="","",'Model inputs'!J105=1))),0,IF('Model inputs'!I143="","",'Model inputs'!I143))="",0,IF(IF(IF(ISERROR('Model inputs'!J105=1),'Model inputs'!J105=1,IF('Model inputs'!J105="","",'Model inputs'!J105=1))="",FALSE,IF(ISERROR('Model inputs'!J105=1),'Model inputs'!J105=1,IF('Model inputs'!J105="","",'Model inputs'!J105=1))),0,IF('Model inputs'!I143="","",'Model inputs'!I143))),0)</f>
        <v>1.25</v>
      </c>
      <c r="K136" s="9">
        <f>MAX('Model inputs'!K143-IF(IF(IF(IF(ISERROR('Model inputs'!K105=1),'Model inputs'!K105=1,IF('Model inputs'!K105="","",'Model inputs'!K105=1))="",FALSE,IF(ISERROR('Model inputs'!K105=1),'Model inputs'!K105=1,IF('Model inputs'!K105="","",'Model inputs'!K105=1))),0,IF('Model inputs'!J143="","",'Model inputs'!J143))="",0,IF(IF(IF(ISERROR('Model inputs'!K105=1),'Model inputs'!K105=1,IF('Model inputs'!K105="","",'Model inputs'!K105=1))="",FALSE,IF(ISERROR('Model inputs'!K105=1),'Model inputs'!K105=1,IF('Model inputs'!K105="","",'Model inputs'!K105=1))),0,IF('Model inputs'!J143="","",'Model inputs'!J143))),0)</f>
        <v>1.25</v>
      </c>
      <c r="L136" s="9">
        <f>MAX('Model inputs'!L143-IF(IF(IF(IF(ISERROR('Model inputs'!L105=1),'Model inputs'!L105=1,IF('Model inputs'!L105="","",'Model inputs'!L105=1))="",FALSE,IF(ISERROR('Model inputs'!L105=1),'Model inputs'!L105=1,IF('Model inputs'!L105="","",'Model inputs'!L105=1))),0,IF('Model inputs'!K143="","",'Model inputs'!K143))="",0,IF(IF(IF(ISERROR('Model inputs'!L105=1),'Model inputs'!L105=1,IF('Model inputs'!L105="","",'Model inputs'!L105=1))="",FALSE,IF(ISERROR('Model inputs'!L105=1),'Model inputs'!L105=1,IF('Model inputs'!L105="","",'Model inputs'!L105=1))),0,IF('Model inputs'!K143="","",'Model inputs'!K143))),0)</f>
        <v>1.25</v>
      </c>
      <c r="M136" s="9">
        <f>MAX('Model inputs'!M143-IF(IF(IF(IF(ISERROR('Model inputs'!M105=1),'Model inputs'!M105=1,IF('Model inputs'!M105="","",'Model inputs'!M105=1))="",FALSE,IF(ISERROR('Model inputs'!M105=1),'Model inputs'!M105=1,IF('Model inputs'!M105="","",'Model inputs'!M105=1))),0,IF('Model inputs'!L143="","",'Model inputs'!L143))="",0,IF(IF(IF(ISERROR('Model inputs'!M105=1),'Model inputs'!M105=1,IF('Model inputs'!M105="","",'Model inputs'!M105=1))="",FALSE,IF(ISERROR('Model inputs'!M105=1),'Model inputs'!M105=1,IF('Model inputs'!M105="","",'Model inputs'!M105=1))),0,IF('Model inputs'!L143="","",'Model inputs'!L143))),0)</f>
        <v>1.25</v>
      </c>
      <c r="N136" s="9">
        <f>MAX('Model inputs'!N143-IF(IF(IF(IF(ISERROR('Model inputs'!N105=1),'Model inputs'!N105=1,IF('Model inputs'!N105="","",'Model inputs'!N105=1))="",FALSE,IF(ISERROR('Model inputs'!N105=1),'Model inputs'!N105=1,IF('Model inputs'!N105="","",'Model inputs'!N105=1))),0,IF('Model inputs'!M143="","",'Model inputs'!M143))="",0,IF(IF(IF(ISERROR('Model inputs'!N105=1),'Model inputs'!N105=1,IF('Model inputs'!N105="","",'Model inputs'!N105=1))="",FALSE,IF(ISERROR('Model inputs'!N105=1),'Model inputs'!N105=1,IF('Model inputs'!N105="","",'Model inputs'!N105=1))),0,IF('Model inputs'!M143="","",'Model inputs'!M143))),0)</f>
        <v>1.25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</row>
    <row r="137">
      <c r="A137" t="inlineStr" s="14">
        <is>
          <t xml:space="preserve">Operating profit</t>
        </is>
      </c>
      <c r="C137" t="str" s="12">
        <f>""</f>
        <v/>
      </c>
      <c r="D137" t="str" s="12">
        <f>""</f>
        <v/>
      </c>
      <c r="E137" t="str" s="12">
        <f>""</f>
        <v/>
      </c>
      <c r="F137" t="str" s="12">
        <f>""</f>
        <v/>
      </c>
      <c r="G137" t="str" s="12">
        <f>""</f>
        <v/>
      </c>
      <c r="H137" t="str" s="12">
        <f>""</f>
        <v/>
      </c>
      <c r="I137" t="str" s="12">
        <f>""</f>
        <v/>
      </c>
      <c r="J137" t="str" s="12">
        <f>""</f>
        <v/>
      </c>
      <c r="K137" t="str" s="12">
        <f>""</f>
        <v/>
      </c>
      <c r="L137" t="str" s="12">
        <f>""</f>
        <v/>
      </c>
      <c r="M137" t="str" s="12">
        <f>""</f>
        <v/>
      </c>
      <c r="N137" t="str" s="12">
        <f>""</f>
        <v/>
      </c>
    </row>
    <row r="138" outlineLevel="1">
      <c r="A138" t="inlineStr" s="15">
        <is>
          <t xml:space="preserve">Operating profit &gt; Annual deal-team</t>
        </is>
      </c>
      <c r="C138" s="10">
        <f>'Model inputs'!C39-'Model inputs'!C134</f>
        <v>3589.25</v>
      </c>
      <c r="D138" s="10">
        <f>'Model inputs'!D39-'Model inputs'!D134</f>
        <v>7928.5</v>
      </c>
      <c r="E138" s="10">
        <f>'Model inputs'!E39-'Model inputs'!E134</f>
        <v>12267.75</v>
      </c>
      <c r="F138" s="10">
        <f>'Model inputs'!F39-'Model inputs'!F134</f>
        <v>16607</v>
      </c>
      <c r="G138" s="10">
        <f>'Model inputs'!G39-'Model inputs'!G134</f>
        <v>20946.25</v>
      </c>
      <c r="H138" s="10">
        <f>'Model inputs'!H39-'Model inputs'!H134</f>
        <v>24785.5</v>
      </c>
      <c r="I138" s="10">
        <f>'Model inputs'!I39-'Model inputs'!I134</f>
        <v>29124.75</v>
      </c>
      <c r="J138" s="10">
        <f>'Model inputs'!J39-'Model inputs'!J134</f>
        <v>33464</v>
      </c>
      <c r="K138" s="10">
        <f>'Model inputs'!K39-'Model inputs'!K134</f>
        <v>37803.25</v>
      </c>
      <c r="L138" s="10">
        <f>'Model inputs'!L39-'Model inputs'!L134</f>
        <v>42142.5</v>
      </c>
      <c r="M138" s="10">
        <f>'Model inputs'!M39-'Model inputs'!M134</f>
        <v>46481.75</v>
      </c>
      <c r="N138" s="10">
        <f>'Model inputs'!N39-'Model inputs'!N134</f>
        <v>50821</v>
      </c>
    </row>
    <row r="139" outlineLevel="1">
      <c r="A139" t="inlineStr" s="15">
        <is>
          <t xml:space="preserve">Operating profit &gt; Hybrid</t>
        </is>
      </c>
      <c r="C139" s="10">
        <f>'Model inputs'!C40-'Model inputs'!C134</f>
        <v>4195.5</v>
      </c>
      <c r="D139" s="10">
        <f>'Model inputs'!D40-'Model inputs'!D134</f>
        <v>9141</v>
      </c>
      <c r="E139" s="10">
        <f>'Model inputs'!E40-'Model inputs'!E134</f>
        <v>14086.5</v>
      </c>
      <c r="F139" s="10">
        <f>'Model inputs'!F40-'Model inputs'!F134</f>
        <v>19032</v>
      </c>
      <c r="G139" s="10">
        <f>'Model inputs'!G40-'Model inputs'!G134</f>
        <v>23977.5</v>
      </c>
      <c r="H139" s="10">
        <f>'Model inputs'!H40-'Model inputs'!H134</f>
        <v>28423</v>
      </c>
      <c r="I139" s="10">
        <f>'Model inputs'!I40-'Model inputs'!I134</f>
        <v>33368.5</v>
      </c>
      <c r="J139" s="10">
        <f>'Model inputs'!J40-'Model inputs'!J134</f>
        <v>38314</v>
      </c>
      <c r="K139" s="10">
        <f>'Model inputs'!K40-'Model inputs'!K134</f>
        <v>43259.5</v>
      </c>
      <c r="L139" s="10">
        <f>'Model inputs'!L40-'Model inputs'!L134</f>
        <v>48205</v>
      </c>
      <c r="M139" s="10">
        <f>'Model inputs'!M40-'Model inputs'!M134</f>
        <v>53150.5</v>
      </c>
      <c r="N139" s="10">
        <f>'Model inputs'!N40-'Model inputs'!N134</f>
        <v>58096</v>
      </c>
    </row>
    <row r="140" outlineLevel="1">
      <c r="A140" t="inlineStr" s="15">
        <is>
          <t xml:space="preserve">Operating profit &gt; Per audit — base</t>
        </is>
      </c>
      <c r="C140" s="10">
        <f>'Model inputs'!C41-'Model inputs'!C134</f>
        <v>6014.25</v>
      </c>
      <c r="D140" s="10">
        <f>'Model inputs'!D41-'Model inputs'!D134</f>
        <v>12778.5</v>
      </c>
      <c r="E140" s="10">
        <f>'Model inputs'!E41-'Model inputs'!E134</f>
        <v>19542.75</v>
      </c>
      <c r="F140" s="10">
        <f>'Model inputs'!F41-'Model inputs'!F134</f>
        <v>26307</v>
      </c>
      <c r="G140" s="10">
        <f>'Model inputs'!G41-'Model inputs'!G134</f>
        <v>33071.25</v>
      </c>
      <c r="H140" s="10">
        <f>'Model inputs'!H41-'Model inputs'!H134</f>
        <v>39335.5</v>
      </c>
      <c r="I140" s="10">
        <f>'Model inputs'!I41-'Model inputs'!I134</f>
        <v>46099.75</v>
      </c>
      <c r="J140" s="10">
        <f>'Model inputs'!J41-'Model inputs'!J134</f>
        <v>52864</v>
      </c>
      <c r="K140" s="10">
        <f>'Model inputs'!K41-'Model inputs'!K134</f>
        <v>59628.25</v>
      </c>
      <c r="L140" s="10">
        <f>'Model inputs'!L41-'Model inputs'!L134</f>
        <v>66392.5</v>
      </c>
      <c r="M140" s="10">
        <f>'Model inputs'!M41-'Model inputs'!M134</f>
        <v>73156.75</v>
      </c>
      <c r="N140" s="10">
        <f>'Model inputs'!N41-'Model inputs'!N134</f>
        <v>79921</v>
      </c>
    </row>
    <row r="141" outlineLevel="1">
      <c r="A141" t="inlineStr" s="15">
        <is>
          <t xml:space="preserve">Operating profit &gt; Per audit — high</t>
        </is>
      </c>
      <c r="C141" s="10">
        <f>'Model inputs'!C42-'Model inputs'!C134</f>
        <v>13289.25</v>
      </c>
      <c r="D141" s="10">
        <f>'Model inputs'!D42-'Model inputs'!D134</f>
        <v>27328.5</v>
      </c>
      <c r="E141" s="10">
        <f>'Model inputs'!E42-'Model inputs'!E134</f>
        <v>41367.75</v>
      </c>
      <c r="F141" s="10">
        <f>'Model inputs'!F42-'Model inputs'!F134</f>
        <v>55407</v>
      </c>
      <c r="G141" s="10">
        <f>'Model inputs'!G42-'Model inputs'!G134</f>
        <v>69446.25</v>
      </c>
      <c r="H141" s="10">
        <f>'Model inputs'!H42-'Model inputs'!H134</f>
        <v>82985.5</v>
      </c>
      <c r="I141" s="10">
        <f>'Model inputs'!I42-'Model inputs'!I134</f>
        <v>97024.75</v>
      </c>
      <c r="J141" s="10">
        <f>'Model inputs'!J42-'Model inputs'!J134</f>
        <v>111064</v>
      </c>
      <c r="K141" s="10">
        <f>'Model inputs'!K42-'Model inputs'!K134</f>
        <v>125103.25</v>
      </c>
      <c r="L141" s="10">
        <f>'Model inputs'!L42-'Model inputs'!L134</f>
        <v>139142.5</v>
      </c>
      <c r="M141" s="10">
        <f>'Model inputs'!M42-'Model inputs'!M134</f>
        <v>153181.75</v>
      </c>
      <c r="N141" s="10">
        <f>'Model inputs'!N42-'Model inputs'!N134</f>
        <v>167221</v>
      </c>
    </row>
    <row r="142" outlineLevel="1">
      <c r="A142" t="inlineStr" s="15">
        <is>
          <t xml:space="preserve">Operating profit &gt; Per audit — low</t>
        </is>
      </c>
      <c r="C142" s="10">
        <f>'Model inputs'!C43-'Model inputs'!C134</f>
        <v>2376.75</v>
      </c>
      <c r="D142" s="10">
        <f>'Model inputs'!D43-'Model inputs'!D134</f>
        <v>5503.5</v>
      </c>
      <c r="E142" s="10">
        <f>'Model inputs'!E43-'Model inputs'!E134</f>
        <v>8630.25</v>
      </c>
      <c r="F142" s="10">
        <f>'Model inputs'!F43-'Model inputs'!F134</f>
        <v>11757</v>
      </c>
      <c r="G142" s="10">
        <f>'Model inputs'!G43-'Model inputs'!G134</f>
        <v>14883.75</v>
      </c>
      <c r="H142" s="10">
        <f>'Model inputs'!H43-'Model inputs'!H134</f>
        <v>17510.5</v>
      </c>
      <c r="I142" s="10">
        <f>'Model inputs'!I43-'Model inputs'!I134</f>
        <v>20637.25</v>
      </c>
      <c r="J142" s="10">
        <f>'Model inputs'!J43-'Model inputs'!J134</f>
        <v>23764</v>
      </c>
      <c r="K142" s="10">
        <f>'Model inputs'!K43-'Model inputs'!K134</f>
        <v>26890.75</v>
      </c>
      <c r="L142" s="10">
        <f>'Model inputs'!L43-'Model inputs'!L134</f>
        <v>30017.5</v>
      </c>
      <c r="M142" s="10">
        <f>'Model inputs'!M43-'Model inputs'!M134</f>
        <v>33144.25</v>
      </c>
      <c r="N142" s="10">
        <f>'Model inputs'!N43-'Model inputs'!N134</f>
        <v>36271</v>
      </c>
    </row>
    <row r="143">
      <c r="A143" t="inlineStr" s="14">
        <is>
          <t xml:space="preserve">Paying customer equivalents · DealScope 12-month financial projection</t>
        </is>
      </c>
      <c r="B143" s="9">
        <v>0</v>
      </c>
      <c r="C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inputs'!C105-'Model inputs'!O109)/'Model inputs'!O63,0),1),IF(IF(IF(ISERROR('Model inputs'!C105&gt;'Model inputs'!O109),'Model inputs'!C105&gt;'Model inputs'!O109,IF(OR('Model inputs'!C105="",'Model inputs'!O109=""),"",'Model inputs'!C105&gt;'Model inputs'!O109))="",FALSE,IF(ISERROR('Model inputs'!C105&gt;'Model inputs'!O109),'Model inputs'!C105&gt;'Model inputs'!O109,IF(OR('Model inputs'!C105="",'Model inputs'!O109=""),"",'Model inputs'!C105&gt;'Model inputs'!O109))),IF('Model inputs'!O114="","",'Model inputs'!O114),0))</f>
        <v>1.25</v>
      </c>
      <c r="D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inputs'!D105-'Model inputs'!O109)/'Model inputs'!O63,0),1),IF(IF(IF(ISERROR('Model inputs'!D105&gt;'Model inputs'!O109),'Model inputs'!D105&gt;'Model inputs'!O109,IF(OR('Model inputs'!D105="",'Model inputs'!O109=""),"",'Model inputs'!D105&gt;'Model inputs'!O109))="",FALSE,IF(ISERROR('Model inputs'!D105&gt;'Model inputs'!O109),'Model inputs'!D105&gt;'Model inputs'!O109,IF(OR('Model inputs'!D105="",'Model inputs'!O109=""),"",'Model inputs'!D105&gt;'Model inputs'!O109))),IF('Model inputs'!O114="","",'Model inputs'!O114),0))</f>
        <v>2.5</v>
      </c>
      <c r="E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inputs'!E105-'Model inputs'!O109)/'Model inputs'!O63,0),1),IF(IF(IF(ISERROR('Model inputs'!E105&gt;'Model inputs'!O109),'Model inputs'!E105&gt;'Model inputs'!O109,IF(OR('Model inputs'!E105="",'Model inputs'!O109=""),"",'Model inputs'!E105&gt;'Model inputs'!O109))="",FALSE,IF(ISERROR('Model inputs'!E105&gt;'Model inputs'!O109),'Model inputs'!E105&gt;'Model inputs'!O109,IF(OR('Model inputs'!E105="",'Model inputs'!O109=""),"",'Model inputs'!E105&gt;'Model inputs'!O109))),IF('Model inputs'!O114="","",'Model inputs'!O114),0))</f>
        <v>3.75</v>
      </c>
      <c r="F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inputs'!F105-'Model inputs'!O109)/'Model inputs'!O63,0),1),IF(IF(IF(ISERROR('Model inputs'!F105&gt;'Model inputs'!O109),'Model inputs'!F105&gt;'Model inputs'!O109,IF(OR('Model inputs'!F105="",'Model inputs'!O109=""),"",'Model inputs'!F105&gt;'Model inputs'!O109))="",FALSE,IF(ISERROR('Model inputs'!F105&gt;'Model inputs'!O109),'Model inputs'!F105&gt;'Model inputs'!O109,IF(OR('Model inputs'!F105="",'Model inputs'!O109=""),"",'Model inputs'!F105&gt;'Model inputs'!O109))),IF('Model inputs'!O114="","",'Model inputs'!O114),0))</f>
        <v>5</v>
      </c>
      <c r="G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inputs'!G105-'Model inputs'!O109)/'Model inputs'!O63,0),1),IF(IF(IF(ISERROR('Model inputs'!G105&gt;'Model inputs'!O109),'Model inputs'!G105&gt;'Model inputs'!O109,IF(OR('Model inputs'!G105="",'Model inputs'!O109=""),"",'Model inputs'!G105&gt;'Model inputs'!O109))="",FALSE,IF(ISERROR('Model inputs'!G105&gt;'Model inputs'!O109),'Model inputs'!G105&gt;'Model inputs'!O109,IF(OR('Model inputs'!G105="",'Model inputs'!O109=""),"",'Model inputs'!G105&gt;'Model inputs'!O109))),IF('Model inputs'!O114="","",'Model inputs'!O114),0))</f>
        <v>6.25</v>
      </c>
      <c r="H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inputs'!H105-'Model inputs'!O109)/'Model inputs'!O63,0),1),IF(IF(IF(ISERROR('Model inputs'!H105&gt;'Model inputs'!O109),'Model inputs'!H105&gt;'Model inputs'!O109,IF(OR('Model inputs'!H105="",'Model inputs'!O109=""),"",'Model inputs'!H105&gt;'Model inputs'!O109))="",FALSE,IF(ISERROR('Model inputs'!H105&gt;'Model inputs'!O109),'Model inputs'!H105&gt;'Model inputs'!O109,IF(OR('Model inputs'!H105="",'Model inputs'!O109=""),"",'Model inputs'!H105&gt;'Model inputs'!O109))),IF('Model inputs'!O114="","",'Model inputs'!O114),0))</f>
        <v>7.5</v>
      </c>
      <c r="I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inputs'!I105-'Model inputs'!O109)/'Model inputs'!O63,0),1),IF(IF(IF(ISERROR('Model inputs'!I105&gt;'Model inputs'!O109),'Model inputs'!I105&gt;'Model inputs'!O109,IF(OR('Model inputs'!I105="",'Model inputs'!O109=""),"",'Model inputs'!I105&gt;'Model inputs'!O109))="",FALSE,IF(ISERROR('Model inputs'!I105&gt;'Model inputs'!O109),'Model inputs'!I105&gt;'Model inputs'!O109,IF(OR('Model inputs'!I105="",'Model inputs'!O109=""),"",'Model inputs'!I105&gt;'Model inputs'!O109))),IF('Model inputs'!O114="","",'Model inputs'!O114),0))</f>
        <v>8.75</v>
      </c>
      <c r="J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inputs'!J105-'Model inputs'!O109)/'Model inputs'!O63,0),1),IF(IF(IF(ISERROR('Model inputs'!J105&gt;'Model inputs'!O109),'Model inputs'!J105&gt;'Model inputs'!O109,IF(OR('Model inputs'!J105="",'Model inputs'!O109=""),"",'Model inputs'!J105&gt;'Model inputs'!O109))="",FALSE,IF(ISERROR('Model inputs'!J105&gt;'Model inputs'!O109),'Model inputs'!J105&gt;'Model inputs'!O109,IF(OR('Model inputs'!J105="",'Model inputs'!O109=""),"",'Model inputs'!J105&gt;'Model inputs'!O109))),IF('Model inputs'!O114="","",'Model inputs'!O114),0))</f>
        <v>10</v>
      </c>
      <c r="K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inputs'!K105-'Model inputs'!O109)/'Model inputs'!O63,0),1),IF(IF(IF(ISERROR('Model inputs'!K105&gt;'Model inputs'!O109),'Model inputs'!K105&gt;'Model inputs'!O109,IF(OR('Model inputs'!K105="",'Model inputs'!O109=""),"",'Model inputs'!K105&gt;'Model inputs'!O109))="",FALSE,IF(ISERROR('Model inputs'!K105&gt;'Model inputs'!O109),'Model inputs'!K105&gt;'Model inputs'!O109,IF(OR('Model inputs'!K105="",'Model inputs'!O109=""),"",'Model inputs'!K105&gt;'Model inputs'!O109))),IF('Model inputs'!O114="","",'Model inputs'!O114),0))</f>
        <v>11.25</v>
      </c>
      <c r="L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inputs'!L105-'Model inputs'!O109)/'Model inputs'!O63,0),1),IF(IF(IF(ISERROR('Model inputs'!L105&gt;'Model inputs'!O109),'Model inputs'!L105&gt;'Model inputs'!O109,IF(OR('Model inputs'!L105="",'Model inputs'!O109=""),"",'Model inputs'!L105&gt;'Model inputs'!O109))="",FALSE,IF(ISERROR('Model inputs'!L105&gt;'Model inputs'!O109),'Model inputs'!L105&gt;'Model inputs'!O109,IF(OR('Model inputs'!L105="",'Model inputs'!O109=""),"",'Model inputs'!L105&gt;'Model inputs'!O109))),IF('Model inputs'!O114="","",'Model inputs'!O114),0))</f>
        <v>12.5</v>
      </c>
      <c r="M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inputs'!M105-'Model inputs'!O109)/'Model inputs'!O63,0),1),IF(IF(IF(ISERROR('Model inputs'!M105&gt;'Model inputs'!O109),'Model inputs'!M105&gt;'Model inputs'!O109,IF(OR('Model inputs'!M105="",'Model inputs'!O109=""),"",'Model inputs'!M105&gt;'Model inputs'!O109))="",FALSE,IF(ISERROR('Model inputs'!M105&gt;'Model inputs'!O109),'Model inputs'!M105&gt;'Model inputs'!O109,IF(OR('Model inputs'!M105="",'Model inputs'!O109=""),"",'Model inputs'!M105&gt;'Model inputs'!O109))),IF('Model inputs'!O114="","",'Model inputs'!O114),0))</f>
        <v>13.75</v>
      </c>
      <c r="N14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inputs'!N105-'Model inputs'!O109)/'Model inputs'!O63,0),1),IF(IF(IF(ISERROR('Model inputs'!N105&gt;'Model inputs'!O109),'Model inputs'!N105&gt;'Model inputs'!O109,IF(OR('Model inputs'!N105="",'Model inputs'!O109=""),"",'Model inputs'!N105&gt;'Model inputs'!O109))="",FALSE,IF(ISERROR('Model inputs'!N105&gt;'Model inputs'!O109),'Model inputs'!N105&gt;'Model inputs'!O109,IF(OR('Model inputs'!N105="",'Model inputs'!O109=""),"",'Model inputs'!N105&gt;'Model inputs'!O109))),IF('Model inputs'!O114="","",'Model inputs'!O114),0))</f>
        <v>15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>
      <c r="A144" t="inlineStr" s="14">
        <is>
          <t xml:space="preserve">Price discount · Average monthly net cash burn · DealScope conditional cash and runway</t>
        </is>
      </c>
      <c r="O144" s="9">
        <f>0</f>
        <v>0</v>
      </c>
    </row>
    <row r="145">
      <c r="A145" t="inlineStr" s="14">
        <is>
          <t xml:space="preserve">Processing rate · Average monthly net cash burn · DealScope conditional cash and runway</t>
        </is>
      </c>
      <c r="O145" s="9">
        <f>0.03</f>
        <v>0.03</v>
      </c>
    </row>
    <row r="146">
      <c r="A146" t="inlineStr" s="14">
        <is>
          <t xml:space="preserve">Projection month · Cumulative funding gap</t>
        </is>
      </c>
      <c r="B146" s="9">
        <f>IF('Model inputs'!B105="","",'Model inputs'!B105)</f>
        <v>0</v>
      </c>
      <c r="C146" s="9">
        <f>IF('Model inputs'!C105="","",'Model inputs'!C105)</f>
        <v>1</v>
      </c>
      <c r="D146" s="9">
        <f>IF('Model inputs'!D105="","",'Model inputs'!D105)</f>
        <v>2</v>
      </c>
      <c r="E146" s="9">
        <f>IF('Model inputs'!E105="","",'Model inputs'!E105)</f>
        <v>3</v>
      </c>
      <c r="F146" s="9">
        <f>IF('Model inputs'!F105="","",'Model inputs'!F105)</f>
        <v>4</v>
      </c>
      <c r="G146" s="9">
        <f>IF('Model inputs'!G105="","",'Model inputs'!G105)</f>
        <v>5</v>
      </c>
      <c r="H146" s="9">
        <f>IF('Model inputs'!H105="","",'Model inputs'!H105)</f>
        <v>6</v>
      </c>
      <c r="I146" s="9">
        <f>IF('Model inputs'!I105="","",'Model inputs'!I105)</f>
        <v>7</v>
      </c>
      <c r="J146" s="9">
        <f>IF('Model inputs'!J105="","",'Model inputs'!J105)</f>
        <v>8</v>
      </c>
      <c r="K146" s="9">
        <f>IF('Model inputs'!K105="","",'Model inputs'!K105)</f>
        <v>9</v>
      </c>
      <c r="L146" s="9">
        <f>IF('Model inputs'!L105="","",'Model inputs'!L105)</f>
        <v>10</v>
      </c>
      <c r="M146" s="9">
        <f>IF('Model inputs'!M105="","",'Model inputs'!M105)</f>
        <v>11</v>
      </c>
      <c r="N146" s="9">
        <f>IF('Model inputs'!N105="","",'Model inputs'!N105)</f>
        <v>12</v>
      </c>
      <c r="Q146" s="9">
        <f>IF('Model inputs'!Q105="","",'Model inputs'!Q105)</f>
        <v>0</v>
      </c>
      <c r="R146" s="9">
        <f>IF('Model inputs'!R105="","",'Model inputs'!R105)</f>
        <v>0</v>
      </c>
      <c r="S146" s="9">
        <f>IF('Model inputs'!S105="","",'Model inputs'!S105)</f>
        <v>0</v>
      </c>
      <c r="T146" s="9">
        <f>IF('Model inputs'!T105="","",'Model inputs'!T105)</f>
        <v>0</v>
      </c>
      <c r="U146" s="9">
        <f>IF('Model inputs'!U105="","",'Model inputs'!U105)</f>
        <v>0</v>
      </c>
      <c r="V146" s="9">
        <f>IF('Model inputs'!V105="","",'Model inputs'!V105)</f>
        <v>0</v>
      </c>
      <c r="W146" s="9">
        <f>IF('Model inputs'!W105="","",'Model inputs'!W105)</f>
        <v>0</v>
      </c>
      <c r="X146" s="9">
        <f>IF('Model inputs'!X105="","",'Model inputs'!X105)</f>
        <v>0</v>
      </c>
      <c r="Y146" s="9">
        <f>DATEDIF('Model inputs'!P65,DATE(2027,10,1),"M")+1</f>
        <v>13</v>
      </c>
      <c r="Z146" s="9">
        <f>DATEDIF('Model inputs'!P65,DATE(2027,11,1),"M")+1</f>
        <v>14</v>
      </c>
      <c r="AA146" s="9">
        <f>DATEDIF('Model inputs'!P65,DATE(2027,12,1),"M")+1</f>
        <v>15</v>
      </c>
    </row>
    <row r="147">
      <c r="A147" t="inlineStr" s="14">
        <is>
          <t xml:space="preserve">QA dollars per hour · QA cost per audit</t>
        </is>
      </c>
      <c r="O147" s="10">
        <f>60</f>
        <v>60</v>
      </c>
    </row>
    <row r="148">
      <c r="A148" t="inlineStr" s="14">
        <is>
          <t xml:space="preserve">Support dollars per hour · Account support cost</t>
        </is>
      </c>
      <c r="O148" s="10">
        <f>60</f>
        <v>60</v>
      </c>
    </row>
    <row r="149">
      <c r="A149" t="inlineStr" s="14">
        <is>
          <t xml:space="preserve">Upfront subscription fee</t>
        </is>
      </c>
      <c r="O149" s="12">
        <v>0</v>
      </c>
    </row>
    <row r="150" outlineLevel="1">
      <c r="A150" t="inlineStr" s="15">
        <is>
          <t xml:space="preserve">Upfront subscription fee &gt; Annual deal-team</t>
        </is>
      </c>
      <c r="O150" s="10">
        <f>IF('Model inputs'!O223="","",'Model inputs'!O223)</f>
        <v>24000</v>
      </c>
    </row>
    <row r="151" outlineLevel="1">
      <c r="A151" t="inlineStr" s="15">
        <is>
          <t xml:space="preserve">Upfront subscription fee &gt; Hybrid</t>
        </is>
      </c>
      <c r="O151" s="10">
        <f>IF('Model inputs'!O239="","",'Model inputs'!O239)</f>
        <v>6000</v>
      </c>
    </row>
    <row r="152" outlineLevel="1">
      <c r="A152" t="inlineStr" s="15">
        <is>
          <t xml:space="preserve">Upfront subscription fee &gt; Per audit — base</t>
        </is>
      </c>
      <c r="O152" s="10">
        <f>0</f>
        <v>0</v>
      </c>
    </row>
    <row r="153" outlineLevel="1">
      <c r="A153" t="inlineStr" s="15">
        <is>
          <t xml:space="preserve">Upfront subscription fee &gt; Per audit — high</t>
        </is>
      </c>
      <c r="O153" s="10">
        <f>0</f>
        <v>0</v>
      </c>
    </row>
    <row r="154" outlineLevel="1">
      <c r="A154" t="inlineStr" s="15">
        <is>
          <t xml:space="preserve">Upfront subscription fee &gt; Per audit — low</t>
        </is>
      </c>
      <c r="O154" s="10">
        <f>0</f>
        <v>0</v>
      </c>
    </row>
    <row r="155">
      <c r="A155" t="inlineStr" s="14">
        <is>
          <t xml:space="preserve">Cash collections</t>
        </is>
      </c>
      <c r="B155" s="12">
        <f>IF('Model inputs'!B22="","",'Model inputs'!B22)</f>
        <v>0</v>
      </c>
      <c r="C155" t="str" s="12">
        <f>IF('Model inputs'!C22="","",'Model inputs'!C22)</f>
        <v/>
      </c>
      <c r="D155" t="str" s="12">
        <f>IF('Model inputs'!D22="","",'Model inputs'!D22)</f>
        <v/>
      </c>
      <c r="E155" t="str" s="12">
        <f>IF('Model inputs'!E22="","",'Model inputs'!E22)</f>
        <v/>
      </c>
      <c r="F155" t="str" s="12">
        <f>IF('Model inputs'!F22="","",'Model inputs'!F22)</f>
        <v/>
      </c>
      <c r="G155" t="str" s="12">
        <f>IF('Model inputs'!G22="","",'Model inputs'!G22)</f>
        <v/>
      </c>
      <c r="H155" t="str" s="12">
        <f>IF('Model inputs'!H22="","",'Model inputs'!H22)</f>
        <v/>
      </c>
      <c r="I155" t="str" s="12">
        <f>IF('Model inputs'!I22="","",'Model inputs'!I22)</f>
        <v/>
      </c>
      <c r="J155" t="str" s="12">
        <f>IF('Model inputs'!J22="","",'Model inputs'!J22)</f>
        <v/>
      </c>
      <c r="K155" t="str" s="12">
        <f>IF('Model inputs'!K22="","",'Model inputs'!K22)</f>
        <v/>
      </c>
      <c r="L155" t="str" s="12">
        <f>IF('Model inputs'!L22="","",'Model inputs'!L22)</f>
        <v/>
      </c>
      <c r="M155" t="str" s="12">
        <f>IF('Model inputs'!M22="","",'Model inputs'!M22)</f>
        <v/>
      </c>
      <c r="N155" t="str" s="12">
        <f>IF('Model inputs'!N22="","",'Model inputs'!N22)</f>
        <v/>
      </c>
      <c r="Q155" s="12">
        <f>SUM('Model inputs'!Q156,'Model inputs'!Q157,'Model inputs'!Q158,'Model inputs'!Q159,'Model inputs'!Q160)</f>
        <v>0</v>
      </c>
      <c r="R155" s="12">
        <f>SUM('Model inputs'!R156,'Model inputs'!R157,'Model inputs'!R158,'Model inputs'!R159,'Model inputs'!R160)</f>
        <v>0</v>
      </c>
      <c r="S155" s="12">
        <f>SUM('Model inputs'!S156,'Model inputs'!S157,'Model inputs'!S158,'Model inputs'!S159,'Model inputs'!S160)</f>
        <v>0</v>
      </c>
      <c r="T155" s="12">
        <f>SUM('Model inputs'!T156,'Model inputs'!T157,'Model inputs'!T158,'Model inputs'!T159,'Model inputs'!T160)</f>
        <v>0</v>
      </c>
      <c r="U155" s="12">
        <f>SUM('Model inputs'!U156,'Model inputs'!U157,'Model inputs'!U158,'Model inputs'!U159,'Model inputs'!U160)</f>
        <v>0</v>
      </c>
      <c r="V155" s="12">
        <f>SUM('Model inputs'!V156,'Model inputs'!V157,'Model inputs'!V158,'Model inputs'!V159,'Model inputs'!V160)</f>
        <v>0</v>
      </c>
      <c r="W155" s="12">
        <f>SUM('Model inputs'!W156,'Model inputs'!W157,'Model inputs'!W158,'Model inputs'!W159,'Model inputs'!W160)</f>
        <v>0</v>
      </c>
      <c r="X155" s="12">
        <f>SUM('Model inputs'!X156,'Model inputs'!X157,'Model inputs'!X158,'Model inputs'!X159,'Model inputs'!X160)</f>
        <v>0</v>
      </c>
    </row>
    <row r="156" outlineLevel="1">
      <c r="A156" t="inlineStr" s="15">
        <is>
          <t xml:space="preserve">Cash collections &gt; Annual deal-team</t>
        </is>
      </c>
      <c r="B156" s="10">
        <f>IF('Model inputs'!B23="","",'Model inputs'!B23)</f>
        <v>0</v>
      </c>
      <c r="C156" s="10">
        <f>IF('Model inputs'!C23="","",'Model inputs'!C23)</f>
        <v>32500</v>
      </c>
      <c r="D156" s="10">
        <f>IF('Model inputs'!D23="","",'Model inputs'!D23)</f>
        <v>35000</v>
      </c>
      <c r="E156" s="10">
        <f>IF('Model inputs'!E23="","",'Model inputs'!E23)</f>
        <v>37500</v>
      </c>
      <c r="F156" s="10">
        <f>IF('Model inputs'!F23="","",'Model inputs'!F23)</f>
        <v>40000</v>
      </c>
      <c r="G156" s="10">
        <f>IF('Model inputs'!G23="","",'Model inputs'!G23)</f>
        <v>42500</v>
      </c>
      <c r="H156" s="10">
        <f>IF('Model inputs'!H23="","",'Model inputs'!H23)</f>
        <v>45000</v>
      </c>
      <c r="I156" s="10">
        <f>IF('Model inputs'!I23="","",'Model inputs'!I23)</f>
        <v>47500</v>
      </c>
      <c r="J156" s="10">
        <f>IF('Model inputs'!J23="","",'Model inputs'!J23)</f>
        <v>50000</v>
      </c>
      <c r="K156" s="10">
        <f>IF('Model inputs'!K23="","",'Model inputs'!K23)</f>
        <v>52500</v>
      </c>
      <c r="L156" s="10">
        <f>IF('Model inputs'!L23="","",'Model inputs'!L23)</f>
        <v>55000</v>
      </c>
      <c r="M156" s="10">
        <f>IF('Model inputs'!M23="","",'Model inputs'!M23)</f>
        <v>57500</v>
      </c>
      <c r="N156" s="10">
        <f>IF('Model inputs'!N23="","",'Model inputs'!N23)</f>
        <v>60000</v>
      </c>
      <c r="Q156" s="10">
        <f>0</f>
        <v>0</v>
      </c>
      <c r="R156" s="10">
        <f>0</f>
        <v>0</v>
      </c>
      <c r="S156" s="10">
        <f>0</f>
        <v>0</v>
      </c>
      <c r="T156" s="10">
        <f>0</f>
        <v>0</v>
      </c>
      <c r="U156" s="10">
        <f>0</f>
        <v>0</v>
      </c>
      <c r="V156" s="10">
        <f>0</f>
        <v>0</v>
      </c>
      <c r="W156" s="10">
        <f>0</f>
        <v>0</v>
      </c>
      <c r="X156" s="10">
        <f>0</f>
        <v>0</v>
      </c>
    </row>
    <row r="157" outlineLevel="1">
      <c r="A157" t="inlineStr" s="15">
        <is>
          <t xml:space="preserve">Cash collections &gt; Hybrid</t>
        </is>
      </c>
      <c r="B157" s="10">
        <f>IF('Model inputs'!B24="","",'Model inputs'!B24)</f>
        <v>0</v>
      </c>
      <c r="C157" s="10">
        <f>IF('Model inputs'!C24="","",'Model inputs'!C24)</f>
        <v>12500</v>
      </c>
      <c r="D157" s="10">
        <f>IF('Model inputs'!D24="","",'Model inputs'!D24)</f>
        <v>17500</v>
      </c>
      <c r="E157" s="10">
        <f>IF('Model inputs'!E24="","",'Model inputs'!E24)</f>
        <v>22500</v>
      </c>
      <c r="F157" s="10">
        <f>IF('Model inputs'!F24="","",'Model inputs'!F24)</f>
        <v>27500</v>
      </c>
      <c r="G157" s="10">
        <f>IF('Model inputs'!G24="","",'Model inputs'!G24)</f>
        <v>32500</v>
      </c>
      <c r="H157" s="10">
        <f>IF('Model inputs'!H24="","",'Model inputs'!H24)</f>
        <v>37500</v>
      </c>
      <c r="I157" s="10">
        <f>IF('Model inputs'!I24="","",'Model inputs'!I24)</f>
        <v>42500</v>
      </c>
      <c r="J157" s="10">
        <f>IF('Model inputs'!J24="","",'Model inputs'!J24)</f>
        <v>47500</v>
      </c>
      <c r="K157" s="10">
        <f>IF('Model inputs'!K24="","",'Model inputs'!K24)</f>
        <v>52500</v>
      </c>
      <c r="L157" s="10">
        <f>IF('Model inputs'!L24="","",'Model inputs'!L24)</f>
        <v>57500</v>
      </c>
      <c r="M157" s="10">
        <f>IF('Model inputs'!M24="","",'Model inputs'!M24)</f>
        <v>62500</v>
      </c>
      <c r="N157" s="10">
        <f>IF('Model inputs'!N24="","",'Model inputs'!N24)</f>
        <v>67500</v>
      </c>
      <c r="Q157" s="10">
        <f>0</f>
        <v>0</v>
      </c>
      <c r="R157" s="10">
        <f>0</f>
        <v>0</v>
      </c>
      <c r="S157" s="10">
        <f>0</f>
        <v>0</v>
      </c>
      <c r="T157" s="10">
        <f>0</f>
        <v>0</v>
      </c>
      <c r="U157" s="10">
        <f>0</f>
        <v>0</v>
      </c>
      <c r="V157" s="10">
        <f>0</f>
        <v>0</v>
      </c>
      <c r="W157" s="10">
        <f>0</f>
        <v>0</v>
      </c>
      <c r="X157" s="10">
        <f>0</f>
        <v>0</v>
      </c>
    </row>
    <row r="158" outlineLevel="1">
      <c r="A158" t="inlineStr" s="15">
        <is>
          <t xml:space="preserve">Cash collections &gt; Per audit — base</t>
        </is>
      </c>
      <c r="B158" s="10">
        <f>IF('Model inputs'!B25="","",'Model inputs'!B25)</f>
        <v>0</v>
      </c>
      <c r="C158" s="10">
        <f>IF('Model inputs'!C25="","",'Model inputs'!C25)</f>
        <v>7500</v>
      </c>
      <c r="D158" s="10">
        <f>IF('Model inputs'!D25="","",'Model inputs'!D25)</f>
        <v>15000</v>
      </c>
      <c r="E158" s="10">
        <f>IF('Model inputs'!E25="","",'Model inputs'!E25)</f>
        <v>22500</v>
      </c>
      <c r="F158" s="10">
        <f>IF('Model inputs'!F25="","",'Model inputs'!F25)</f>
        <v>30000</v>
      </c>
      <c r="G158" s="10">
        <f>IF('Model inputs'!G25="","",'Model inputs'!G25)</f>
        <v>37500</v>
      </c>
      <c r="H158" s="10">
        <f>IF('Model inputs'!H25="","",'Model inputs'!H25)</f>
        <v>45000</v>
      </c>
      <c r="I158" s="10">
        <f>IF('Model inputs'!I25="","",'Model inputs'!I25)</f>
        <v>52500</v>
      </c>
      <c r="J158" s="10">
        <f>IF('Model inputs'!J25="","",'Model inputs'!J25)</f>
        <v>60000</v>
      </c>
      <c r="K158" s="10">
        <f>IF('Model inputs'!K25="","",'Model inputs'!K25)</f>
        <v>67500</v>
      </c>
      <c r="L158" s="10">
        <f>IF('Model inputs'!L25="","",'Model inputs'!L25)</f>
        <v>75000</v>
      </c>
      <c r="M158" s="10">
        <f>IF('Model inputs'!M25="","",'Model inputs'!M25)</f>
        <v>82500</v>
      </c>
      <c r="N158" s="10">
        <f>IF('Model inputs'!N25="","",'Model inputs'!N25)</f>
        <v>90000</v>
      </c>
      <c r="Q158" s="10">
        <f>0</f>
        <v>0</v>
      </c>
      <c r="R158" s="10">
        <f>0</f>
        <v>0</v>
      </c>
      <c r="S158" s="10">
        <f>0</f>
        <v>0</v>
      </c>
      <c r="T158" s="10">
        <f>0</f>
        <v>0</v>
      </c>
      <c r="U158" s="10">
        <f>0</f>
        <v>0</v>
      </c>
      <c r="V158" s="10">
        <f>0</f>
        <v>0</v>
      </c>
      <c r="W158" s="10">
        <f>0</f>
        <v>0</v>
      </c>
      <c r="X158" s="10">
        <f>0</f>
        <v>0</v>
      </c>
    </row>
    <row r="159" outlineLevel="1">
      <c r="A159" t="inlineStr" s="15">
        <is>
          <t xml:space="preserve">Cash collections &gt; Per audit — high</t>
        </is>
      </c>
      <c r="B159" s="10">
        <f>IF('Model inputs'!B26="","",'Model inputs'!B26)</f>
        <v>0</v>
      </c>
      <c r="C159" s="10">
        <f>IF('Model inputs'!C26="","",'Model inputs'!C26)</f>
        <v>15000</v>
      </c>
      <c r="D159" s="10">
        <f>IF('Model inputs'!D26="","",'Model inputs'!D26)</f>
        <v>30000</v>
      </c>
      <c r="E159" s="10">
        <f>IF('Model inputs'!E26="","",'Model inputs'!E26)</f>
        <v>45000</v>
      </c>
      <c r="F159" s="10">
        <f>IF('Model inputs'!F26="","",'Model inputs'!F26)</f>
        <v>60000</v>
      </c>
      <c r="G159" s="10">
        <f>IF('Model inputs'!G26="","",'Model inputs'!G26)</f>
        <v>75000</v>
      </c>
      <c r="H159" s="10">
        <f>IF('Model inputs'!H26="","",'Model inputs'!H26)</f>
        <v>90000</v>
      </c>
      <c r="I159" s="10">
        <f>IF('Model inputs'!I26="","",'Model inputs'!I26)</f>
        <v>105000</v>
      </c>
      <c r="J159" s="10">
        <f>IF('Model inputs'!J26="","",'Model inputs'!J26)</f>
        <v>120000</v>
      </c>
      <c r="K159" s="10">
        <f>IF('Model inputs'!K26="","",'Model inputs'!K26)</f>
        <v>135000</v>
      </c>
      <c r="L159" s="10">
        <f>IF('Model inputs'!L26="","",'Model inputs'!L26)</f>
        <v>150000</v>
      </c>
      <c r="M159" s="10">
        <f>IF('Model inputs'!M26="","",'Model inputs'!M26)</f>
        <v>165000</v>
      </c>
      <c r="N159" s="10">
        <f>IF('Model inputs'!N26="","",'Model inputs'!N26)</f>
        <v>180000</v>
      </c>
      <c r="Q159" s="10">
        <f>0</f>
        <v>0</v>
      </c>
      <c r="R159" s="10">
        <f>0</f>
        <v>0</v>
      </c>
      <c r="S159" s="10">
        <f>0</f>
        <v>0</v>
      </c>
      <c r="T159" s="10">
        <f>0</f>
        <v>0</v>
      </c>
      <c r="U159" s="10">
        <f>0</f>
        <v>0</v>
      </c>
      <c r="V159" s="10">
        <f>0</f>
        <v>0</v>
      </c>
      <c r="W159" s="10">
        <f>0</f>
        <v>0</v>
      </c>
      <c r="X159" s="10">
        <f>0</f>
        <v>0</v>
      </c>
    </row>
    <row r="160" outlineLevel="1">
      <c r="A160" t="inlineStr" s="15">
        <is>
          <t xml:space="preserve">Cash collections &gt; Per audit — low</t>
        </is>
      </c>
      <c r="B160" s="10">
        <f>IF('Model inputs'!B27="","",'Model inputs'!B27)</f>
        <v>0</v>
      </c>
      <c r="C160" s="10">
        <f>IF('Model inputs'!C27="","",'Model inputs'!C27)</f>
        <v>3750</v>
      </c>
      <c r="D160" s="10">
        <f>IF('Model inputs'!D27="","",'Model inputs'!D27)</f>
        <v>7500</v>
      </c>
      <c r="E160" s="10">
        <f>IF('Model inputs'!E27="","",'Model inputs'!E27)</f>
        <v>11250</v>
      </c>
      <c r="F160" s="10">
        <f>IF('Model inputs'!F27="","",'Model inputs'!F27)</f>
        <v>15000</v>
      </c>
      <c r="G160" s="10">
        <f>IF('Model inputs'!G27="","",'Model inputs'!G27)</f>
        <v>18750</v>
      </c>
      <c r="H160" s="10">
        <f>IF('Model inputs'!H27="","",'Model inputs'!H27)</f>
        <v>22500</v>
      </c>
      <c r="I160" s="10">
        <f>IF('Model inputs'!I27="","",'Model inputs'!I27)</f>
        <v>26250</v>
      </c>
      <c r="J160" s="10">
        <f>IF('Model inputs'!J27="","",'Model inputs'!J27)</f>
        <v>30000</v>
      </c>
      <c r="K160" s="10">
        <f>IF('Model inputs'!K27="","",'Model inputs'!K27)</f>
        <v>33750</v>
      </c>
      <c r="L160" s="10">
        <f>IF('Model inputs'!L27="","",'Model inputs'!L27)</f>
        <v>37500</v>
      </c>
      <c r="M160" s="10">
        <f>IF('Model inputs'!M27="","",'Model inputs'!M27)</f>
        <v>41250</v>
      </c>
      <c r="N160" s="10">
        <f>IF('Model inputs'!N27="","",'Model inputs'!N27)</f>
        <v>45000</v>
      </c>
      <c r="Q160" s="10">
        <f>0</f>
        <v>0</v>
      </c>
      <c r="R160" s="10">
        <f>0</f>
        <v>0</v>
      </c>
      <c r="S160" s="10">
        <f>0</f>
        <v>0</v>
      </c>
      <c r="T160" s="10">
        <f>0</f>
        <v>0</v>
      </c>
      <c r="U160" s="10">
        <f>0</f>
        <v>0</v>
      </c>
      <c r="V160" s="10">
        <f>0</f>
        <v>0</v>
      </c>
      <c r="W160" s="10">
        <f>0</f>
        <v>0</v>
      </c>
      <c r="X160" s="10">
        <f>0</f>
        <v>0</v>
      </c>
    </row>
    <row r="161">
      <c r="A161" t="inlineStr" s="14">
        <is>
          <t xml:space="preserve">Cash collections</t>
        </is>
      </c>
      <c r="B161" s="12">
        <f>IF('Model inputs'!B22="","",'Model inputs'!B22)</f>
        <v>0</v>
      </c>
      <c r="C161" t="str" s="12">
        <f>IF('Model inputs'!C22="","",'Model inputs'!C22)</f>
        <v/>
      </c>
      <c r="D161" t="str" s="12">
        <f>IF('Model inputs'!D22="","",'Model inputs'!D22)</f>
        <v/>
      </c>
      <c r="E161" t="str" s="12">
        <f>IF('Model inputs'!E22="","",'Model inputs'!E22)</f>
        <v/>
      </c>
      <c r="F161" t="str" s="12">
        <f>IF('Model inputs'!F22="","",'Model inputs'!F22)</f>
        <v/>
      </c>
      <c r="G161" t="str" s="12">
        <f>IF('Model inputs'!G22="","",'Model inputs'!G22)</f>
        <v/>
      </c>
      <c r="H161" t="str" s="12">
        <f>IF('Model inputs'!H22="","",'Model inputs'!H22)</f>
        <v/>
      </c>
      <c r="I161" t="str" s="12">
        <f>IF('Model inputs'!I22="","",'Model inputs'!I22)</f>
        <v/>
      </c>
      <c r="J161" t="str" s="12">
        <f>IF('Model inputs'!J22="","",'Model inputs'!J22)</f>
        <v/>
      </c>
      <c r="K161" t="str" s="12">
        <f>IF('Model inputs'!K22="","",'Model inputs'!K22)</f>
        <v/>
      </c>
      <c r="L161" t="str" s="12">
        <f>IF('Model inputs'!L22="","",'Model inputs'!L22)</f>
        <v/>
      </c>
      <c r="M161" t="str" s="12">
        <f>IF('Model inputs'!M22="","",'Model inputs'!M22)</f>
        <v/>
      </c>
      <c r="N161" t="str" s="12">
        <f>IF('Model inputs'!N22="","",'Model inputs'!N22)</f>
        <v/>
      </c>
      <c r="Q161" s="12">
        <f>IF('Model inputs'!Q155="","",'Model inputs'!Q155)</f>
        <v>0</v>
      </c>
      <c r="R161" s="12">
        <f>IF('Model inputs'!R155="","",'Model inputs'!R155)</f>
        <v>0</v>
      </c>
      <c r="S161" s="12">
        <f>IF('Model inputs'!S155="","",'Model inputs'!S155)</f>
        <v>0</v>
      </c>
      <c r="T161" s="12">
        <f>IF('Model inputs'!T155="","",'Model inputs'!T155)</f>
        <v>0</v>
      </c>
      <c r="U161" s="12">
        <f>IF('Model inputs'!U155="","",'Model inputs'!U155)</f>
        <v>0</v>
      </c>
      <c r="V161" s="12">
        <f>IF('Model inputs'!V155="","",'Model inputs'!V155)</f>
        <v>0</v>
      </c>
      <c r="W161" s="12">
        <f>IF('Model inputs'!W155="","",'Model inputs'!W155)</f>
        <v>0</v>
      </c>
      <c r="X161" s="12">
        <f>IF('Model inputs'!X155="","",'Model inputs'!X155)</f>
        <v>0</v>
      </c>
      <c r="Y161" t="str" s="12">
        <f>""</f>
        <v/>
      </c>
      <c r="Z161" t="str" s="12">
        <f>""</f>
        <v/>
      </c>
      <c r="AA161" t="str" s="12">
        <f>""</f>
        <v/>
      </c>
    </row>
    <row r="162" outlineLevel="1">
      <c r="A162" t="inlineStr" s="15">
        <is>
          <t xml:space="preserve">Cash collections &gt; Annual deal-team</t>
        </is>
      </c>
      <c r="B162" s="10">
        <f>IF('Model inputs'!B23="","",'Model inputs'!B23)</f>
        <v>0</v>
      </c>
      <c r="C162" s="10">
        <f>IF('Model inputs'!C23="","",'Model inputs'!C23)</f>
        <v>32500</v>
      </c>
      <c r="D162" s="10">
        <f>IF('Model inputs'!D23="","",'Model inputs'!D23)</f>
        <v>35000</v>
      </c>
      <c r="E162" s="10">
        <f>IF('Model inputs'!E23="","",'Model inputs'!E23)</f>
        <v>37500</v>
      </c>
      <c r="F162" s="10">
        <f>IF('Model inputs'!F23="","",'Model inputs'!F23)</f>
        <v>40000</v>
      </c>
      <c r="G162" s="10">
        <f>IF('Model inputs'!G23="","",'Model inputs'!G23)</f>
        <v>42500</v>
      </c>
      <c r="H162" s="10">
        <f>IF('Model inputs'!H23="","",'Model inputs'!H23)</f>
        <v>45000</v>
      </c>
      <c r="I162" s="10">
        <f>IF('Model inputs'!I23="","",'Model inputs'!I23)</f>
        <v>47500</v>
      </c>
      <c r="J162" s="10">
        <f>IF('Model inputs'!J23="","",'Model inputs'!J23)</f>
        <v>50000</v>
      </c>
      <c r="K162" s="10">
        <f>IF('Model inputs'!K23="","",'Model inputs'!K23)</f>
        <v>52500</v>
      </c>
      <c r="L162" s="10">
        <f>IF('Model inputs'!L23="","",'Model inputs'!L23)</f>
        <v>55000</v>
      </c>
      <c r="M162" s="10">
        <f>IF('Model inputs'!M23="","",'Model inputs'!M23)</f>
        <v>57500</v>
      </c>
      <c r="N162" s="10">
        <f>IF('Model inputs'!N23="","",'Model inputs'!N23)</f>
        <v>60000</v>
      </c>
      <c r="Q162" s="10">
        <f>IF('Model inputs'!Q156="","",'Model inputs'!Q156)</f>
        <v>0</v>
      </c>
      <c r="R162" s="10">
        <f>IF('Model inputs'!R156="","",'Model inputs'!R156)</f>
        <v>0</v>
      </c>
      <c r="S162" s="10">
        <f>IF('Model inputs'!S156="","",'Model inputs'!S156)</f>
        <v>0</v>
      </c>
      <c r="T162" s="10">
        <f>IF('Model inputs'!T156="","",'Model inputs'!T156)</f>
        <v>0</v>
      </c>
      <c r="U162" s="10">
        <f>IF('Model inputs'!U156="","",'Model inputs'!U156)</f>
        <v>0</v>
      </c>
      <c r="V162" s="10">
        <f>IF('Model inputs'!V156="","",'Model inputs'!V156)</f>
        <v>0</v>
      </c>
      <c r="W162" s="10">
        <f>IF('Model inputs'!W156="","",'Model inputs'!W156)</f>
        <v>0</v>
      </c>
      <c r="X162" s="10">
        <f>IF('Model inputs'!X156="","",'Model inputs'!X156)</f>
        <v>0</v>
      </c>
      <c r="Y162" s="10">
        <f>'Model inputs'!Y246*'Model inputs'!O150*(1-'Model inputs'!O144)+'Model inputs'!Y180-'Model inputs'!Y253*'Model inputs'!O150/12*(1-'Model inputs'!O144)</f>
        <v>30000</v>
      </c>
      <c r="Z162" s="10">
        <f>'Model inputs'!Z246*'Model inputs'!O150*(1-'Model inputs'!O144)+'Model inputs'!Z180-'Model inputs'!Z253*'Model inputs'!O150/12*(1-'Model inputs'!O144)</f>
        <v>30000</v>
      </c>
      <c r="AA162" s="10">
        <f>'Model inputs'!AA246*'Model inputs'!O150*(1-'Model inputs'!O144)+'Model inputs'!AA180-'Model inputs'!AA253*'Model inputs'!O150/12*(1-'Model inputs'!O144)</f>
        <v>30000</v>
      </c>
    </row>
    <row r="163" outlineLevel="1">
      <c r="A163" t="inlineStr" s="15">
        <is>
          <t xml:space="preserve">Cash collections &gt; Hybrid</t>
        </is>
      </c>
      <c r="B163" s="10">
        <f>IF('Model inputs'!B24="","",'Model inputs'!B24)</f>
        <v>0</v>
      </c>
      <c r="C163" s="10">
        <f>IF('Model inputs'!C24="","",'Model inputs'!C24)</f>
        <v>12500</v>
      </c>
      <c r="D163" s="10">
        <f>IF('Model inputs'!D24="","",'Model inputs'!D24)</f>
        <v>17500</v>
      </c>
      <c r="E163" s="10">
        <f>IF('Model inputs'!E24="","",'Model inputs'!E24)</f>
        <v>22500</v>
      </c>
      <c r="F163" s="10">
        <f>IF('Model inputs'!F24="","",'Model inputs'!F24)</f>
        <v>27500</v>
      </c>
      <c r="G163" s="10">
        <f>IF('Model inputs'!G24="","",'Model inputs'!G24)</f>
        <v>32500</v>
      </c>
      <c r="H163" s="10">
        <f>IF('Model inputs'!H24="","",'Model inputs'!H24)</f>
        <v>37500</v>
      </c>
      <c r="I163" s="10">
        <f>IF('Model inputs'!I24="","",'Model inputs'!I24)</f>
        <v>42500</v>
      </c>
      <c r="J163" s="10">
        <f>IF('Model inputs'!J24="","",'Model inputs'!J24)</f>
        <v>47500</v>
      </c>
      <c r="K163" s="10">
        <f>IF('Model inputs'!K24="","",'Model inputs'!K24)</f>
        <v>52500</v>
      </c>
      <c r="L163" s="10">
        <f>IF('Model inputs'!L24="","",'Model inputs'!L24)</f>
        <v>57500</v>
      </c>
      <c r="M163" s="10">
        <f>IF('Model inputs'!M24="","",'Model inputs'!M24)</f>
        <v>62500</v>
      </c>
      <c r="N163" s="10">
        <f>IF('Model inputs'!N24="","",'Model inputs'!N24)</f>
        <v>67500</v>
      </c>
      <c r="Q163" s="10">
        <f>IF('Model inputs'!Q157="","",'Model inputs'!Q157)</f>
        <v>0</v>
      </c>
      <c r="R163" s="10">
        <f>IF('Model inputs'!R157="","",'Model inputs'!R157)</f>
        <v>0</v>
      </c>
      <c r="S163" s="10">
        <f>IF('Model inputs'!S157="","",'Model inputs'!S157)</f>
        <v>0</v>
      </c>
      <c r="T163" s="10">
        <f>IF('Model inputs'!T157="","",'Model inputs'!T157)</f>
        <v>0</v>
      </c>
      <c r="U163" s="10">
        <f>IF('Model inputs'!U157="","",'Model inputs'!U157)</f>
        <v>0</v>
      </c>
      <c r="V163" s="10">
        <f>IF('Model inputs'!V157="","",'Model inputs'!V157)</f>
        <v>0</v>
      </c>
      <c r="W163" s="10">
        <f>IF('Model inputs'!W157="","",'Model inputs'!W157)</f>
        <v>0</v>
      </c>
      <c r="X163" s="10">
        <f>IF('Model inputs'!X157="","",'Model inputs'!X157)</f>
        <v>0</v>
      </c>
      <c r="Y163" s="10">
        <f>'Model inputs'!Y246*'Model inputs'!O151*(1-'Model inputs'!O144)+'Model inputs'!Y181-'Model inputs'!Y253*'Model inputs'!O151/12*(1-'Model inputs'!O144)</f>
        <v>60000</v>
      </c>
      <c r="Z163" s="10">
        <f>'Model inputs'!Z246*'Model inputs'!O151*(1-'Model inputs'!O144)+'Model inputs'!Z181-'Model inputs'!Z253*'Model inputs'!O151/12*(1-'Model inputs'!O144)</f>
        <v>60000</v>
      </c>
      <c r="AA163" s="10">
        <f>'Model inputs'!AA246*'Model inputs'!O151*(1-'Model inputs'!O144)+'Model inputs'!AA181-'Model inputs'!AA253*'Model inputs'!O151/12*(1-'Model inputs'!O144)</f>
        <v>60000</v>
      </c>
    </row>
    <row r="164" outlineLevel="1">
      <c r="A164" t="inlineStr" s="15">
        <is>
          <t xml:space="preserve">Cash collections &gt; Per audit — base</t>
        </is>
      </c>
      <c r="B164" s="10">
        <f>IF('Model inputs'!B25="","",'Model inputs'!B25)</f>
        <v>0</v>
      </c>
      <c r="C164" s="10">
        <f>IF('Model inputs'!C25="","",'Model inputs'!C25)</f>
        <v>7500</v>
      </c>
      <c r="D164" s="10">
        <f>IF('Model inputs'!D25="","",'Model inputs'!D25)</f>
        <v>15000</v>
      </c>
      <c r="E164" s="10">
        <f>IF('Model inputs'!E25="","",'Model inputs'!E25)</f>
        <v>22500</v>
      </c>
      <c r="F164" s="10">
        <f>IF('Model inputs'!F25="","",'Model inputs'!F25)</f>
        <v>30000</v>
      </c>
      <c r="G164" s="10">
        <f>IF('Model inputs'!G25="","",'Model inputs'!G25)</f>
        <v>37500</v>
      </c>
      <c r="H164" s="10">
        <f>IF('Model inputs'!H25="","",'Model inputs'!H25)</f>
        <v>45000</v>
      </c>
      <c r="I164" s="10">
        <f>IF('Model inputs'!I25="","",'Model inputs'!I25)</f>
        <v>52500</v>
      </c>
      <c r="J164" s="10">
        <f>IF('Model inputs'!J25="","",'Model inputs'!J25)</f>
        <v>60000</v>
      </c>
      <c r="K164" s="10">
        <f>IF('Model inputs'!K25="","",'Model inputs'!K25)</f>
        <v>67500</v>
      </c>
      <c r="L164" s="10">
        <f>IF('Model inputs'!L25="","",'Model inputs'!L25)</f>
        <v>75000</v>
      </c>
      <c r="M164" s="10">
        <f>IF('Model inputs'!M25="","",'Model inputs'!M25)</f>
        <v>82500</v>
      </c>
      <c r="N164" s="10">
        <f>IF('Model inputs'!N25="","",'Model inputs'!N25)</f>
        <v>90000</v>
      </c>
      <c r="Q164" s="10">
        <f>IF('Model inputs'!Q158="","",'Model inputs'!Q158)</f>
        <v>0</v>
      </c>
      <c r="R164" s="10">
        <f>IF('Model inputs'!R158="","",'Model inputs'!R158)</f>
        <v>0</v>
      </c>
      <c r="S164" s="10">
        <f>IF('Model inputs'!S158="","",'Model inputs'!S158)</f>
        <v>0</v>
      </c>
      <c r="T164" s="10">
        <f>IF('Model inputs'!T158="","",'Model inputs'!T158)</f>
        <v>0</v>
      </c>
      <c r="U164" s="10">
        <f>IF('Model inputs'!U158="","",'Model inputs'!U158)</f>
        <v>0</v>
      </c>
      <c r="V164" s="10">
        <f>IF('Model inputs'!V158="","",'Model inputs'!V158)</f>
        <v>0</v>
      </c>
      <c r="W164" s="10">
        <f>IF('Model inputs'!W158="","",'Model inputs'!W158)</f>
        <v>0</v>
      </c>
      <c r="X164" s="10">
        <f>IF('Model inputs'!X158="","",'Model inputs'!X158)</f>
        <v>0</v>
      </c>
      <c r="Y164" s="10">
        <f>'Model inputs'!Y246*'Model inputs'!O152*(1-'Model inputs'!O144)+'Model inputs'!Y182-'Model inputs'!Y253*'Model inputs'!O152/12*(1-'Model inputs'!O144)</f>
        <v>90000</v>
      </c>
      <c r="Z164" s="10">
        <f>'Model inputs'!Z246*'Model inputs'!O152*(1-'Model inputs'!O144)+'Model inputs'!Z182-'Model inputs'!Z253*'Model inputs'!O152/12*(1-'Model inputs'!O144)</f>
        <v>90000</v>
      </c>
      <c r="AA164" s="10">
        <f>'Model inputs'!AA246*'Model inputs'!O152*(1-'Model inputs'!O144)+'Model inputs'!AA182-'Model inputs'!AA253*'Model inputs'!O152/12*(1-'Model inputs'!O144)</f>
        <v>90000</v>
      </c>
    </row>
    <row r="165" outlineLevel="1">
      <c r="A165" t="inlineStr" s="15">
        <is>
          <t xml:space="preserve">Cash collections &gt; Per audit — high</t>
        </is>
      </c>
      <c r="B165" s="10">
        <f>IF('Model inputs'!B26="","",'Model inputs'!B26)</f>
        <v>0</v>
      </c>
      <c r="C165" s="10">
        <f>IF('Model inputs'!C26="","",'Model inputs'!C26)</f>
        <v>15000</v>
      </c>
      <c r="D165" s="10">
        <f>IF('Model inputs'!D26="","",'Model inputs'!D26)</f>
        <v>30000</v>
      </c>
      <c r="E165" s="10">
        <f>IF('Model inputs'!E26="","",'Model inputs'!E26)</f>
        <v>45000</v>
      </c>
      <c r="F165" s="10">
        <f>IF('Model inputs'!F26="","",'Model inputs'!F26)</f>
        <v>60000</v>
      </c>
      <c r="G165" s="10">
        <f>IF('Model inputs'!G26="","",'Model inputs'!G26)</f>
        <v>75000</v>
      </c>
      <c r="H165" s="10">
        <f>IF('Model inputs'!H26="","",'Model inputs'!H26)</f>
        <v>90000</v>
      </c>
      <c r="I165" s="10">
        <f>IF('Model inputs'!I26="","",'Model inputs'!I26)</f>
        <v>105000</v>
      </c>
      <c r="J165" s="10">
        <f>IF('Model inputs'!J26="","",'Model inputs'!J26)</f>
        <v>120000</v>
      </c>
      <c r="K165" s="10">
        <f>IF('Model inputs'!K26="","",'Model inputs'!K26)</f>
        <v>135000</v>
      </c>
      <c r="L165" s="10">
        <f>IF('Model inputs'!L26="","",'Model inputs'!L26)</f>
        <v>150000</v>
      </c>
      <c r="M165" s="10">
        <f>IF('Model inputs'!M26="","",'Model inputs'!M26)</f>
        <v>165000</v>
      </c>
      <c r="N165" s="10">
        <f>IF('Model inputs'!N26="","",'Model inputs'!N26)</f>
        <v>180000</v>
      </c>
      <c r="Q165" s="10">
        <f>IF('Model inputs'!Q159="","",'Model inputs'!Q159)</f>
        <v>0</v>
      </c>
      <c r="R165" s="10">
        <f>IF('Model inputs'!R159="","",'Model inputs'!R159)</f>
        <v>0</v>
      </c>
      <c r="S165" s="10">
        <f>IF('Model inputs'!S159="","",'Model inputs'!S159)</f>
        <v>0</v>
      </c>
      <c r="T165" s="10">
        <f>IF('Model inputs'!T159="","",'Model inputs'!T159)</f>
        <v>0</v>
      </c>
      <c r="U165" s="10">
        <f>IF('Model inputs'!U159="","",'Model inputs'!U159)</f>
        <v>0</v>
      </c>
      <c r="V165" s="10">
        <f>IF('Model inputs'!V159="","",'Model inputs'!V159)</f>
        <v>0</v>
      </c>
      <c r="W165" s="10">
        <f>IF('Model inputs'!W159="","",'Model inputs'!W159)</f>
        <v>0</v>
      </c>
      <c r="X165" s="10">
        <f>IF('Model inputs'!X159="","",'Model inputs'!X159)</f>
        <v>0</v>
      </c>
      <c r="Y165" s="10">
        <f>'Model inputs'!Y246*'Model inputs'!O153*(1-'Model inputs'!O144)+'Model inputs'!Y183-'Model inputs'!Y253*'Model inputs'!O153/12*(1-'Model inputs'!O144)</f>
        <v>180000</v>
      </c>
      <c r="Z165" s="10">
        <f>'Model inputs'!Z246*'Model inputs'!O153*(1-'Model inputs'!O144)+'Model inputs'!Z183-'Model inputs'!Z253*'Model inputs'!O153/12*(1-'Model inputs'!O144)</f>
        <v>180000</v>
      </c>
      <c r="AA165" s="10">
        <f>'Model inputs'!AA246*'Model inputs'!O153*(1-'Model inputs'!O144)+'Model inputs'!AA183-'Model inputs'!AA253*'Model inputs'!O153/12*(1-'Model inputs'!O144)</f>
        <v>180000</v>
      </c>
    </row>
    <row r="166" outlineLevel="1">
      <c r="A166" t="inlineStr" s="15">
        <is>
          <t xml:space="preserve">Cash collections &gt; Per audit — low</t>
        </is>
      </c>
      <c r="B166" s="10">
        <f>IF('Model inputs'!B27="","",'Model inputs'!B27)</f>
        <v>0</v>
      </c>
      <c r="C166" s="10">
        <f>IF('Model inputs'!C27="","",'Model inputs'!C27)</f>
        <v>3750</v>
      </c>
      <c r="D166" s="10">
        <f>IF('Model inputs'!D27="","",'Model inputs'!D27)</f>
        <v>7500</v>
      </c>
      <c r="E166" s="10">
        <f>IF('Model inputs'!E27="","",'Model inputs'!E27)</f>
        <v>11250</v>
      </c>
      <c r="F166" s="10">
        <f>IF('Model inputs'!F27="","",'Model inputs'!F27)</f>
        <v>15000</v>
      </c>
      <c r="G166" s="10">
        <f>IF('Model inputs'!G27="","",'Model inputs'!G27)</f>
        <v>18750</v>
      </c>
      <c r="H166" s="10">
        <f>IF('Model inputs'!H27="","",'Model inputs'!H27)</f>
        <v>22500</v>
      </c>
      <c r="I166" s="10">
        <f>IF('Model inputs'!I27="","",'Model inputs'!I27)</f>
        <v>26250</v>
      </c>
      <c r="J166" s="10">
        <f>IF('Model inputs'!J27="","",'Model inputs'!J27)</f>
        <v>30000</v>
      </c>
      <c r="K166" s="10">
        <f>IF('Model inputs'!K27="","",'Model inputs'!K27)</f>
        <v>33750</v>
      </c>
      <c r="L166" s="10">
        <f>IF('Model inputs'!L27="","",'Model inputs'!L27)</f>
        <v>37500</v>
      </c>
      <c r="M166" s="10">
        <f>IF('Model inputs'!M27="","",'Model inputs'!M27)</f>
        <v>41250</v>
      </c>
      <c r="N166" s="10">
        <f>IF('Model inputs'!N27="","",'Model inputs'!N27)</f>
        <v>45000</v>
      </c>
      <c r="Q166" s="10">
        <f>IF('Model inputs'!Q160="","",'Model inputs'!Q160)</f>
        <v>0</v>
      </c>
      <c r="R166" s="10">
        <f>IF('Model inputs'!R160="","",'Model inputs'!R160)</f>
        <v>0</v>
      </c>
      <c r="S166" s="10">
        <f>IF('Model inputs'!S160="","",'Model inputs'!S160)</f>
        <v>0</v>
      </c>
      <c r="T166" s="10">
        <f>IF('Model inputs'!T160="","",'Model inputs'!T160)</f>
        <v>0</v>
      </c>
      <c r="U166" s="10">
        <f>IF('Model inputs'!U160="","",'Model inputs'!U160)</f>
        <v>0</v>
      </c>
      <c r="V166" s="10">
        <f>IF('Model inputs'!V160="","",'Model inputs'!V160)</f>
        <v>0</v>
      </c>
      <c r="W166" s="10">
        <f>IF('Model inputs'!W160="","",'Model inputs'!W160)</f>
        <v>0</v>
      </c>
      <c r="X166" s="10">
        <f>IF('Model inputs'!X160="","",'Model inputs'!X160)</f>
        <v>0</v>
      </c>
      <c r="Y166" s="10">
        <f>'Model inputs'!Y246*'Model inputs'!O154*(1-'Model inputs'!O144)+'Model inputs'!Y184-'Model inputs'!Y253*'Model inputs'!O154/12*(1-'Model inputs'!O144)</f>
        <v>45000</v>
      </c>
      <c r="Z166" s="10">
        <f>'Model inputs'!Z246*'Model inputs'!O154*(1-'Model inputs'!O144)+'Model inputs'!Z184-'Model inputs'!Z253*'Model inputs'!O154/12*(1-'Model inputs'!O144)</f>
        <v>45000</v>
      </c>
      <c r="AA166" s="10">
        <f>'Model inputs'!AA246*'Model inputs'!O154*(1-'Model inputs'!O144)+'Model inputs'!AA184-'Model inputs'!AA253*'Model inputs'!O154/12*(1-'Model inputs'!O144)</f>
        <v>45000</v>
      </c>
    </row>
    <row r="167">
      <c r="A167" t="inlineStr" s="14">
        <is>
          <t xml:space="preserve">Contribution profit</t>
        </is>
      </c>
      <c r="B167" s="12">
        <f>SUM('Model inputs'!B168,'Model inputs'!B169,'Model inputs'!B170,'Model inputs'!B171,'Model inputs'!B172)</f>
        <v>0</v>
      </c>
      <c r="C167" t="str" s="12">
        <f>IF('Model inputs'!C38="","",'Model inputs'!C38)</f>
        <v/>
      </c>
      <c r="D167" t="str" s="12">
        <f>IF('Model inputs'!D38="","",'Model inputs'!D38)</f>
        <v/>
      </c>
      <c r="E167" t="str" s="12">
        <f>IF('Model inputs'!E38="","",'Model inputs'!E38)</f>
        <v/>
      </c>
      <c r="F167" t="str" s="12">
        <f>IF('Model inputs'!F38="","",'Model inputs'!F38)</f>
        <v/>
      </c>
      <c r="G167" t="str" s="12">
        <f>IF('Model inputs'!G38="","",'Model inputs'!G38)</f>
        <v/>
      </c>
      <c r="H167" t="str" s="12">
        <f>IF('Model inputs'!H38="","",'Model inputs'!H38)</f>
        <v/>
      </c>
      <c r="I167" t="str" s="12">
        <f>IF('Model inputs'!I38="","",'Model inputs'!I38)</f>
        <v/>
      </c>
      <c r="J167" t="str" s="12">
        <f>IF('Model inputs'!J38="","",'Model inputs'!J38)</f>
        <v/>
      </c>
      <c r="K167" t="str" s="12">
        <f>IF('Model inputs'!K38="","",'Model inputs'!K38)</f>
        <v/>
      </c>
      <c r="L167" t="str" s="12">
        <f>IF('Model inputs'!L38="","",'Model inputs'!L38)</f>
        <v/>
      </c>
      <c r="M167" t="str" s="12">
        <f>IF('Model inputs'!M38="","",'Model inputs'!M38)</f>
        <v/>
      </c>
      <c r="N167" t="str" s="12">
        <f>IF('Model inputs'!N38="","",'Model inputs'!N38)</f>
        <v/>
      </c>
      <c r="Q167" s="12">
        <f>SUM('Model inputs'!Q168,'Model inputs'!Q169,'Model inputs'!Q170,'Model inputs'!Q171,'Model inputs'!Q172)</f>
        <v>0</v>
      </c>
      <c r="R167" s="12">
        <f>SUM('Model inputs'!R168,'Model inputs'!R169,'Model inputs'!R170,'Model inputs'!R171,'Model inputs'!R172)</f>
        <v>0</v>
      </c>
      <c r="S167" s="12">
        <f>SUM('Model inputs'!S168,'Model inputs'!S169,'Model inputs'!S170,'Model inputs'!S171,'Model inputs'!S172)</f>
        <v>0</v>
      </c>
      <c r="T167" s="12">
        <f>SUM('Model inputs'!T168,'Model inputs'!T169,'Model inputs'!T170,'Model inputs'!T171,'Model inputs'!T172)</f>
        <v>0</v>
      </c>
      <c r="U167" s="12">
        <f>SUM('Model inputs'!U168,'Model inputs'!U169,'Model inputs'!U170,'Model inputs'!U171,'Model inputs'!U172)</f>
        <v>0</v>
      </c>
      <c r="V167" s="12">
        <f>SUM('Model inputs'!V168,'Model inputs'!V169,'Model inputs'!V170,'Model inputs'!V171,'Model inputs'!V172)</f>
        <v>0</v>
      </c>
      <c r="W167" s="12">
        <f>SUM('Model inputs'!W168,'Model inputs'!W169,'Model inputs'!W170,'Model inputs'!W171,'Model inputs'!W172)</f>
        <v>0</v>
      </c>
      <c r="X167" s="12">
        <f>SUM('Model inputs'!X168,'Model inputs'!X169,'Model inputs'!X170,'Model inputs'!X171,'Model inputs'!X172)</f>
        <v>0</v>
      </c>
      <c r="Y167" t="str" s="12">
        <f>""</f>
        <v/>
      </c>
      <c r="Z167" t="str" s="12">
        <f>""</f>
        <v/>
      </c>
      <c r="AA167" t="str" s="12">
        <f>""</f>
        <v/>
      </c>
    </row>
    <row r="168" outlineLevel="1">
      <c r="A168" t="inlineStr" s="15">
        <is>
          <t xml:space="preserve">Contribution profit &gt; Annual deal-team</t>
        </is>
      </c>
      <c r="B168" s="10">
        <f>0</f>
        <v>0</v>
      </c>
      <c r="C168" s="10">
        <f>IF('Model inputs'!C39="","",'Model inputs'!C39)</f>
        <v>4339.25</v>
      </c>
      <c r="D168" s="10">
        <f>IF('Model inputs'!D39="","",'Model inputs'!D39)</f>
        <v>8678.5</v>
      </c>
      <c r="E168" s="10">
        <f>IF('Model inputs'!E39="","",'Model inputs'!E39)</f>
        <v>13017.75</v>
      </c>
      <c r="F168" s="10">
        <f>IF('Model inputs'!F39="","",'Model inputs'!F39)</f>
        <v>17357</v>
      </c>
      <c r="G168" s="10">
        <f>IF('Model inputs'!G39="","",'Model inputs'!G39)</f>
        <v>21696.25</v>
      </c>
      <c r="H168" s="10">
        <f>IF('Model inputs'!H39="","",'Model inputs'!H39)</f>
        <v>26035.5</v>
      </c>
      <c r="I168" s="10">
        <f>IF('Model inputs'!I39="","",'Model inputs'!I39)</f>
        <v>30374.75</v>
      </c>
      <c r="J168" s="10">
        <f>IF('Model inputs'!J39="","",'Model inputs'!J39)</f>
        <v>34714</v>
      </c>
      <c r="K168" s="10">
        <f>IF('Model inputs'!K39="","",'Model inputs'!K39)</f>
        <v>39053.25</v>
      </c>
      <c r="L168" s="10">
        <f>IF('Model inputs'!L39="","",'Model inputs'!L39)</f>
        <v>43392.5</v>
      </c>
      <c r="M168" s="10">
        <f>IF('Model inputs'!M39="","",'Model inputs'!M39)</f>
        <v>47731.75</v>
      </c>
      <c r="N168" s="10">
        <f>IF('Model inputs'!N39="","",'Model inputs'!N39)</f>
        <v>52071</v>
      </c>
      <c r="Q168" s="10">
        <f>0</f>
        <v>0</v>
      </c>
      <c r="R168" s="10">
        <f>0</f>
        <v>0</v>
      </c>
      <c r="S168" s="10">
        <f>0</f>
        <v>0</v>
      </c>
      <c r="T168" s="10">
        <f>0</f>
        <v>0</v>
      </c>
      <c r="U168" s="10">
        <f>0</f>
        <v>0</v>
      </c>
      <c r="V168" s="10">
        <f>0</f>
        <v>0</v>
      </c>
      <c r="W168" s="10">
        <f>0</f>
        <v>0</v>
      </c>
      <c r="X168" s="10">
        <f>0</f>
        <v>0</v>
      </c>
      <c r="Y168" s="10">
        <f>'Model inputs'!Y234-'Model inputs'!Y180*'Model inputs'!O145-'Model inputs'!Y218</f>
        <v>52071</v>
      </c>
      <c r="Z168" s="10">
        <f>'Model inputs'!Z234-'Model inputs'!Z180*'Model inputs'!O145-'Model inputs'!Z218</f>
        <v>52071</v>
      </c>
      <c r="AA168" s="10">
        <f>'Model inputs'!AA234-'Model inputs'!AA180*'Model inputs'!O145-'Model inputs'!AA218</f>
        <v>52071</v>
      </c>
    </row>
    <row r="169" outlineLevel="1">
      <c r="A169" t="inlineStr" s="15">
        <is>
          <t xml:space="preserve">Contribution profit &gt; Hybrid</t>
        </is>
      </c>
      <c r="B169" s="10">
        <f>0</f>
        <v>0</v>
      </c>
      <c r="C169" s="10">
        <f>IF('Model inputs'!C40="","",'Model inputs'!C40)</f>
        <v>4945.5</v>
      </c>
      <c r="D169" s="10">
        <f>IF('Model inputs'!D40="","",'Model inputs'!D40)</f>
        <v>9891</v>
      </c>
      <c r="E169" s="10">
        <f>IF('Model inputs'!E40="","",'Model inputs'!E40)</f>
        <v>14836.5</v>
      </c>
      <c r="F169" s="10">
        <f>IF('Model inputs'!F40="","",'Model inputs'!F40)</f>
        <v>19782</v>
      </c>
      <c r="G169" s="10">
        <f>IF('Model inputs'!G40="","",'Model inputs'!G40)</f>
        <v>24727.5</v>
      </c>
      <c r="H169" s="10">
        <f>IF('Model inputs'!H40="","",'Model inputs'!H40)</f>
        <v>29673</v>
      </c>
      <c r="I169" s="10">
        <f>IF('Model inputs'!I40="","",'Model inputs'!I40)</f>
        <v>34618.5</v>
      </c>
      <c r="J169" s="10">
        <f>IF('Model inputs'!J40="","",'Model inputs'!J40)</f>
        <v>39564</v>
      </c>
      <c r="K169" s="10">
        <f>IF('Model inputs'!K40="","",'Model inputs'!K40)</f>
        <v>44509.5</v>
      </c>
      <c r="L169" s="10">
        <f>IF('Model inputs'!L40="","",'Model inputs'!L40)</f>
        <v>49455</v>
      </c>
      <c r="M169" s="10">
        <f>IF('Model inputs'!M40="","",'Model inputs'!M40)</f>
        <v>54400.5</v>
      </c>
      <c r="N169" s="10">
        <f>IF('Model inputs'!N40="","",'Model inputs'!N40)</f>
        <v>59346</v>
      </c>
      <c r="Q169" s="10">
        <f>0</f>
        <v>0</v>
      </c>
      <c r="R169" s="10">
        <f>0</f>
        <v>0</v>
      </c>
      <c r="S169" s="10">
        <f>0</f>
        <v>0</v>
      </c>
      <c r="T169" s="10">
        <f>0</f>
        <v>0</v>
      </c>
      <c r="U169" s="10">
        <f>0</f>
        <v>0</v>
      </c>
      <c r="V169" s="10">
        <f>0</f>
        <v>0</v>
      </c>
      <c r="W169" s="10">
        <f>0</f>
        <v>0</v>
      </c>
      <c r="X169" s="10">
        <f>0</f>
        <v>0</v>
      </c>
      <c r="Y169" s="10">
        <f>'Model inputs'!Y235-'Model inputs'!Y181*'Model inputs'!O145-'Model inputs'!Y219</f>
        <v>59346</v>
      </c>
      <c r="Z169" s="10">
        <f>'Model inputs'!Z235-'Model inputs'!Z181*'Model inputs'!O145-'Model inputs'!Z219</f>
        <v>59346</v>
      </c>
      <c r="AA169" s="10">
        <f>'Model inputs'!AA235-'Model inputs'!AA181*'Model inputs'!O145-'Model inputs'!AA219</f>
        <v>59346</v>
      </c>
    </row>
    <row r="170" outlineLevel="1">
      <c r="A170" t="inlineStr" s="15">
        <is>
          <t xml:space="preserve">Contribution profit &gt; Per audit — base</t>
        </is>
      </c>
      <c r="B170" s="10">
        <f>0</f>
        <v>0</v>
      </c>
      <c r="C170" s="10">
        <f>IF('Model inputs'!C41="","",'Model inputs'!C41)</f>
        <v>6764.25</v>
      </c>
      <c r="D170" s="10">
        <f>IF('Model inputs'!D41="","",'Model inputs'!D41)</f>
        <v>13528.5</v>
      </c>
      <c r="E170" s="10">
        <f>IF('Model inputs'!E41="","",'Model inputs'!E41)</f>
        <v>20292.75</v>
      </c>
      <c r="F170" s="10">
        <f>IF('Model inputs'!F41="","",'Model inputs'!F41)</f>
        <v>27057</v>
      </c>
      <c r="G170" s="10">
        <f>IF('Model inputs'!G41="","",'Model inputs'!G41)</f>
        <v>33821.25</v>
      </c>
      <c r="H170" s="10">
        <f>IF('Model inputs'!H41="","",'Model inputs'!H41)</f>
        <v>40585.5</v>
      </c>
      <c r="I170" s="10">
        <f>IF('Model inputs'!I41="","",'Model inputs'!I41)</f>
        <v>47349.75</v>
      </c>
      <c r="J170" s="10">
        <f>IF('Model inputs'!J41="","",'Model inputs'!J41)</f>
        <v>54114</v>
      </c>
      <c r="K170" s="10">
        <f>IF('Model inputs'!K41="","",'Model inputs'!K41)</f>
        <v>60878.25</v>
      </c>
      <c r="L170" s="10">
        <f>IF('Model inputs'!L41="","",'Model inputs'!L41)</f>
        <v>67642.5</v>
      </c>
      <c r="M170" s="10">
        <f>IF('Model inputs'!M41="","",'Model inputs'!M41)</f>
        <v>74406.75</v>
      </c>
      <c r="N170" s="10">
        <f>IF('Model inputs'!N41="","",'Model inputs'!N41)</f>
        <v>81171</v>
      </c>
      <c r="Q170" s="10">
        <f>0</f>
        <v>0</v>
      </c>
      <c r="R170" s="10">
        <f>0</f>
        <v>0</v>
      </c>
      <c r="S170" s="10">
        <f>0</f>
        <v>0</v>
      </c>
      <c r="T170" s="10">
        <f>0</f>
        <v>0</v>
      </c>
      <c r="U170" s="10">
        <f>0</f>
        <v>0</v>
      </c>
      <c r="V170" s="10">
        <f>0</f>
        <v>0</v>
      </c>
      <c r="W170" s="10">
        <f>0</f>
        <v>0</v>
      </c>
      <c r="X170" s="10">
        <f>0</f>
        <v>0</v>
      </c>
      <c r="Y170" s="10">
        <f>'Model inputs'!Y236-'Model inputs'!Y182*'Model inputs'!O145-'Model inputs'!Y220</f>
        <v>81171</v>
      </c>
      <c r="Z170" s="10">
        <f>'Model inputs'!Z236-'Model inputs'!Z182*'Model inputs'!O145-'Model inputs'!Z220</f>
        <v>81171</v>
      </c>
      <c r="AA170" s="10">
        <f>'Model inputs'!AA236-'Model inputs'!AA182*'Model inputs'!O145-'Model inputs'!AA220</f>
        <v>81171</v>
      </c>
    </row>
    <row r="171" outlineLevel="1">
      <c r="A171" t="inlineStr" s="15">
        <is>
          <t xml:space="preserve">Contribution profit &gt; Per audit — high</t>
        </is>
      </c>
      <c r="B171" s="10">
        <f>0</f>
        <v>0</v>
      </c>
      <c r="C171" s="10">
        <f>IF('Model inputs'!C42="","",'Model inputs'!C42)</f>
        <v>14039.25</v>
      </c>
      <c r="D171" s="10">
        <f>IF('Model inputs'!D42="","",'Model inputs'!D42)</f>
        <v>28078.5</v>
      </c>
      <c r="E171" s="10">
        <f>IF('Model inputs'!E42="","",'Model inputs'!E42)</f>
        <v>42117.75</v>
      </c>
      <c r="F171" s="10">
        <f>IF('Model inputs'!F42="","",'Model inputs'!F42)</f>
        <v>56157</v>
      </c>
      <c r="G171" s="10">
        <f>IF('Model inputs'!G42="","",'Model inputs'!G42)</f>
        <v>70196.25</v>
      </c>
      <c r="H171" s="10">
        <f>IF('Model inputs'!H42="","",'Model inputs'!H42)</f>
        <v>84235.5</v>
      </c>
      <c r="I171" s="10">
        <f>IF('Model inputs'!I42="","",'Model inputs'!I42)</f>
        <v>98274.75</v>
      </c>
      <c r="J171" s="10">
        <f>IF('Model inputs'!J42="","",'Model inputs'!J42)</f>
        <v>112314</v>
      </c>
      <c r="K171" s="10">
        <f>IF('Model inputs'!K42="","",'Model inputs'!K42)</f>
        <v>126353.25</v>
      </c>
      <c r="L171" s="10">
        <f>IF('Model inputs'!L42="","",'Model inputs'!L42)</f>
        <v>140392.5</v>
      </c>
      <c r="M171" s="10">
        <f>IF('Model inputs'!M42="","",'Model inputs'!M42)</f>
        <v>154431.75</v>
      </c>
      <c r="N171" s="10">
        <f>IF('Model inputs'!N42="","",'Model inputs'!N42)</f>
        <v>168471</v>
      </c>
      <c r="Q171" s="10">
        <f>0</f>
        <v>0</v>
      </c>
      <c r="R171" s="10">
        <f>0</f>
        <v>0</v>
      </c>
      <c r="S171" s="10">
        <f>0</f>
        <v>0</v>
      </c>
      <c r="T171" s="10">
        <f>0</f>
        <v>0</v>
      </c>
      <c r="U171" s="10">
        <f>0</f>
        <v>0</v>
      </c>
      <c r="V171" s="10">
        <f>0</f>
        <v>0</v>
      </c>
      <c r="W171" s="10">
        <f>0</f>
        <v>0</v>
      </c>
      <c r="X171" s="10">
        <f>0</f>
        <v>0</v>
      </c>
      <c r="Y171" s="10">
        <f>'Model inputs'!Y237-'Model inputs'!Y183*'Model inputs'!O145-'Model inputs'!Y221</f>
        <v>168471</v>
      </c>
      <c r="Z171" s="10">
        <f>'Model inputs'!Z237-'Model inputs'!Z183*'Model inputs'!O145-'Model inputs'!Z221</f>
        <v>168471</v>
      </c>
      <c r="AA171" s="10">
        <f>'Model inputs'!AA237-'Model inputs'!AA183*'Model inputs'!O145-'Model inputs'!AA221</f>
        <v>168471</v>
      </c>
    </row>
    <row r="172" outlineLevel="1">
      <c r="A172" t="inlineStr" s="15">
        <is>
          <t xml:space="preserve">Contribution profit &gt; Per audit — low</t>
        </is>
      </c>
      <c r="B172" s="10">
        <f>0</f>
        <v>0</v>
      </c>
      <c r="C172" s="10">
        <f>IF('Model inputs'!C43="","",'Model inputs'!C43)</f>
        <v>3126.75</v>
      </c>
      <c r="D172" s="10">
        <f>IF('Model inputs'!D43="","",'Model inputs'!D43)</f>
        <v>6253.5</v>
      </c>
      <c r="E172" s="10">
        <f>IF('Model inputs'!E43="","",'Model inputs'!E43)</f>
        <v>9380.25</v>
      </c>
      <c r="F172" s="10">
        <f>IF('Model inputs'!F43="","",'Model inputs'!F43)</f>
        <v>12507</v>
      </c>
      <c r="G172" s="10">
        <f>IF('Model inputs'!G43="","",'Model inputs'!G43)</f>
        <v>15633.75</v>
      </c>
      <c r="H172" s="10">
        <f>IF('Model inputs'!H43="","",'Model inputs'!H43)</f>
        <v>18760.5</v>
      </c>
      <c r="I172" s="10">
        <f>IF('Model inputs'!I43="","",'Model inputs'!I43)</f>
        <v>21887.25</v>
      </c>
      <c r="J172" s="10">
        <f>IF('Model inputs'!J43="","",'Model inputs'!J43)</f>
        <v>25014</v>
      </c>
      <c r="K172" s="10">
        <f>IF('Model inputs'!K43="","",'Model inputs'!K43)</f>
        <v>28140.75</v>
      </c>
      <c r="L172" s="10">
        <f>IF('Model inputs'!L43="","",'Model inputs'!L43)</f>
        <v>31267.5</v>
      </c>
      <c r="M172" s="10">
        <f>IF('Model inputs'!M43="","",'Model inputs'!M43)</f>
        <v>34394.25</v>
      </c>
      <c r="N172" s="10">
        <f>IF('Model inputs'!N43="","",'Model inputs'!N43)</f>
        <v>37521</v>
      </c>
      <c r="Q172" s="10">
        <f>0</f>
        <v>0</v>
      </c>
      <c r="R172" s="10">
        <f>0</f>
        <v>0</v>
      </c>
      <c r="S172" s="10">
        <f>0</f>
        <v>0</v>
      </c>
      <c r="T172" s="10">
        <f>0</f>
        <v>0</v>
      </c>
      <c r="U172" s="10">
        <f>0</f>
        <v>0</v>
      </c>
      <c r="V172" s="10">
        <f>0</f>
        <v>0</v>
      </c>
      <c r="W172" s="10">
        <f>0</f>
        <v>0</v>
      </c>
      <c r="X172" s="10">
        <f>0</f>
        <v>0</v>
      </c>
      <c r="Y172" s="10">
        <f>'Model inputs'!Y238-'Model inputs'!Y184*'Model inputs'!O145-'Model inputs'!Y222</f>
        <v>37521</v>
      </c>
      <c r="Z172" s="10">
        <f>'Model inputs'!Z238-'Model inputs'!Z184*'Model inputs'!O145-'Model inputs'!Z222</f>
        <v>37521</v>
      </c>
      <c r="AA172" s="10">
        <f>'Model inputs'!AA238-'Model inputs'!AA184*'Model inputs'!O145-'Model inputs'!AA222</f>
        <v>37521</v>
      </c>
    </row>
    <row r="173">
      <c r="A173" t="inlineStr" s="14">
        <is>
          <t xml:space="preserve">Earned revenue</t>
        </is>
      </c>
      <c r="B173" s="12">
        <f>IF('Model inputs'!B57="","",'Model inputs'!B57)</f>
        <v>0</v>
      </c>
      <c r="C173" t="str" s="12">
        <f>IF('Model inputs'!C57="","",'Model inputs'!C57)</f>
        <v/>
      </c>
      <c r="D173" t="str" s="12">
        <f>IF('Model inputs'!D57="","",'Model inputs'!D57)</f>
        <v/>
      </c>
      <c r="E173" t="str" s="12">
        <f>IF('Model inputs'!E57="","",'Model inputs'!E57)</f>
        <v/>
      </c>
      <c r="F173" t="str" s="12">
        <f>IF('Model inputs'!F57="","",'Model inputs'!F57)</f>
        <v/>
      </c>
      <c r="G173" t="str" s="12">
        <f>IF('Model inputs'!G57="","",'Model inputs'!G57)</f>
        <v/>
      </c>
      <c r="H173" t="str" s="12">
        <f>IF('Model inputs'!H57="","",'Model inputs'!H57)</f>
        <v/>
      </c>
      <c r="I173" t="str" s="12">
        <f>IF('Model inputs'!I57="","",'Model inputs'!I57)</f>
        <v/>
      </c>
      <c r="J173" t="str" s="12">
        <f>IF('Model inputs'!J57="","",'Model inputs'!J57)</f>
        <v/>
      </c>
      <c r="K173" t="str" s="12">
        <f>IF('Model inputs'!K57="","",'Model inputs'!K57)</f>
        <v/>
      </c>
      <c r="L173" t="str" s="12">
        <f>IF('Model inputs'!L57="","",'Model inputs'!L57)</f>
        <v/>
      </c>
      <c r="M173" t="str" s="12">
        <f>IF('Model inputs'!M57="","",'Model inputs'!M57)</f>
        <v/>
      </c>
      <c r="N173" t="str" s="12">
        <f>IF('Model inputs'!N57="","",'Model inputs'!N57)</f>
        <v/>
      </c>
      <c r="Q173" s="12">
        <f>SUM('Model inputs'!Q174,'Model inputs'!Q175,'Model inputs'!Q176,'Model inputs'!Q177,'Model inputs'!Q178)</f>
        <v>0</v>
      </c>
      <c r="R173" s="12">
        <f>SUM('Model inputs'!R174,'Model inputs'!R175,'Model inputs'!R176,'Model inputs'!R177,'Model inputs'!R178)</f>
        <v>0</v>
      </c>
      <c r="S173" s="12">
        <f>SUM('Model inputs'!S174,'Model inputs'!S175,'Model inputs'!S176,'Model inputs'!S177,'Model inputs'!S178)</f>
        <v>0</v>
      </c>
      <c r="T173" s="12">
        <f>SUM('Model inputs'!T174,'Model inputs'!T175,'Model inputs'!T176,'Model inputs'!T177,'Model inputs'!T178)</f>
        <v>0</v>
      </c>
      <c r="U173" s="12">
        <f>SUM('Model inputs'!U174,'Model inputs'!U175,'Model inputs'!U176,'Model inputs'!U177,'Model inputs'!U178)</f>
        <v>0</v>
      </c>
      <c r="V173" s="12">
        <f>SUM('Model inputs'!V174,'Model inputs'!V175,'Model inputs'!V176,'Model inputs'!V177,'Model inputs'!V178)</f>
        <v>0</v>
      </c>
      <c r="W173" s="12">
        <f>SUM('Model inputs'!W174,'Model inputs'!W175,'Model inputs'!W176,'Model inputs'!W177,'Model inputs'!W178)</f>
        <v>0</v>
      </c>
      <c r="X173" s="12">
        <f>SUM('Model inputs'!X174,'Model inputs'!X175,'Model inputs'!X176,'Model inputs'!X177,'Model inputs'!X178)</f>
        <v>0</v>
      </c>
    </row>
    <row r="174" outlineLevel="1">
      <c r="A174" t="inlineStr" s="15">
        <is>
          <t xml:space="preserve">Earned revenue &gt; Annual deal-team</t>
        </is>
      </c>
      <c r="B174" s="10">
        <f>IF('Model inputs'!B58="","",'Model inputs'!B58)</f>
        <v>0</v>
      </c>
      <c r="C174" s="10">
        <f>IF('Model inputs'!C58="","",'Model inputs'!C58)</f>
        <v>5000</v>
      </c>
      <c r="D174" s="10">
        <f>IF('Model inputs'!D58="","",'Model inputs'!D58)</f>
        <v>10000</v>
      </c>
      <c r="E174" s="10">
        <f>IF('Model inputs'!E58="","",'Model inputs'!E58)</f>
        <v>15000</v>
      </c>
      <c r="F174" s="10">
        <f>IF('Model inputs'!F58="","",'Model inputs'!F58)</f>
        <v>20000</v>
      </c>
      <c r="G174" s="10">
        <f>IF('Model inputs'!G58="","",'Model inputs'!G58)</f>
        <v>25000</v>
      </c>
      <c r="H174" s="10">
        <f>IF('Model inputs'!H58="","",'Model inputs'!H58)</f>
        <v>30000</v>
      </c>
      <c r="I174" s="10">
        <f>IF('Model inputs'!I58="","",'Model inputs'!I58)</f>
        <v>35000</v>
      </c>
      <c r="J174" s="10">
        <f>IF('Model inputs'!J58="","",'Model inputs'!J58)</f>
        <v>40000</v>
      </c>
      <c r="K174" s="10">
        <f>IF('Model inputs'!K58="","",'Model inputs'!K58)</f>
        <v>45000</v>
      </c>
      <c r="L174" s="10">
        <f>IF('Model inputs'!L58="","",'Model inputs'!L58)</f>
        <v>50000</v>
      </c>
      <c r="M174" s="10">
        <f>IF('Model inputs'!M58="","",'Model inputs'!M58)</f>
        <v>55000</v>
      </c>
      <c r="N174" s="10">
        <f>IF('Model inputs'!N58="","",'Model inputs'!N58)</f>
        <v>60000</v>
      </c>
      <c r="Q174" s="10">
        <f>0</f>
        <v>0</v>
      </c>
      <c r="R174" s="10">
        <f>0</f>
        <v>0</v>
      </c>
      <c r="S174" s="10">
        <f>0</f>
        <v>0</v>
      </c>
      <c r="T174" s="10">
        <f>0</f>
        <v>0</v>
      </c>
      <c r="U174" s="10">
        <f>0</f>
        <v>0</v>
      </c>
      <c r="V174" s="10">
        <f>0</f>
        <v>0</v>
      </c>
      <c r="W174" s="10">
        <f>0</f>
        <v>0</v>
      </c>
      <c r="X174" s="10">
        <f>0</f>
        <v>0</v>
      </c>
    </row>
    <row r="175" outlineLevel="1">
      <c r="A175" t="inlineStr" s="15">
        <is>
          <t xml:space="preserve">Earned revenue &gt; Hybrid</t>
        </is>
      </c>
      <c r="B175" s="10">
        <f>IF('Model inputs'!B59="","",'Model inputs'!B59)</f>
        <v>0</v>
      </c>
      <c r="C175" s="10">
        <f>IF('Model inputs'!C59="","",'Model inputs'!C59)</f>
        <v>5625</v>
      </c>
      <c r="D175" s="10">
        <f>IF('Model inputs'!D59="","",'Model inputs'!D59)</f>
        <v>11250</v>
      </c>
      <c r="E175" s="10">
        <f>IF('Model inputs'!E59="","",'Model inputs'!E59)</f>
        <v>16875</v>
      </c>
      <c r="F175" s="10">
        <f>IF('Model inputs'!F59="","",'Model inputs'!F59)</f>
        <v>22500</v>
      </c>
      <c r="G175" s="10">
        <f>IF('Model inputs'!G59="","",'Model inputs'!G59)</f>
        <v>28125</v>
      </c>
      <c r="H175" s="10">
        <f>IF('Model inputs'!H59="","",'Model inputs'!H59)</f>
        <v>33750</v>
      </c>
      <c r="I175" s="10">
        <f>IF('Model inputs'!I59="","",'Model inputs'!I59)</f>
        <v>39375</v>
      </c>
      <c r="J175" s="10">
        <f>IF('Model inputs'!J59="","",'Model inputs'!J59)</f>
        <v>45000</v>
      </c>
      <c r="K175" s="10">
        <f>IF('Model inputs'!K59="","",'Model inputs'!K59)</f>
        <v>50625</v>
      </c>
      <c r="L175" s="10">
        <f>IF('Model inputs'!L59="","",'Model inputs'!L59)</f>
        <v>56250</v>
      </c>
      <c r="M175" s="10">
        <f>IF('Model inputs'!M59="","",'Model inputs'!M59)</f>
        <v>61875</v>
      </c>
      <c r="N175" s="10">
        <f>IF('Model inputs'!N59="","",'Model inputs'!N59)</f>
        <v>67500</v>
      </c>
      <c r="Q175" s="10">
        <f>0</f>
        <v>0</v>
      </c>
      <c r="R175" s="10">
        <f>0</f>
        <v>0</v>
      </c>
      <c r="S175" s="10">
        <f>0</f>
        <v>0</v>
      </c>
      <c r="T175" s="10">
        <f>0</f>
        <v>0</v>
      </c>
      <c r="U175" s="10">
        <f>0</f>
        <v>0</v>
      </c>
      <c r="V175" s="10">
        <f>0</f>
        <v>0</v>
      </c>
      <c r="W175" s="10">
        <f>0</f>
        <v>0</v>
      </c>
      <c r="X175" s="10">
        <f>0</f>
        <v>0</v>
      </c>
    </row>
    <row r="176" outlineLevel="1">
      <c r="A176" t="inlineStr" s="15">
        <is>
          <t xml:space="preserve">Earned revenue &gt; Per audit — base</t>
        </is>
      </c>
      <c r="B176" s="10">
        <f>IF('Model inputs'!B60="","",'Model inputs'!B60)</f>
        <v>0</v>
      </c>
      <c r="C176" s="10">
        <f>IF('Model inputs'!C60="","",'Model inputs'!C60)</f>
        <v>7500</v>
      </c>
      <c r="D176" s="10">
        <f>IF('Model inputs'!D60="","",'Model inputs'!D60)</f>
        <v>15000</v>
      </c>
      <c r="E176" s="10">
        <f>IF('Model inputs'!E60="","",'Model inputs'!E60)</f>
        <v>22500</v>
      </c>
      <c r="F176" s="10">
        <f>IF('Model inputs'!F60="","",'Model inputs'!F60)</f>
        <v>30000</v>
      </c>
      <c r="G176" s="10">
        <f>IF('Model inputs'!G60="","",'Model inputs'!G60)</f>
        <v>37500</v>
      </c>
      <c r="H176" s="10">
        <f>IF('Model inputs'!H60="","",'Model inputs'!H60)</f>
        <v>45000</v>
      </c>
      <c r="I176" s="10">
        <f>IF('Model inputs'!I60="","",'Model inputs'!I60)</f>
        <v>52500</v>
      </c>
      <c r="J176" s="10">
        <f>IF('Model inputs'!J60="","",'Model inputs'!J60)</f>
        <v>60000</v>
      </c>
      <c r="K176" s="10">
        <f>IF('Model inputs'!K60="","",'Model inputs'!K60)</f>
        <v>67500</v>
      </c>
      <c r="L176" s="10">
        <f>IF('Model inputs'!L60="","",'Model inputs'!L60)</f>
        <v>75000</v>
      </c>
      <c r="M176" s="10">
        <f>IF('Model inputs'!M60="","",'Model inputs'!M60)</f>
        <v>82500</v>
      </c>
      <c r="N176" s="10">
        <f>IF('Model inputs'!N60="","",'Model inputs'!N60)</f>
        <v>90000</v>
      </c>
      <c r="Q176" s="10">
        <f>0</f>
        <v>0</v>
      </c>
      <c r="R176" s="10">
        <f>0</f>
        <v>0</v>
      </c>
      <c r="S176" s="10">
        <f>0</f>
        <v>0</v>
      </c>
      <c r="T176" s="10">
        <f>0</f>
        <v>0</v>
      </c>
      <c r="U176" s="10">
        <f>0</f>
        <v>0</v>
      </c>
      <c r="V176" s="10">
        <f>0</f>
        <v>0</v>
      </c>
      <c r="W176" s="10">
        <f>0</f>
        <v>0</v>
      </c>
      <c r="X176" s="10">
        <f>0</f>
        <v>0</v>
      </c>
    </row>
    <row r="177" outlineLevel="1">
      <c r="A177" t="inlineStr" s="15">
        <is>
          <t xml:space="preserve">Earned revenue &gt; Per audit — high</t>
        </is>
      </c>
      <c r="B177" s="10">
        <f>IF('Model inputs'!B61="","",'Model inputs'!B61)</f>
        <v>0</v>
      </c>
      <c r="C177" s="10">
        <f>IF('Model inputs'!C61="","",'Model inputs'!C61)</f>
        <v>15000</v>
      </c>
      <c r="D177" s="10">
        <f>IF('Model inputs'!D61="","",'Model inputs'!D61)</f>
        <v>30000</v>
      </c>
      <c r="E177" s="10">
        <f>IF('Model inputs'!E61="","",'Model inputs'!E61)</f>
        <v>45000</v>
      </c>
      <c r="F177" s="10">
        <f>IF('Model inputs'!F61="","",'Model inputs'!F61)</f>
        <v>60000</v>
      </c>
      <c r="G177" s="10">
        <f>IF('Model inputs'!G61="","",'Model inputs'!G61)</f>
        <v>75000</v>
      </c>
      <c r="H177" s="10">
        <f>IF('Model inputs'!H61="","",'Model inputs'!H61)</f>
        <v>90000</v>
      </c>
      <c r="I177" s="10">
        <f>IF('Model inputs'!I61="","",'Model inputs'!I61)</f>
        <v>105000</v>
      </c>
      <c r="J177" s="10">
        <f>IF('Model inputs'!J61="","",'Model inputs'!J61)</f>
        <v>120000</v>
      </c>
      <c r="K177" s="10">
        <f>IF('Model inputs'!K61="","",'Model inputs'!K61)</f>
        <v>135000</v>
      </c>
      <c r="L177" s="10">
        <f>IF('Model inputs'!L61="","",'Model inputs'!L61)</f>
        <v>150000</v>
      </c>
      <c r="M177" s="10">
        <f>IF('Model inputs'!M61="","",'Model inputs'!M61)</f>
        <v>165000</v>
      </c>
      <c r="N177" s="10">
        <f>IF('Model inputs'!N61="","",'Model inputs'!N61)</f>
        <v>180000</v>
      </c>
      <c r="Q177" s="10">
        <f>0</f>
        <v>0</v>
      </c>
      <c r="R177" s="10">
        <f>0</f>
        <v>0</v>
      </c>
      <c r="S177" s="10">
        <f>0</f>
        <v>0</v>
      </c>
      <c r="T177" s="10">
        <f>0</f>
        <v>0</v>
      </c>
      <c r="U177" s="10">
        <f>0</f>
        <v>0</v>
      </c>
      <c r="V177" s="10">
        <f>0</f>
        <v>0</v>
      </c>
      <c r="W177" s="10">
        <f>0</f>
        <v>0</v>
      </c>
      <c r="X177" s="10">
        <f>0</f>
        <v>0</v>
      </c>
    </row>
    <row r="178" outlineLevel="1">
      <c r="A178" t="inlineStr" s="15">
        <is>
          <t xml:space="preserve">Earned revenue &gt; Per audit — low</t>
        </is>
      </c>
      <c r="B178" s="10">
        <f>IF('Model inputs'!B62="","",'Model inputs'!B62)</f>
        <v>0</v>
      </c>
      <c r="C178" s="10">
        <f>IF('Model inputs'!C62="","",'Model inputs'!C62)</f>
        <v>3750</v>
      </c>
      <c r="D178" s="10">
        <f>IF('Model inputs'!D62="","",'Model inputs'!D62)</f>
        <v>7500</v>
      </c>
      <c r="E178" s="10">
        <f>IF('Model inputs'!E62="","",'Model inputs'!E62)</f>
        <v>11250</v>
      </c>
      <c r="F178" s="10">
        <f>IF('Model inputs'!F62="","",'Model inputs'!F62)</f>
        <v>15000</v>
      </c>
      <c r="G178" s="10">
        <f>IF('Model inputs'!G62="","",'Model inputs'!G62)</f>
        <v>18750</v>
      </c>
      <c r="H178" s="10">
        <f>IF('Model inputs'!H62="","",'Model inputs'!H62)</f>
        <v>22500</v>
      </c>
      <c r="I178" s="10">
        <f>IF('Model inputs'!I62="","",'Model inputs'!I62)</f>
        <v>26250</v>
      </c>
      <c r="J178" s="10">
        <f>IF('Model inputs'!J62="","",'Model inputs'!J62)</f>
        <v>30000</v>
      </c>
      <c r="K178" s="10">
        <f>IF('Model inputs'!K62="","",'Model inputs'!K62)</f>
        <v>33750</v>
      </c>
      <c r="L178" s="10">
        <f>IF('Model inputs'!L62="","",'Model inputs'!L62)</f>
        <v>37500</v>
      </c>
      <c r="M178" s="10">
        <f>IF('Model inputs'!M62="","",'Model inputs'!M62)</f>
        <v>41250</v>
      </c>
      <c r="N178" s="10">
        <f>IF('Model inputs'!N62="","",'Model inputs'!N62)</f>
        <v>45000</v>
      </c>
      <c r="Q178" s="10">
        <f>0</f>
        <v>0</v>
      </c>
      <c r="R178" s="10">
        <f>0</f>
        <v>0</v>
      </c>
      <c r="S178" s="10">
        <f>0</f>
        <v>0</v>
      </c>
      <c r="T178" s="10">
        <f>0</f>
        <v>0</v>
      </c>
      <c r="U178" s="10">
        <f>0</f>
        <v>0</v>
      </c>
      <c r="V178" s="10">
        <f>0</f>
        <v>0</v>
      </c>
      <c r="W178" s="10">
        <f>0</f>
        <v>0</v>
      </c>
      <c r="X178" s="10">
        <f>0</f>
        <v>0</v>
      </c>
    </row>
    <row r="179">
      <c r="A179" t="inlineStr" s="14">
        <is>
          <t xml:space="preserve">Earned revenue</t>
        </is>
      </c>
      <c r="B179" s="12">
        <f>IF('Model inputs'!B57="","",'Model inputs'!B57)</f>
        <v>0</v>
      </c>
      <c r="C179" t="str" s="12">
        <f>IF('Model inputs'!C57="","",'Model inputs'!C57)</f>
        <v/>
      </c>
      <c r="D179" t="str" s="12">
        <f>IF('Model inputs'!D57="","",'Model inputs'!D57)</f>
        <v/>
      </c>
      <c r="E179" t="str" s="12">
        <f>IF('Model inputs'!E57="","",'Model inputs'!E57)</f>
        <v/>
      </c>
      <c r="F179" t="str" s="12">
        <f>IF('Model inputs'!F57="","",'Model inputs'!F57)</f>
        <v/>
      </c>
      <c r="G179" t="str" s="12">
        <f>IF('Model inputs'!G57="","",'Model inputs'!G57)</f>
        <v/>
      </c>
      <c r="H179" t="str" s="12">
        <f>IF('Model inputs'!H57="","",'Model inputs'!H57)</f>
        <v/>
      </c>
      <c r="I179" t="str" s="12">
        <f>IF('Model inputs'!I57="","",'Model inputs'!I57)</f>
        <v/>
      </c>
      <c r="J179" t="str" s="12">
        <f>IF('Model inputs'!J57="","",'Model inputs'!J57)</f>
        <v/>
      </c>
      <c r="K179" t="str" s="12">
        <f>IF('Model inputs'!K57="","",'Model inputs'!K57)</f>
        <v/>
      </c>
      <c r="L179" t="str" s="12">
        <f>IF('Model inputs'!L57="","",'Model inputs'!L57)</f>
        <v/>
      </c>
      <c r="M179" t="str" s="12">
        <f>IF('Model inputs'!M57="","",'Model inputs'!M57)</f>
        <v/>
      </c>
      <c r="N179" t="str" s="12">
        <f>IF('Model inputs'!N57="","",'Model inputs'!N57)</f>
        <v/>
      </c>
      <c r="Q179" s="12">
        <f>IF('Model inputs'!Q173="","",'Model inputs'!Q173)</f>
        <v>0</v>
      </c>
      <c r="R179" s="12">
        <f>IF('Model inputs'!R173="","",'Model inputs'!R173)</f>
        <v>0</v>
      </c>
      <c r="S179" s="12">
        <f>IF('Model inputs'!S173="","",'Model inputs'!S173)</f>
        <v>0</v>
      </c>
      <c r="T179" s="12">
        <f>IF('Model inputs'!T173="","",'Model inputs'!T173)</f>
        <v>0</v>
      </c>
      <c r="U179" s="12">
        <f>IF('Model inputs'!U173="","",'Model inputs'!U173)</f>
        <v>0</v>
      </c>
      <c r="V179" s="12">
        <f>IF('Model inputs'!V173="","",'Model inputs'!V173)</f>
        <v>0</v>
      </c>
      <c r="W179" s="12">
        <f>IF('Model inputs'!W173="","",'Model inputs'!W173)</f>
        <v>0</v>
      </c>
      <c r="X179" s="12">
        <f>IF('Model inputs'!X173="","",'Model inputs'!X173)</f>
        <v>0</v>
      </c>
      <c r="Y179" t="str" s="12">
        <f>""</f>
        <v/>
      </c>
      <c r="Z179" t="str" s="12">
        <f>""</f>
        <v/>
      </c>
      <c r="AA179" t="str" s="12">
        <f>""</f>
        <v/>
      </c>
    </row>
    <row r="180" outlineLevel="1">
      <c r="A180" t="inlineStr" s="15">
        <is>
          <t xml:space="preserve">Earned revenue &gt; Annual deal-team</t>
        </is>
      </c>
      <c r="B180" s="10">
        <f>IF('Model inputs'!B58="","",'Model inputs'!B58)</f>
        <v>0</v>
      </c>
      <c r="C180" s="10">
        <f>IF('Model inputs'!C58="","",'Model inputs'!C58)</f>
        <v>5000</v>
      </c>
      <c r="D180" s="10">
        <f>IF('Model inputs'!D58="","",'Model inputs'!D58)</f>
        <v>10000</v>
      </c>
      <c r="E180" s="10">
        <f>IF('Model inputs'!E58="","",'Model inputs'!E58)</f>
        <v>15000</v>
      </c>
      <c r="F180" s="10">
        <f>IF('Model inputs'!F58="","",'Model inputs'!F58)</f>
        <v>20000</v>
      </c>
      <c r="G180" s="10">
        <f>IF('Model inputs'!G58="","",'Model inputs'!G58)</f>
        <v>25000</v>
      </c>
      <c r="H180" s="10">
        <f>IF('Model inputs'!H58="","",'Model inputs'!H58)</f>
        <v>30000</v>
      </c>
      <c r="I180" s="10">
        <f>IF('Model inputs'!I58="","",'Model inputs'!I58)</f>
        <v>35000</v>
      </c>
      <c r="J180" s="10">
        <f>IF('Model inputs'!J58="","",'Model inputs'!J58)</f>
        <v>40000</v>
      </c>
      <c r="K180" s="10">
        <f>IF('Model inputs'!K58="","",'Model inputs'!K58)</f>
        <v>45000</v>
      </c>
      <c r="L180" s="10">
        <f>IF('Model inputs'!L58="","",'Model inputs'!L58)</f>
        <v>50000</v>
      </c>
      <c r="M180" s="10">
        <f>IF('Model inputs'!M58="","",'Model inputs'!M58)</f>
        <v>55000</v>
      </c>
      <c r="N180" s="10">
        <f>IF('Model inputs'!N58="","",'Model inputs'!N58)</f>
        <v>60000</v>
      </c>
      <c r="Q180" s="10">
        <f>IF('Model inputs'!Q174="","",'Model inputs'!Q174)</f>
        <v>0</v>
      </c>
      <c r="R180" s="10">
        <f>IF('Model inputs'!R174="","",'Model inputs'!R174)</f>
        <v>0</v>
      </c>
      <c r="S180" s="10">
        <f>IF('Model inputs'!S174="","",'Model inputs'!S174)</f>
        <v>0</v>
      </c>
      <c r="T180" s="10">
        <f>IF('Model inputs'!T174="","",'Model inputs'!T174)</f>
        <v>0</v>
      </c>
      <c r="U180" s="10">
        <f>IF('Model inputs'!U174="","",'Model inputs'!U174)</f>
        <v>0</v>
      </c>
      <c r="V180" s="10">
        <f>IF('Model inputs'!V174="","",'Model inputs'!V174)</f>
        <v>0</v>
      </c>
      <c r="W180" s="10">
        <f>IF('Model inputs'!W174="","",'Model inputs'!W174)</f>
        <v>0</v>
      </c>
      <c r="X180" s="10">
        <f>IF('Model inputs'!X174="","",'Model inputs'!X174)</f>
        <v>0</v>
      </c>
      <c r="Y180" s="10">
        <f>'Model inputs'!Y253*'Model inputs'!O125</f>
        <v>60000</v>
      </c>
      <c r="Z180" s="10">
        <f>'Model inputs'!Z253*'Model inputs'!O125</f>
        <v>60000</v>
      </c>
      <c r="AA180" s="10">
        <f>'Model inputs'!AA253*'Model inputs'!O125</f>
        <v>60000</v>
      </c>
    </row>
    <row r="181" outlineLevel="1">
      <c r="A181" t="inlineStr" s="15">
        <is>
          <t xml:space="preserve">Earned revenue &gt; Hybrid</t>
        </is>
      </c>
      <c r="B181" s="10">
        <f>IF('Model inputs'!B59="","",'Model inputs'!B59)</f>
        <v>0</v>
      </c>
      <c r="C181" s="10">
        <f>IF('Model inputs'!C59="","",'Model inputs'!C59)</f>
        <v>5625</v>
      </c>
      <c r="D181" s="10">
        <f>IF('Model inputs'!D59="","",'Model inputs'!D59)</f>
        <v>11250</v>
      </c>
      <c r="E181" s="10">
        <f>IF('Model inputs'!E59="","",'Model inputs'!E59)</f>
        <v>16875</v>
      </c>
      <c r="F181" s="10">
        <f>IF('Model inputs'!F59="","",'Model inputs'!F59)</f>
        <v>22500</v>
      </c>
      <c r="G181" s="10">
        <f>IF('Model inputs'!G59="","",'Model inputs'!G59)</f>
        <v>28125</v>
      </c>
      <c r="H181" s="10">
        <f>IF('Model inputs'!H59="","",'Model inputs'!H59)</f>
        <v>33750</v>
      </c>
      <c r="I181" s="10">
        <f>IF('Model inputs'!I59="","",'Model inputs'!I59)</f>
        <v>39375</v>
      </c>
      <c r="J181" s="10">
        <f>IF('Model inputs'!J59="","",'Model inputs'!J59)</f>
        <v>45000</v>
      </c>
      <c r="K181" s="10">
        <f>IF('Model inputs'!K59="","",'Model inputs'!K59)</f>
        <v>50625</v>
      </c>
      <c r="L181" s="10">
        <f>IF('Model inputs'!L59="","",'Model inputs'!L59)</f>
        <v>56250</v>
      </c>
      <c r="M181" s="10">
        <f>IF('Model inputs'!M59="","",'Model inputs'!M59)</f>
        <v>61875</v>
      </c>
      <c r="N181" s="10">
        <f>IF('Model inputs'!N59="","",'Model inputs'!N59)</f>
        <v>67500</v>
      </c>
      <c r="Q181" s="10">
        <f>IF('Model inputs'!Q175="","",'Model inputs'!Q175)</f>
        <v>0</v>
      </c>
      <c r="R181" s="10">
        <f>IF('Model inputs'!R175="","",'Model inputs'!R175)</f>
        <v>0</v>
      </c>
      <c r="S181" s="10">
        <f>IF('Model inputs'!S175="","",'Model inputs'!S175)</f>
        <v>0</v>
      </c>
      <c r="T181" s="10">
        <f>IF('Model inputs'!T175="","",'Model inputs'!T175)</f>
        <v>0</v>
      </c>
      <c r="U181" s="10">
        <f>IF('Model inputs'!U175="","",'Model inputs'!U175)</f>
        <v>0</v>
      </c>
      <c r="V181" s="10">
        <f>IF('Model inputs'!V175="","",'Model inputs'!V175)</f>
        <v>0</v>
      </c>
      <c r="W181" s="10">
        <f>IF('Model inputs'!W175="","",'Model inputs'!W175)</f>
        <v>0</v>
      </c>
      <c r="X181" s="10">
        <f>IF('Model inputs'!X175="","",'Model inputs'!X175)</f>
        <v>0</v>
      </c>
      <c r="Y181" s="10">
        <f>'Model inputs'!Y253*'Model inputs'!O126</f>
        <v>67500</v>
      </c>
      <c r="Z181" s="10">
        <f>'Model inputs'!Z253*'Model inputs'!O126</f>
        <v>67500</v>
      </c>
      <c r="AA181" s="10">
        <f>'Model inputs'!AA253*'Model inputs'!O126</f>
        <v>67500</v>
      </c>
    </row>
    <row r="182" outlineLevel="1">
      <c r="A182" t="inlineStr" s="15">
        <is>
          <t xml:space="preserve">Earned revenue &gt; Per audit — base</t>
        </is>
      </c>
      <c r="B182" s="10">
        <f>IF('Model inputs'!B60="","",'Model inputs'!B60)</f>
        <v>0</v>
      </c>
      <c r="C182" s="10">
        <f>IF('Model inputs'!C60="","",'Model inputs'!C60)</f>
        <v>7500</v>
      </c>
      <c r="D182" s="10">
        <f>IF('Model inputs'!D60="","",'Model inputs'!D60)</f>
        <v>15000</v>
      </c>
      <c r="E182" s="10">
        <f>IF('Model inputs'!E60="","",'Model inputs'!E60)</f>
        <v>22500</v>
      </c>
      <c r="F182" s="10">
        <f>IF('Model inputs'!F60="","",'Model inputs'!F60)</f>
        <v>30000</v>
      </c>
      <c r="G182" s="10">
        <f>IF('Model inputs'!G60="","",'Model inputs'!G60)</f>
        <v>37500</v>
      </c>
      <c r="H182" s="10">
        <f>IF('Model inputs'!H60="","",'Model inputs'!H60)</f>
        <v>45000</v>
      </c>
      <c r="I182" s="10">
        <f>IF('Model inputs'!I60="","",'Model inputs'!I60)</f>
        <v>52500</v>
      </c>
      <c r="J182" s="10">
        <f>IF('Model inputs'!J60="","",'Model inputs'!J60)</f>
        <v>60000</v>
      </c>
      <c r="K182" s="10">
        <f>IF('Model inputs'!K60="","",'Model inputs'!K60)</f>
        <v>67500</v>
      </c>
      <c r="L182" s="10">
        <f>IF('Model inputs'!L60="","",'Model inputs'!L60)</f>
        <v>75000</v>
      </c>
      <c r="M182" s="10">
        <f>IF('Model inputs'!M60="","",'Model inputs'!M60)</f>
        <v>82500</v>
      </c>
      <c r="N182" s="10">
        <f>IF('Model inputs'!N60="","",'Model inputs'!N60)</f>
        <v>90000</v>
      </c>
      <c r="Q182" s="10">
        <f>IF('Model inputs'!Q176="","",'Model inputs'!Q176)</f>
        <v>0</v>
      </c>
      <c r="R182" s="10">
        <f>IF('Model inputs'!R176="","",'Model inputs'!R176)</f>
        <v>0</v>
      </c>
      <c r="S182" s="10">
        <f>IF('Model inputs'!S176="","",'Model inputs'!S176)</f>
        <v>0</v>
      </c>
      <c r="T182" s="10">
        <f>IF('Model inputs'!T176="","",'Model inputs'!T176)</f>
        <v>0</v>
      </c>
      <c r="U182" s="10">
        <f>IF('Model inputs'!U176="","",'Model inputs'!U176)</f>
        <v>0</v>
      </c>
      <c r="V182" s="10">
        <f>IF('Model inputs'!V176="","",'Model inputs'!V176)</f>
        <v>0</v>
      </c>
      <c r="W182" s="10">
        <f>IF('Model inputs'!W176="","",'Model inputs'!W176)</f>
        <v>0</v>
      </c>
      <c r="X182" s="10">
        <f>IF('Model inputs'!X176="","",'Model inputs'!X176)</f>
        <v>0</v>
      </c>
      <c r="Y182" s="10">
        <f>'Model inputs'!Y253*'Model inputs'!O127</f>
        <v>90000</v>
      </c>
      <c r="Z182" s="10">
        <f>'Model inputs'!Z253*'Model inputs'!O127</f>
        <v>90000</v>
      </c>
      <c r="AA182" s="10">
        <f>'Model inputs'!AA253*'Model inputs'!O127</f>
        <v>90000</v>
      </c>
    </row>
    <row r="183" outlineLevel="1">
      <c r="A183" t="inlineStr" s="15">
        <is>
          <t xml:space="preserve">Earned revenue &gt; Per audit — high</t>
        </is>
      </c>
      <c r="B183" s="10">
        <f>IF('Model inputs'!B61="","",'Model inputs'!B61)</f>
        <v>0</v>
      </c>
      <c r="C183" s="10">
        <f>IF('Model inputs'!C61="","",'Model inputs'!C61)</f>
        <v>15000</v>
      </c>
      <c r="D183" s="10">
        <f>IF('Model inputs'!D61="","",'Model inputs'!D61)</f>
        <v>30000</v>
      </c>
      <c r="E183" s="10">
        <f>IF('Model inputs'!E61="","",'Model inputs'!E61)</f>
        <v>45000</v>
      </c>
      <c r="F183" s="10">
        <f>IF('Model inputs'!F61="","",'Model inputs'!F61)</f>
        <v>60000</v>
      </c>
      <c r="G183" s="10">
        <f>IF('Model inputs'!G61="","",'Model inputs'!G61)</f>
        <v>75000</v>
      </c>
      <c r="H183" s="10">
        <f>IF('Model inputs'!H61="","",'Model inputs'!H61)</f>
        <v>90000</v>
      </c>
      <c r="I183" s="10">
        <f>IF('Model inputs'!I61="","",'Model inputs'!I61)</f>
        <v>105000</v>
      </c>
      <c r="J183" s="10">
        <f>IF('Model inputs'!J61="","",'Model inputs'!J61)</f>
        <v>120000</v>
      </c>
      <c r="K183" s="10">
        <f>IF('Model inputs'!K61="","",'Model inputs'!K61)</f>
        <v>135000</v>
      </c>
      <c r="L183" s="10">
        <f>IF('Model inputs'!L61="","",'Model inputs'!L61)</f>
        <v>150000</v>
      </c>
      <c r="M183" s="10">
        <f>IF('Model inputs'!M61="","",'Model inputs'!M61)</f>
        <v>165000</v>
      </c>
      <c r="N183" s="10">
        <f>IF('Model inputs'!N61="","",'Model inputs'!N61)</f>
        <v>180000</v>
      </c>
      <c r="Q183" s="10">
        <f>IF('Model inputs'!Q177="","",'Model inputs'!Q177)</f>
        <v>0</v>
      </c>
      <c r="R183" s="10">
        <f>IF('Model inputs'!R177="","",'Model inputs'!R177)</f>
        <v>0</v>
      </c>
      <c r="S183" s="10">
        <f>IF('Model inputs'!S177="","",'Model inputs'!S177)</f>
        <v>0</v>
      </c>
      <c r="T183" s="10">
        <f>IF('Model inputs'!T177="","",'Model inputs'!T177)</f>
        <v>0</v>
      </c>
      <c r="U183" s="10">
        <f>IF('Model inputs'!U177="","",'Model inputs'!U177)</f>
        <v>0</v>
      </c>
      <c r="V183" s="10">
        <f>IF('Model inputs'!V177="","",'Model inputs'!V177)</f>
        <v>0</v>
      </c>
      <c r="W183" s="10">
        <f>IF('Model inputs'!W177="","",'Model inputs'!W177)</f>
        <v>0</v>
      </c>
      <c r="X183" s="10">
        <f>IF('Model inputs'!X177="","",'Model inputs'!X177)</f>
        <v>0</v>
      </c>
      <c r="Y183" s="10">
        <f>'Model inputs'!Y253*'Model inputs'!O128</f>
        <v>180000</v>
      </c>
      <c r="Z183" s="10">
        <f>'Model inputs'!Z253*'Model inputs'!O128</f>
        <v>180000</v>
      </c>
      <c r="AA183" s="10">
        <f>'Model inputs'!AA253*'Model inputs'!O128</f>
        <v>180000</v>
      </c>
    </row>
    <row r="184" outlineLevel="1">
      <c r="A184" t="inlineStr" s="15">
        <is>
          <t xml:space="preserve">Earned revenue &gt; Per audit — low</t>
        </is>
      </c>
      <c r="B184" s="10">
        <f>IF('Model inputs'!B62="","",'Model inputs'!B62)</f>
        <v>0</v>
      </c>
      <c r="C184" s="10">
        <f>IF('Model inputs'!C62="","",'Model inputs'!C62)</f>
        <v>3750</v>
      </c>
      <c r="D184" s="10">
        <f>IF('Model inputs'!D62="","",'Model inputs'!D62)</f>
        <v>7500</v>
      </c>
      <c r="E184" s="10">
        <f>IF('Model inputs'!E62="","",'Model inputs'!E62)</f>
        <v>11250</v>
      </c>
      <c r="F184" s="10">
        <f>IF('Model inputs'!F62="","",'Model inputs'!F62)</f>
        <v>15000</v>
      </c>
      <c r="G184" s="10">
        <f>IF('Model inputs'!G62="","",'Model inputs'!G62)</f>
        <v>18750</v>
      </c>
      <c r="H184" s="10">
        <f>IF('Model inputs'!H62="","",'Model inputs'!H62)</f>
        <v>22500</v>
      </c>
      <c r="I184" s="10">
        <f>IF('Model inputs'!I62="","",'Model inputs'!I62)</f>
        <v>26250</v>
      </c>
      <c r="J184" s="10">
        <f>IF('Model inputs'!J62="","",'Model inputs'!J62)</f>
        <v>30000</v>
      </c>
      <c r="K184" s="10">
        <f>IF('Model inputs'!K62="","",'Model inputs'!K62)</f>
        <v>33750</v>
      </c>
      <c r="L184" s="10">
        <f>IF('Model inputs'!L62="","",'Model inputs'!L62)</f>
        <v>37500</v>
      </c>
      <c r="M184" s="10">
        <f>IF('Model inputs'!M62="","",'Model inputs'!M62)</f>
        <v>41250</v>
      </c>
      <c r="N184" s="10">
        <f>IF('Model inputs'!N62="","",'Model inputs'!N62)</f>
        <v>45000</v>
      </c>
      <c r="Q184" s="10">
        <f>IF('Model inputs'!Q178="","",'Model inputs'!Q178)</f>
        <v>0</v>
      </c>
      <c r="R184" s="10">
        <f>IF('Model inputs'!R178="","",'Model inputs'!R178)</f>
        <v>0</v>
      </c>
      <c r="S184" s="10">
        <f>IF('Model inputs'!S178="","",'Model inputs'!S178)</f>
        <v>0</v>
      </c>
      <c r="T184" s="10">
        <f>IF('Model inputs'!T178="","",'Model inputs'!T178)</f>
        <v>0</v>
      </c>
      <c r="U184" s="10">
        <f>IF('Model inputs'!U178="","",'Model inputs'!U178)</f>
        <v>0</v>
      </c>
      <c r="V184" s="10">
        <f>IF('Model inputs'!V178="","",'Model inputs'!V178)</f>
        <v>0</v>
      </c>
      <c r="W184" s="10">
        <f>IF('Model inputs'!W178="","",'Model inputs'!W178)</f>
        <v>0</v>
      </c>
      <c r="X184" s="10">
        <f>IF('Model inputs'!X178="","",'Model inputs'!X178)</f>
        <v>0</v>
      </c>
      <c r="Y184" s="10">
        <f>'Model inputs'!Y253*'Model inputs'!O129</f>
        <v>45000</v>
      </c>
      <c r="Z184" s="10">
        <f>'Model inputs'!Z253*'Model inputs'!O129</f>
        <v>45000</v>
      </c>
      <c r="AA184" s="10">
        <f>'Model inputs'!AA253*'Model inputs'!O129</f>
        <v>45000</v>
      </c>
    </row>
    <row r="185">
      <c r="A185" t="inlineStr" s="14">
        <is>
          <t xml:space="preserve">Forecast net cash burn · Average monthly net cash burn · DealScope conditional cash and runway</t>
        </is>
      </c>
      <c r="O185" s="10">
        <f>SUM('Model inputs'!B1111,'Model inputs'!B1112)</f>
        <v>-486011.5</v>
      </c>
    </row>
    <row r="186">
      <c r="A186" t="inlineStr" s="14">
        <is>
          <t xml:space="preserve">Forecast start date · Average monthly net cash burn · DealScope conditional cash and runway</t>
        </is>
      </c>
      <c r="O186" s="17">
        <f>DATE(2026,10,1)</f>
        <v>46296</v>
      </c>
    </row>
    <row r="187">
      <c r="A187" t="inlineStr" s="14">
        <is>
          <t xml:space="preserve">Net cash burn</t>
        </is>
      </c>
      <c r="B187" s="12">
        <f>IF('Model inputs'!B82="","",'Model inputs'!B82)</f>
        <v>0</v>
      </c>
      <c r="C187" t="str" s="12">
        <f>IF('Model inputs'!C82="","",'Model inputs'!C82)</f>
        <v/>
      </c>
      <c r="D187" t="str" s="12">
        <f>IF('Model inputs'!D82="","",'Model inputs'!D82)</f>
        <v/>
      </c>
      <c r="E187" t="str" s="12">
        <f>IF('Model inputs'!E82="","",'Model inputs'!E82)</f>
        <v/>
      </c>
      <c r="F187" t="str" s="12">
        <f>IF('Model inputs'!F82="","",'Model inputs'!F82)</f>
        <v/>
      </c>
      <c r="G187" t="str" s="12">
        <f>IF('Model inputs'!G82="","",'Model inputs'!G82)</f>
        <v/>
      </c>
      <c r="H187" t="str" s="12">
        <f>IF('Model inputs'!H82="","",'Model inputs'!H82)</f>
        <v/>
      </c>
      <c r="I187" t="str" s="12">
        <f>IF('Model inputs'!I82="","",'Model inputs'!I82)</f>
        <v/>
      </c>
      <c r="J187" t="str" s="12">
        <f>IF('Model inputs'!J82="","",'Model inputs'!J82)</f>
        <v/>
      </c>
      <c r="K187" t="str" s="12">
        <f>IF('Model inputs'!K82="","",'Model inputs'!K82)</f>
        <v/>
      </c>
      <c r="L187" t="str" s="12">
        <f>IF('Model inputs'!L82="","",'Model inputs'!L82)</f>
        <v/>
      </c>
      <c r="M187" t="str" s="12">
        <f>IF('Model inputs'!M82="","",'Model inputs'!M82)</f>
        <v/>
      </c>
      <c r="N187" t="str" s="12">
        <f>IF('Model inputs'!N82="","",'Model inputs'!N82)</f>
        <v/>
      </c>
      <c r="Q187" s="12">
        <f>SUM('Model inputs'!Q188,'Model inputs'!Q189,'Model inputs'!Q190,'Model inputs'!Q191,'Model inputs'!Q192)</f>
        <v>0</v>
      </c>
      <c r="R187" s="12">
        <f>SUM('Model inputs'!R188,'Model inputs'!R189,'Model inputs'!R190,'Model inputs'!R191,'Model inputs'!R192)</f>
        <v>0</v>
      </c>
      <c r="S187" s="12">
        <f>SUM('Model inputs'!S188,'Model inputs'!S189,'Model inputs'!S190,'Model inputs'!S191,'Model inputs'!S192)</f>
        <v>0</v>
      </c>
      <c r="T187" s="12">
        <f>SUM('Model inputs'!T188,'Model inputs'!T189,'Model inputs'!T190,'Model inputs'!T191,'Model inputs'!T192)</f>
        <v>0</v>
      </c>
      <c r="U187" s="12">
        <f>SUM('Model inputs'!U188,'Model inputs'!U189,'Model inputs'!U190,'Model inputs'!U191,'Model inputs'!U192)</f>
        <v>0</v>
      </c>
      <c r="V187" s="12">
        <f>SUM('Model inputs'!V188,'Model inputs'!V189,'Model inputs'!V190,'Model inputs'!V191,'Model inputs'!V192)</f>
        <v>0</v>
      </c>
      <c r="W187" s="12">
        <f>SUM('Model inputs'!W188,'Model inputs'!W189,'Model inputs'!W190,'Model inputs'!W191,'Model inputs'!W192)</f>
        <v>0</v>
      </c>
      <c r="X187" s="12">
        <f>SUM('Model inputs'!X188,'Model inputs'!X189,'Model inputs'!X190,'Model inputs'!X191,'Model inputs'!X192)</f>
        <v>0</v>
      </c>
    </row>
    <row r="188" outlineLevel="1">
      <c r="A188" t="inlineStr" s="15">
        <is>
          <t xml:space="preserve">Net cash burn &gt; Annual deal-team</t>
        </is>
      </c>
      <c r="B188" s="10">
        <f>IF('Model inputs'!B83="","",'Model inputs'!B83)</f>
        <v>0</v>
      </c>
      <c r="C188" s="10">
        <f>IF('Model inputs'!C83="","",'Model inputs'!C83)</f>
        <v>-30264.25</v>
      </c>
      <c r="D188" s="10">
        <f>IF('Model inputs'!D83="","",'Model inputs'!D83)</f>
        <v>-32178.5</v>
      </c>
      <c r="E188" s="10">
        <f>IF('Model inputs'!E83="","",'Model inputs'!E83)</f>
        <v>-34092.75</v>
      </c>
      <c r="F188" s="10">
        <f>IF('Model inputs'!F83="","",'Model inputs'!F83)</f>
        <v>-36007</v>
      </c>
      <c r="G188" s="10">
        <f>IF('Model inputs'!G83="","",'Model inputs'!G83)</f>
        <v>-37921.25</v>
      </c>
      <c r="H188" s="10">
        <f>IF('Model inputs'!H83="","",'Model inputs'!H83)</f>
        <v>-39335.5</v>
      </c>
      <c r="I188" s="10">
        <f>IF('Model inputs'!I83="","",'Model inputs'!I83)</f>
        <v>-41249.75</v>
      </c>
      <c r="J188" s="10">
        <f>IF('Model inputs'!J83="","",'Model inputs'!J83)</f>
        <v>-43164</v>
      </c>
      <c r="K188" s="10">
        <f>IF('Model inputs'!K83="","",'Model inputs'!K83)</f>
        <v>-45078.25</v>
      </c>
      <c r="L188" s="10">
        <f>IF('Model inputs'!L83="","",'Model inputs'!L83)</f>
        <v>-46992.5</v>
      </c>
      <c r="M188" s="10">
        <f>IF('Model inputs'!M83="","",'Model inputs'!M83)</f>
        <v>-48906.75</v>
      </c>
      <c r="N188" s="10">
        <f>IF('Model inputs'!N83="","",'Model inputs'!N83)</f>
        <v>-50821</v>
      </c>
      <c r="Q188" s="10">
        <f>0</f>
        <v>0</v>
      </c>
      <c r="R188" s="10">
        <f>0</f>
        <v>0</v>
      </c>
      <c r="S188" s="10">
        <f>0</f>
        <v>0</v>
      </c>
      <c r="T188" s="10">
        <f>0</f>
        <v>0</v>
      </c>
      <c r="U188" s="10">
        <f>0</f>
        <v>0</v>
      </c>
      <c r="V188" s="10">
        <f>0</f>
        <v>0</v>
      </c>
      <c r="W188" s="10">
        <f>0</f>
        <v>0</v>
      </c>
      <c r="X188" s="10">
        <f>0</f>
        <v>0</v>
      </c>
    </row>
    <row r="189" outlineLevel="1">
      <c r="A189" t="inlineStr" s="15">
        <is>
          <t xml:space="preserve">Net cash burn &gt; Hybrid</t>
        </is>
      </c>
      <c r="B189" s="10">
        <f>IF('Model inputs'!B84="","",'Model inputs'!B84)</f>
        <v>0</v>
      </c>
      <c r="C189" s="10">
        <f>IF('Model inputs'!C84="","",'Model inputs'!C84)</f>
        <v>-10864.25</v>
      </c>
      <c r="D189" s="10">
        <f>IF('Model inputs'!D84="","",'Model inputs'!D84)</f>
        <v>-15203.5</v>
      </c>
      <c r="E189" s="10">
        <f>IF('Model inputs'!E84="","",'Model inputs'!E84)</f>
        <v>-19542.75</v>
      </c>
      <c r="F189" s="10">
        <f>IF('Model inputs'!F84="","",'Model inputs'!F84)</f>
        <v>-23882</v>
      </c>
      <c r="G189" s="10">
        <f>IF('Model inputs'!G84="","",'Model inputs'!G84)</f>
        <v>-28221.25</v>
      </c>
      <c r="H189" s="10">
        <f>IF('Model inputs'!H84="","",'Model inputs'!H84)</f>
        <v>-32060.5</v>
      </c>
      <c r="I189" s="10">
        <f>IF('Model inputs'!I84="","",'Model inputs'!I84)</f>
        <v>-36399.75</v>
      </c>
      <c r="J189" s="10">
        <f>IF('Model inputs'!J84="","",'Model inputs'!J84)</f>
        <v>-40739</v>
      </c>
      <c r="K189" s="10">
        <f>IF('Model inputs'!K84="","",'Model inputs'!K84)</f>
        <v>-45078.25</v>
      </c>
      <c r="L189" s="10">
        <f>IF('Model inputs'!L84="","",'Model inputs'!L84)</f>
        <v>-49417.5</v>
      </c>
      <c r="M189" s="10">
        <f>IF('Model inputs'!M84="","",'Model inputs'!M84)</f>
        <v>-53756.75</v>
      </c>
      <c r="N189" s="10">
        <f>IF('Model inputs'!N84="","",'Model inputs'!N84)</f>
        <v>-58096</v>
      </c>
      <c r="Q189" s="10">
        <f>0</f>
        <v>0</v>
      </c>
      <c r="R189" s="10">
        <f>0</f>
        <v>0</v>
      </c>
      <c r="S189" s="10">
        <f>0</f>
        <v>0</v>
      </c>
      <c r="T189" s="10">
        <f>0</f>
        <v>0</v>
      </c>
      <c r="U189" s="10">
        <f>0</f>
        <v>0</v>
      </c>
      <c r="V189" s="10">
        <f>0</f>
        <v>0</v>
      </c>
      <c r="W189" s="10">
        <f>0</f>
        <v>0</v>
      </c>
      <c r="X189" s="10">
        <f>0</f>
        <v>0</v>
      </c>
    </row>
    <row r="190" outlineLevel="1">
      <c r="A190" t="inlineStr" s="15">
        <is>
          <t xml:space="preserve">Net cash burn &gt; Per audit — base</t>
        </is>
      </c>
      <c r="B190" s="10">
        <f>IF('Model inputs'!B85="","",'Model inputs'!B85)</f>
        <v>0</v>
      </c>
      <c r="C190" s="10">
        <f>IF('Model inputs'!C85="","",'Model inputs'!C85)</f>
        <v>-6014.25</v>
      </c>
      <c r="D190" s="10">
        <f>IF('Model inputs'!D85="","",'Model inputs'!D85)</f>
        <v>-12778.5</v>
      </c>
      <c r="E190" s="10">
        <f>IF('Model inputs'!E85="","",'Model inputs'!E85)</f>
        <v>-19542.75</v>
      </c>
      <c r="F190" s="10">
        <f>IF('Model inputs'!F85="","",'Model inputs'!F85)</f>
        <v>-26307</v>
      </c>
      <c r="G190" s="10">
        <f>IF('Model inputs'!G85="","",'Model inputs'!G85)</f>
        <v>-33071.25</v>
      </c>
      <c r="H190" s="10">
        <f>IF('Model inputs'!H85="","",'Model inputs'!H85)</f>
        <v>-39335.5</v>
      </c>
      <c r="I190" s="10">
        <f>IF('Model inputs'!I85="","",'Model inputs'!I85)</f>
        <v>-46099.75</v>
      </c>
      <c r="J190" s="10">
        <f>IF('Model inputs'!J85="","",'Model inputs'!J85)</f>
        <v>-52864</v>
      </c>
      <c r="K190" s="10">
        <f>IF('Model inputs'!K85="","",'Model inputs'!K85)</f>
        <v>-59628.25</v>
      </c>
      <c r="L190" s="10">
        <f>IF('Model inputs'!L85="","",'Model inputs'!L85)</f>
        <v>-66392.5</v>
      </c>
      <c r="M190" s="10">
        <f>IF('Model inputs'!M85="","",'Model inputs'!M85)</f>
        <v>-73156.75</v>
      </c>
      <c r="N190" s="10">
        <f>IF('Model inputs'!N85="","",'Model inputs'!N85)</f>
        <v>-79921</v>
      </c>
      <c r="Q190" s="10">
        <f>0</f>
        <v>0</v>
      </c>
      <c r="R190" s="10">
        <f>0</f>
        <v>0</v>
      </c>
      <c r="S190" s="10">
        <f>0</f>
        <v>0</v>
      </c>
      <c r="T190" s="10">
        <f>0</f>
        <v>0</v>
      </c>
      <c r="U190" s="10">
        <f>0</f>
        <v>0</v>
      </c>
      <c r="V190" s="10">
        <f>0</f>
        <v>0</v>
      </c>
      <c r="W190" s="10">
        <f>0</f>
        <v>0</v>
      </c>
      <c r="X190" s="10">
        <f>0</f>
        <v>0</v>
      </c>
    </row>
    <row r="191" outlineLevel="1">
      <c r="A191" t="inlineStr" s="15">
        <is>
          <t xml:space="preserve">Net cash burn &gt; Per audit — high</t>
        </is>
      </c>
      <c r="B191" s="10">
        <f>IF('Model inputs'!B86="","",'Model inputs'!B86)</f>
        <v>0</v>
      </c>
      <c r="C191" s="10">
        <f>IF('Model inputs'!C86="","",'Model inputs'!C86)</f>
        <v>-13289.25</v>
      </c>
      <c r="D191" s="10">
        <f>IF('Model inputs'!D86="","",'Model inputs'!D86)</f>
        <v>-27328.5</v>
      </c>
      <c r="E191" s="10">
        <f>IF('Model inputs'!E86="","",'Model inputs'!E86)</f>
        <v>-41367.75</v>
      </c>
      <c r="F191" s="10">
        <f>IF('Model inputs'!F86="","",'Model inputs'!F86)</f>
        <v>-55407</v>
      </c>
      <c r="G191" s="10">
        <f>IF('Model inputs'!G86="","",'Model inputs'!G86)</f>
        <v>-69446.25</v>
      </c>
      <c r="H191" s="10">
        <f>IF('Model inputs'!H86="","",'Model inputs'!H86)</f>
        <v>-82985.5</v>
      </c>
      <c r="I191" s="10">
        <f>IF('Model inputs'!I86="","",'Model inputs'!I86)</f>
        <v>-97024.75</v>
      </c>
      <c r="J191" s="10">
        <f>IF('Model inputs'!J86="","",'Model inputs'!J86)</f>
        <v>-111064</v>
      </c>
      <c r="K191" s="10">
        <f>IF('Model inputs'!K86="","",'Model inputs'!K86)</f>
        <v>-125103.25</v>
      </c>
      <c r="L191" s="10">
        <f>IF('Model inputs'!L86="","",'Model inputs'!L86)</f>
        <v>-139142.5</v>
      </c>
      <c r="M191" s="10">
        <f>IF('Model inputs'!M86="","",'Model inputs'!M86)</f>
        <v>-153181.75</v>
      </c>
      <c r="N191" s="10">
        <f>IF('Model inputs'!N86="","",'Model inputs'!N86)</f>
        <v>-167221</v>
      </c>
      <c r="Q191" s="10">
        <f>0</f>
        <v>0</v>
      </c>
      <c r="R191" s="10">
        <f>0</f>
        <v>0</v>
      </c>
      <c r="S191" s="10">
        <f>0</f>
        <v>0</v>
      </c>
      <c r="T191" s="10">
        <f>0</f>
        <v>0</v>
      </c>
      <c r="U191" s="10">
        <f>0</f>
        <v>0</v>
      </c>
      <c r="V191" s="10">
        <f>0</f>
        <v>0</v>
      </c>
      <c r="W191" s="10">
        <f>0</f>
        <v>0</v>
      </c>
      <c r="X191" s="10">
        <f>0</f>
        <v>0</v>
      </c>
    </row>
    <row r="192" outlineLevel="1">
      <c r="A192" t="inlineStr" s="15">
        <is>
          <t xml:space="preserve">Net cash burn &gt; Per audit — low</t>
        </is>
      </c>
      <c r="B192" s="10">
        <f>IF('Model inputs'!B87="","",'Model inputs'!B87)</f>
        <v>0</v>
      </c>
      <c r="C192" s="10">
        <f>IF('Model inputs'!C87="","",'Model inputs'!C87)</f>
        <v>-2376.75</v>
      </c>
      <c r="D192" s="10">
        <f>IF('Model inputs'!D87="","",'Model inputs'!D87)</f>
        <v>-5503.5</v>
      </c>
      <c r="E192" s="10">
        <f>IF('Model inputs'!E87="","",'Model inputs'!E87)</f>
        <v>-8630.25</v>
      </c>
      <c r="F192" s="10">
        <f>IF('Model inputs'!F87="","",'Model inputs'!F87)</f>
        <v>-11757</v>
      </c>
      <c r="G192" s="10">
        <f>IF('Model inputs'!G87="","",'Model inputs'!G87)</f>
        <v>-14883.75</v>
      </c>
      <c r="H192" s="10">
        <f>IF('Model inputs'!H87="","",'Model inputs'!H87)</f>
        <v>-17510.5</v>
      </c>
      <c r="I192" s="10">
        <f>IF('Model inputs'!I87="","",'Model inputs'!I87)</f>
        <v>-20637.25</v>
      </c>
      <c r="J192" s="10">
        <f>IF('Model inputs'!J87="","",'Model inputs'!J87)</f>
        <v>-23764</v>
      </c>
      <c r="K192" s="10">
        <f>IF('Model inputs'!K87="","",'Model inputs'!K87)</f>
        <v>-26890.75</v>
      </c>
      <c r="L192" s="10">
        <f>IF('Model inputs'!L87="","",'Model inputs'!L87)</f>
        <v>-30017.5</v>
      </c>
      <c r="M192" s="10">
        <f>IF('Model inputs'!M87="","",'Model inputs'!M87)</f>
        <v>-33144.25</v>
      </c>
      <c r="N192" s="10">
        <f>IF('Model inputs'!N87="","",'Model inputs'!N87)</f>
        <v>-36271</v>
      </c>
      <c r="Q192" s="10">
        <f>0</f>
        <v>0</v>
      </c>
      <c r="R192" s="10">
        <f>0</f>
        <v>0</v>
      </c>
      <c r="S192" s="10">
        <f>0</f>
        <v>0</v>
      </c>
      <c r="T192" s="10">
        <f>0</f>
        <v>0</v>
      </c>
      <c r="U192" s="10">
        <f>0</f>
        <v>0</v>
      </c>
      <c r="V192" s="10">
        <f>0</f>
        <v>0</v>
      </c>
      <c r="W192" s="10">
        <f>0</f>
        <v>0</v>
      </c>
      <c r="X192" s="10">
        <f>0</f>
        <v>0</v>
      </c>
    </row>
    <row r="193">
      <c r="A193" t="inlineStr" s="14">
        <is>
          <t xml:space="preserve">Net cash burn</t>
        </is>
      </c>
      <c r="B193" s="12">
        <f>IF('Model inputs'!B82="","",'Model inputs'!B82)</f>
        <v>0</v>
      </c>
      <c r="C193" t="str" s="12">
        <f>IF('Model inputs'!C82="","",'Model inputs'!C82)</f>
        <v/>
      </c>
      <c r="D193" t="str" s="12">
        <f>IF('Model inputs'!D82="","",'Model inputs'!D82)</f>
        <v/>
      </c>
      <c r="E193" t="str" s="12">
        <f>IF('Model inputs'!E82="","",'Model inputs'!E82)</f>
        <v/>
      </c>
      <c r="F193" t="str" s="12">
        <f>IF('Model inputs'!F82="","",'Model inputs'!F82)</f>
        <v/>
      </c>
      <c r="G193" t="str" s="12">
        <f>IF('Model inputs'!G82="","",'Model inputs'!G82)</f>
        <v/>
      </c>
      <c r="H193" t="str" s="12">
        <f>IF('Model inputs'!H82="","",'Model inputs'!H82)</f>
        <v/>
      </c>
      <c r="I193" t="str" s="12">
        <f>IF('Model inputs'!I82="","",'Model inputs'!I82)</f>
        <v/>
      </c>
      <c r="J193" t="str" s="12">
        <f>IF('Model inputs'!J82="","",'Model inputs'!J82)</f>
        <v/>
      </c>
      <c r="K193" t="str" s="12">
        <f>IF('Model inputs'!K82="","",'Model inputs'!K82)</f>
        <v/>
      </c>
      <c r="L193" t="str" s="12">
        <f>IF('Model inputs'!L82="","",'Model inputs'!L82)</f>
        <v/>
      </c>
      <c r="M193" t="str" s="12">
        <f>IF('Model inputs'!M82="","",'Model inputs'!M82)</f>
        <v/>
      </c>
      <c r="N193" t="str" s="12">
        <f>IF('Model inputs'!N82="","",'Model inputs'!N82)</f>
        <v/>
      </c>
      <c r="Q193" s="12">
        <f>IF('Model inputs'!Q187="","",'Model inputs'!Q187)</f>
        <v>0</v>
      </c>
      <c r="R193" s="12">
        <f>IF('Model inputs'!R187="","",'Model inputs'!R187)</f>
        <v>0</v>
      </c>
      <c r="S193" s="12">
        <f>IF('Model inputs'!S187="","",'Model inputs'!S187)</f>
        <v>0</v>
      </c>
      <c r="T193" s="12">
        <f>IF('Model inputs'!T187="","",'Model inputs'!T187)</f>
        <v>0</v>
      </c>
      <c r="U193" s="12">
        <f>IF('Model inputs'!U187="","",'Model inputs'!U187)</f>
        <v>0</v>
      </c>
      <c r="V193" s="12">
        <f>IF('Model inputs'!V187="","",'Model inputs'!V187)</f>
        <v>0</v>
      </c>
      <c r="W193" s="12">
        <f>IF('Model inputs'!W187="","",'Model inputs'!W187)</f>
        <v>0</v>
      </c>
      <c r="X193" s="12">
        <f>IF('Model inputs'!X187="","",'Model inputs'!X187)</f>
        <v>0</v>
      </c>
      <c r="Y193" t="str" s="12">
        <f>""</f>
        <v/>
      </c>
      <c r="Z193" t="str" s="12">
        <f>""</f>
        <v/>
      </c>
      <c r="AA193" t="str" s="12">
        <f>""</f>
        <v/>
      </c>
    </row>
    <row r="194" outlineLevel="1">
      <c r="A194" t="inlineStr" s="15">
        <is>
          <t xml:space="preserve">Net cash burn &gt; Annual deal-team</t>
        </is>
      </c>
      <c r="B194" s="10">
        <f>IF('Model inputs'!B83="","",'Model inputs'!B83)</f>
        <v>0</v>
      </c>
      <c r="C194" s="10">
        <f>IF('Model inputs'!C83="","",'Model inputs'!C83)</f>
        <v>-30264.25</v>
      </c>
      <c r="D194" s="10">
        <f>IF('Model inputs'!D83="","",'Model inputs'!D83)</f>
        <v>-32178.5</v>
      </c>
      <c r="E194" s="10">
        <f>IF('Model inputs'!E83="","",'Model inputs'!E83)</f>
        <v>-34092.75</v>
      </c>
      <c r="F194" s="10">
        <f>IF('Model inputs'!F83="","",'Model inputs'!F83)</f>
        <v>-36007</v>
      </c>
      <c r="G194" s="10">
        <f>IF('Model inputs'!G83="","",'Model inputs'!G83)</f>
        <v>-37921.25</v>
      </c>
      <c r="H194" s="10">
        <f>IF('Model inputs'!H83="","",'Model inputs'!H83)</f>
        <v>-39335.5</v>
      </c>
      <c r="I194" s="10">
        <f>IF('Model inputs'!I83="","",'Model inputs'!I83)</f>
        <v>-41249.75</v>
      </c>
      <c r="J194" s="10">
        <f>IF('Model inputs'!J83="","",'Model inputs'!J83)</f>
        <v>-43164</v>
      </c>
      <c r="K194" s="10">
        <f>IF('Model inputs'!K83="","",'Model inputs'!K83)</f>
        <v>-45078.25</v>
      </c>
      <c r="L194" s="10">
        <f>IF('Model inputs'!L83="","",'Model inputs'!L83)</f>
        <v>-46992.5</v>
      </c>
      <c r="M194" s="10">
        <f>IF('Model inputs'!M83="","",'Model inputs'!M83)</f>
        <v>-48906.75</v>
      </c>
      <c r="N194" s="10">
        <f>IF('Model inputs'!N83="","",'Model inputs'!N83)</f>
        <v>-50821</v>
      </c>
      <c r="Q194" s="10">
        <f>IF('Model inputs'!Q188="","",'Model inputs'!Q188)</f>
        <v>0</v>
      </c>
      <c r="R194" s="10">
        <f>IF('Model inputs'!R188="","",'Model inputs'!R188)</f>
        <v>0</v>
      </c>
      <c r="S194" s="10">
        <f>IF('Model inputs'!S188="","",'Model inputs'!S188)</f>
        <v>0</v>
      </c>
      <c r="T194" s="10">
        <f>IF('Model inputs'!T188="","",'Model inputs'!T188)</f>
        <v>0</v>
      </c>
      <c r="U194" s="10">
        <f>IF('Model inputs'!U188="","",'Model inputs'!U188)</f>
        <v>0</v>
      </c>
      <c r="V194" s="10">
        <f>IF('Model inputs'!V188="","",'Model inputs'!V188)</f>
        <v>0</v>
      </c>
      <c r="W194" s="10">
        <f>IF('Model inputs'!W188="","",'Model inputs'!W188)</f>
        <v>0</v>
      </c>
      <c r="X194" s="10">
        <f>IF('Model inputs'!X188="","",'Model inputs'!X188)</f>
        <v>0</v>
      </c>
      <c r="Y194" s="10">
        <f>'Model inputs'!Y200+'Model inputs'!Y261+'Model inputs'!Y218+'Model inputs'!Y232-'Model inputs'!Y162</f>
        <v>-21721</v>
      </c>
      <c r="Z194" s="10">
        <f>'Model inputs'!Z200+'Model inputs'!Z261+'Model inputs'!Z218+'Model inputs'!Z232-'Model inputs'!Z162</f>
        <v>-21721</v>
      </c>
      <c r="AA194" s="10">
        <f>'Model inputs'!AA200+'Model inputs'!AA261+'Model inputs'!AA218+'Model inputs'!AA232-'Model inputs'!AA162</f>
        <v>-21721</v>
      </c>
    </row>
    <row r="195" outlineLevel="1">
      <c r="A195" t="inlineStr" s="15">
        <is>
          <t xml:space="preserve">Net cash burn &gt; Hybrid</t>
        </is>
      </c>
      <c r="B195" s="10">
        <f>IF('Model inputs'!B84="","",'Model inputs'!B84)</f>
        <v>0</v>
      </c>
      <c r="C195" s="10">
        <f>IF('Model inputs'!C84="","",'Model inputs'!C84)</f>
        <v>-10864.25</v>
      </c>
      <c r="D195" s="10">
        <f>IF('Model inputs'!D84="","",'Model inputs'!D84)</f>
        <v>-15203.5</v>
      </c>
      <c r="E195" s="10">
        <f>IF('Model inputs'!E84="","",'Model inputs'!E84)</f>
        <v>-19542.75</v>
      </c>
      <c r="F195" s="10">
        <f>IF('Model inputs'!F84="","",'Model inputs'!F84)</f>
        <v>-23882</v>
      </c>
      <c r="G195" s="10">
        <f>IF('Model inputs'!G84="","",'Model inputs'!G84)</f>
        <v>-28221.25</v>
      </c>
      <c r="H195" s="10">
        <f>IF('Model inputs'!H84="","",'Model inputs'!H84)</f>
        <v>-32060.5</v>
      </c>
      <c r="I195" s="10">
        <f>IF('Model inputs'!I84="","",'Model inputs'!I84)</f>
        <v>-36399.75</v>
      </c>
      <c r="J195" s="10">
        <f>IF('Model inputs'!J84="","",'Model inputs'!J84)</f>
        <v>-40739</v>
      </c>
      <c r="K195" s="10">
        <f>IF('Model inputs'!K84="","",'Model inputs'!K84)</f>
        <v>-45078.25</v>
      </c>
      <c r="L195" s="10">
        <f>IF('Model inputs'!L84="","",'Model inputs'!L84)</f>
        <v>-49417.5</v>
      </c>
      <c r="M195" s="10">
        <f>IF('Model inputs'!M84="","",'Model inputs'!M84)</f>
        <v>-53756.75</v>
      </c>
      <c r="N195" s="10">
        <f>IF('Model inputs'!N84="","",'Model inputs'!N84)</f>
        <v>-58096</v>
      </c>
      <c r="Q195" s="10">
        <f>IF('Model inputs'!Q189="","",'Model inputs'!Q189)</f>
        <v>0</v>
      </c>
      <c r="R195" s="10">
        <f>IF('Model inputs'!R189="","",'Model inputs'!R189)</f>
        <v>0</v>
      </c>
      <c r="S195" s="10">
        <f>IF('Model inputs'!S189="","",'Model inputs'!S189)</f>
        <v>0</v>
      </c>
      <c r="T195" s="10">
        <f>IF('Model inputs'!T189="","",'Model inputs'!T189)</f>
        <v>0</v>
      </c>
      <c r="U195" s="10">
        <f>IF('Model inputs'!U189="","",'Model inputs'!U189)</f>
        <v>0</v>
      </c>
      <c r="V195" s="10">
        <f>IF('Model inputs'!V189="","",'Model inputs'!V189)</f>
        <v>0</v>
      </c>
      <c r="W195" s="10">
        <f>IF('Model inputs'!W189="","",'Model inputs'!W189)</f>
        <v>0</v>
      </c>
      <c r="X195" s="10">
        <f>IF('Model inputs'!X189="","",'Model inputs'!X189)</f>
        <v>0</v>
      </c>
      <c r="Y195" s="10">
        <f>'Model inputs'!Y201+'Model inputs'!Y262+'Model inputs'!Y219+'Model inputs'!Y232-'Model inputs'!Y163</f>
        <v>-50821</v>
      </c>
      <c r="Z195" s="10">
        <f>'Model inputs'!Z201+'Model inputs'!Z262+'Model inputs'!Z219+'Model inputs'!Z232-'Model inputs'!Z163</f>
        <v>-50821</v>
      </c>
      <c r="AA195" s="10">
        <f>'Model inputs'!AA201+'Model inputs'!AA262+'Model inputs'!AA219+'Model inputs'!AA232-'Model inputs'!AA163</f>
        <v>-50821</v>
      </c>
    </row>
    <row r="196" outlineLevel="1">
      <c r="A196" t="inlineStr" s="15">
        <is>
          <t xml:space="preserve">Net cash burn &gt; Per audit — base</t>
        </is>
      </c>
      <c r="B196" s="10">
        <f>IF('Model inputs'!B85="","",'Model inputs'!B85)</f>
        <v>0</v>
      </c>
      <c r="C196" s="10">
        <f>IF('Model inputs'!C85="","",'Model inputs'!C85)</f>
        <v>-6014.25</v>
      </c>
      <c r="D196" s="10">
        <f>IF('Model inputs'!D85="","",'Model inputs'!D85)</f>
        <v>-12778.5</v>
      </c>
      <c r="E196" s="10">
        <f>IF('Model inputs'!E85="","",'Model inputs'!E85)</f>
        <v>-19542.75</v>
      </c>
      <c r="F196" s="10">
        <f>IF('Model inputs'!F85="","",'Model inputs'!F85)</f>
        <v>-26307</v>
      </c>
      <c r="G196" s="10">
        <f>IF('Model inputs'!G85="","",'Model inputs'!G85)</f>
        <v>-33071.25</v>
      </c>
      <c r="H196" s="10">
        <f>IF('Model inputs'!H85="","",'Model inputs'!H85)</f>
        <v>-39335.5</v>
      </c>
      <c r="I196" s="10">
        <f>IF('Model inputs'!I85="","",'Model inputs'!I85)</f>
        <v>-46099.75</v>
      </c>
      <c r="J196" s="10">
        <f>IF('Model inputs'!J85="","",'Model inputs'!J85)</f>
        <v>-52864</v>
      </c>
      <c r="K196" s="10">
        <f>IF('Model inputs'!K85="","",'Model inputs'!K85)</f>
        <v>-59628.25</v>
      </c>
      <c r="L196" s="10">
        <f>IF('Model inputs'!L85="","",'Model inputs'!L85)</f>
        <v>-66392.5</v>
      </c>
      <c r="M196" s="10">
        <f>IF('Model inputs'!M85="","",'Model inputs'!M85)</f>
        <v>-73156.75</v>
      </c>
      <c r="N196" s="10">
        <f>IF('Model inputs'!N85="","",'Model inputs'!N85)</f>
        <v>-79921</v>
      </c>
      <c r="Q196" s="10">
        <f>IF('Model inputs'!Q190="","",'Model inputs'!Q190)</f>
        <v>0</v>
      </c>
      <c r="R196" s="10">
        <f>IF('Model inputs'!R190="","",'Model inputs'!R190)</f>
        <v>0</v>
      </c>
      <c r="S196" s="10">
        <f>IF('Model inputs'!S190="","",'Model inputs'!S190)</f>
        <v>0</v>
      </c>
      <c r="T196" s="10">
        <f>IF('Model inputs'!T190="","",'Model inputs'!T190)</f>
        <v>0</v>
      </c>
      <c r="U196" s="10">
        <f>IF('Model inputs'!U190="","",'Model inputs'!U190)</f>
        <v>0</v>
      </c>
      <c r="V196" s="10">
        <f>IF('Model inputs'!V190="","",'Model inputs'!V190)</f>
        <v>0</v>
      </c>
      <c r="W196" s="10">
        <f>IF('Model inputs'!W190="","",'Model inputs'!W190)</f>
        <v>0</v>
      </c>
      <c r="X196" s="10">
        <f>IF('Model inputs'!X190="","",'Model inputs'!X190)</f>
        <v>0</v>
      </c>
      <c r="Y196" s="10">
        <f>'Model inputs'!Y202+'Model inputs'!Y263+'Model inputs'!Y220+'Model inputs'!Y232-'Model inputs'!Y164</f>
        <v>-79921</v>
      </c>
      <c r="Z196" s="10">
        <f>'Model inputs'!Z202+'Model inputs'!Z263+'Model inputs'!Z220+'Model inputs'!Z232-'Model inputs'!Z164</f>
        <v>-79921</v>
      </c>
      <c r="AA196" s="10">
        <f>'Model inputs'!AA202+'Model inputs'!AA263+'Model inputs'!AA220+'Model inputs'!AA232-'Model inputs'!AA164</f>
        <v>-79921</v>
      </c>
    </row>
    <row r="197" outlineLevel="1">
      <c r="A197" t="inlineStr" s="15">
        <is>
          <t xml:space="preserve">Net cash burn &gt; Per audit — high</t>
        </is>
      </c>
      <c r="B197" s="10">
        <f>IF('Model inputs'!B86="","",'Model inputs'!B86)</f>
        <v>0</v>
      </c>
      <c r="C197" s="10">
        <f>IF('Model inputs'!C86="","",'Model inputs'!C86)</f>
        <v>-13289.25</v>
      </c>
      <c r="D197" s="10">
        <f>IF('Model inputs'!D86="","",'Model inputs'!D86)</f>
        <v>-27328.5</v>
      </c>
      <c r="E197" s="10">
        <f>IF('Model inputs'!E86="","",'Model inputs'!E86)</f>
        <v>-41367.75</v>
      </c>
      <c r="F197" s="10">
        <f>IF('Model inputs'!F86="","",'Model inputs'!F86)</f>
        <v>-55407</v>
      </c>
      <c r="G197" s="10">
        <f>IF('Model inputs'!G86="","",'Model inputs'!G86)</f>
        <v>-69446.25</v>
      </c>
      <c r="H197" s="10">
        <f>IF('Model inputs'!H86="","",'Model inputs'!H86)</f>
        <v>-82985.5</v>
      </c>
      <c r="I197" s="10">
        <f>IF('Model inputs'!I86="","",'Model inputs'!I86)</f>
        <v>-97024.75</v>
      </c>
      <c r="J197" s="10">
        <f>IF('Model inputs'!J86="","",'Model inputs'!J86)</f>
        <v>-111064</v>
      </c>
      <c r="K197" s="10">
        <f>IF('Model inputs'!K86="","",'Model inputs'!K86)</f>
        <v>-125103.25</v>
      </c>
      <c r="L197" s="10">
        <f>IF('Model inputs'!L86="","",'Model inputs'!L86)</f>
        <v>-139142.5</v>
      </c>
      <c r="M197" s="10">
        <f>IF('Model inputs'!M86="","",'Model inputs'!M86)</f>
        <v>-153181.75</v>
      </c>
      <c r="N197" s="10">
        <f>IF('Model inputs'!N86="","",'Model inputs'!N86)</f>
        <v>-167221</v>
      </c>
      <c r="Q197" s="10">
        <f>IF('Model inputs'!Q191="","",'Model inputs'!Q191)</f>
        <v>0</v>
      </c>
      <c r="R197" s="10">
        <f>IF('Model inputs'!R191="","",'Model inputs'!R191)</f>
        <v>0</v>
      </c>
      <c r="S197" s="10">
        <f>IF('Model inputs'!S191="","",'Model inputs'!S191)</f>
        <v>0</v>
      </c>
      <c r="T197" s="10">
        <f>IF('Model inputs'!T191="","",'Model inputs'!T191)</f>
        <v>0</v>
      </c>
      <c r="U197" s="10">
        <f>IF('Model inputs'!U191="","",'Model inputs'!U191)</f>
        <v>0</v>
      </c>
      <c r="V197" s="10">
        <f>IF('Model inputs'!V191="","",'Model inputs'!V191)</f>
        <v>0</v>
      </c>
      <c r="W197" s="10">
        <f>IF('Model inputs'!W191="","",'Model inputs'!W191)</f>
        <v>0</v>
      </c>
      <c r="X197" s="10">
        <f>IF('Model inputs'!X191="","",'Model inputs'!X191)</f>
        <v>0</v>
      </c>
      <c r="Y197" s="10">
        <f>'Model inputs'!Y203+'Model inputs'!Y264+'Model inputs'!Y221+'Model inputs'!Y232-'Model inputs'!Y165</f>
        <v>-167221</v>
      </c>
      <c r="Z197" s="10">
        <f>'Model inputs'!Z203+'Model inputs'!Z264+'Model inputs'!Z221+'Model inputs'!Z232-'Model inputs'!Z165</f>
        <v>-167221</v>
      </c>
      <c r="AA197" s="10">
        <f>'Model inputs'!AA203+'Model inputs'!AA264+'Model inputs'!AA221+'Model inputs'!AA232-'Model inputs'!AA165</f>
        <v>-167221</v>
      </c>
    </row>
    <row r="198" outlineLevel="1">
      <c r="A198" t="inlineStr" s="15">
        <is>
          <t xml:space="preserve">Net cash burn &gt; Per audit — low</t>
        </is>
      </c>
      <c r="B198" s="10">
        <f>IF('Model inputs'!B87="","",'Model inputs'!B87)</f>
        <v>0</v>
      </c>
      <c r="C198" s="10">
        <f>IF('Model inputs'!C87="","",'Model inputs'!C87)</f>
        <v>-2376.75</v>
      </c>
      <c r="D198" s="10">
        <f>IF('Model inputs'!D87="","",'Model inputs'!D87)</f>
        <v>-5503.5</v>
      </c>
      <c r="E198" s="10">
        <f>IF('Model inputs'!E87="","",'Model inputs'!E87)</f>
        <v>-8630.25</v>
      </c>
      <c r="F198" s="10">
        <f>IF('Model inputs'!F87="","",'Model inputs'!F87)</f>
        <v>-11757</v>
      </c>
      <c r="G198" s="10">
        <f>IF('Model inputs'!G87="","",'Model inputs'!G87)</f>
        <v>-14883.75</v>
      </c>
      <c r="H198" s="10">
        <f>IF('Model inputs'!H87="","",'Model inputs'!H87)</f>
        <v>-17510.5</v>
      </c>
      <c r="I198" s="10">
        <f>IF('Model inputs'!I87="","",'Model inputs'!I87)</f>
        <v>-20637.25</v>
      </c>
      <c r="J198" s="10">
        <f>IF('Model inputs'!J87="","",'Model inputs'!J87)</f>
        <v>-23764</v>
      </c>
      <c r="K198" s="10">
        <f>IF('Model inputs'!K87="","",'Model inputs'!K87)</f>
        <v>-26890.75</v>
      </c>
      <c r="L198" s="10">
        <f>IF('Model inputs'!L87="","",'Model inputs'!L87)</f>
        <v>-30017.5</v>
      </c>
      <c r="M198" s="10">
        <f>IF('Model inputs'!M87="","",'Model inputs'!M87)</f>
        <v>-33144.25</v>
      </c>
      <c r="N198" s="10">
        <f>IF('Model inputs'!N87="","",'Model inputs'!N87)</f>
        <v>-36271</v>
      </c>
      <c r="Q198" s="10">
        <f>IF('Model inputs'!Q192="","",'Model inputs'!Q192)</f>
        <v>0</v>
      </c>
      <c r="R198" s="10">
        <f>IF('Model inputs'!R192="","",'Model inputs'!R192)</f>
        <v>0</v>
      </c>
      <c r="S198" s="10">
        <f>IF('Model inputs'!S192="","",'Model inputs'!S192)</f>
        <v>0</v>
      </c>
      <c r="T198" s="10">
        <f>IF('Model inputs'!T192="","",'Model inputs'!T192)</f>
        <v>0</v>
      </c>
      <c r="U198" s="10">
        <f>IF('Model inputs'!U192="","",'Model inputs'!U192)</f>
        <v>0</v>
      </c>
      <c r="V198" s="10">
        <f>IF('Model inputs'!V192="","",'Model inputs'!V192)</f>
        <v>0</v>
      </c>
      <c r="W198" s="10">
        <f>IF('Model inputs'!W192="","",'Model inputs'!W192)</f>
        <v>0</v>
      </c>
      <c r="X198" s="10">
        <f>IF('Model inputs'!X192="","",'Model inputs'!X192)</f>
        <v>0</v>
      </c>
      <c r="Y198" s="10">
        <f>'Model inputs'!Y204+'Model inputs'!Y265+'Model inputs'!Y222+'Model inputs'!Y232-'Model inputs'!Y166</f>
        <v>-36271</v>
      </c>
      <c r="Z198" s="10">
        <f>'Model inputs'!Z204+'Model inputs'!Z265+'Model inputs'!Z222+'Model inputs'!Z232-'Model inputs'!Z166</f>
        <v>-36271</v>
      </c>
      <c r="AA198" s="10">
        <f>'Model inputs'!AA204+'Model inputs'!AA265+'Model inputs'!AA222+'Model inputs'!AA232-'Model inputs'!AA166</f>
        <v>-36271</v>
      </c>
    </row>
    <row r="199">
      <c r="A199" t="inlineStr" s="14">
        <is>
          <t xml:space="preserve">Delivery COGS</t>
        </is>
      </c>
      <c r="B199" s="12">
        <f>IF('Model inputs'!B50="","",'Model inputs'!B50)</f>
        <v>0</v>
      </c>
      <c r="C199" t="str" s="12">
        <f>IF('Model inputs'!C50="","",'Model inputs'!C50)</f>
        <v/>
      </c>
      <c r="D199" t="str" s="12">
        <f>IF('Model inputs'!D50="","",'Model inputs'!D50)</f>
        <v/>
      </c>
      <c r="E199" t="str" s="12">
        <f>IF('Model inputs'!E50="","",'Model inputs'!E50)</f>
        <v/>
      </c>
      <c r="F199" t="str" s="12">
        <f>IF('Model inputs'!F50="","",'Model inputs'!F50)</f>
        <v/>
      </c>
      <c r="G199" t="str" s="12">
        <f>IF('Model inputs'!G50="","",'Model inputs'!G50)</f>
        <v/>
      </c>
      <c r="H199" t="str" s="12">
        <f>IF('Model inputs'!H50="","",'Model inputs'!H50)</f>
        <v/>
      </c>
      <c r="I199" t="str" s="12">
        <f>IF('Model inputs'!I50="","",'Model inputs'!I50)</f>
        <v/>
      </c>
      <c r="J199" t="str" s="12">
        <f>IF('Model inputs'!J50="","",'Model inputs'!J50)</f>
        <v/>
      </c>
      <c r="K199" t="str" s="12">
        <f>IF('Model inputs'!K50="","",'Model inputs'!K50)</f>
        <v/>
      </c>
      <c r="L199" t="str" s="12">
        <f>IF('Model inputs'!L50="","",'Model inputs'!L50)</f>
        <v/>
      </c>
      <c r="M199" t="str" s="12">
        <f>IF('Model inputs'!M50="","",'Model inputs'!M50)</f>
        <v/>
      </c>
      <c r="N199" t="str" s="12">
        <f>IF('Model inputs'!N50="","",'Model inputs'!N50)</f>
        <v/>
      </c>
      <c r="Q199" s="12">
        <f>SUM('Model inputs'!Q200,'Model inputs'!Q201,'Model inputs'!Q202,'Model inputs'!Q203,'Model inputs'!Q204)</f>
        <v>0</v>
      </c>
      <c r="R199" s="12">
        <f>SUM('Model inputs'!R200,'Model inputs'!R201,'Model inputs'!R202,'Model inputs'!R203,'Model inputs'!R204)</f>
        <v>0</v>
      </c>
      <c r="S199" s="12">
        <f>SUM('Model inputs'!S200,'Model inputs'!S201,'Model inputs'!S202,'Model inputs'!S203,'Model inputs'!S204)</f>
        <v>0</v>
      </c>
      <c r="T199" s="12">
        <f>SUM('Model inputs'!T200,'Model inputs'!T201,'Model inputs'!T202,'Model inputs'!T203,'Model inputs'!T204)</f>
        <v>0</v>
      </c>
      <c r="U199" s="12">
        <f>SUM('Model inputs'!U200,'Model inputs'!U201,'Model inputs'!U202,'Model inputs'!U203,'Model inputs'!U204)</f>
        <v>0</v>
      </c>
      <c r="V199" s="12">
        <f>SUM('Model inputs'!V200,'Model inputs'!V201,'Model inputs'!V202,'Model inputs'!V203,'Model inputs'!V204)</f>
        <v>0</v>
      </c>
      <c r="W199" s="12">
        <f>SUM('Model inputs'!W200,'Model inputs'!W201,'Model inputs'!W202,'Model inputs'!W203,'Model inputs'!W204)</f>
        <v>0</v>
      </c>
      <c r="X199" s="12">
        <f>SUM('Model inputs'!X200,'Model inputs'!X201,'Model inputs'!X202,'Model inputs'!X203,'Model inputs'!X204)</f>
        <v>0</v>
      </c>
      <c r="Y199" t="str" s="12">
        <f>""</f>
        <v/>
      </c>
      <c r="Z199" t="str" s="12">
        <f>""</f>
        <v/>
      </c>
      <c r="AA199" t="str" s="12">
        <f>""</f>
        <v/>
      </c>
    </row>
    <row r="200" outlineLevel="1">
      <c r="A200" t="inlineStr" s="15">
        <is>
          <t xml:space="preserve">Delivery COGS &gt; Annual deal-team</t>
        </is>
      </c>
      <c r="B200" s="10">
        <f>IF('Model inputs'!B51="","",'Model inputs'!B51)</f>
        <v>0</v>
      </c>
      <c r="C200" s="10">
        <f>IF('Model inputs'!C51="","",'Model inputs'!C51)</f>
        <v>473.25</v>
      </c>
      <c r="D200" s="10">
        <f>IF('Model inputs'!D51="","",'Model inputs'!D51)</f>
        <v>946.5</v>
      </c>
      <c r="E200" s="10">
        <f>IF('Model inputs'!E51="","",'Model inputs'!E51)</f>
        <v>1419.75</v>
      </c>
      <c r="F200" s="10">
        <f>IF('Model inputs'!F51="","",'Model inputs'!F51)</f>
        <v>1893</v>
      </c>
      <c r="G200" s="10">
        <f>IF('Model inputs'!G51="","",'Model inputs'!G51)</f>
        <v>2366.25</v>
      </c>
      <c r="H200" s="10">
        <f>IF('Model inputs'!H51="","",'Model inputs'!H51)</f>
        <v>2839.5</v>
      </c>
      <c r="I200" s="10">
        <f>IF('Model inputs'!I51="","",'Model inputs'!I51)</f>
        <v>3312.75</v>
      </c>
      <c r="J200" s="10">
        <f>IF('Model inputs'!J51="","",'Model inputs'!J51)</f>
        <v>3786</v>
      </c>
      <c r="K200" s="10">
        <f>IF('Model inputs'!K51="","",'Model inputs'!K51)</f>
        <v>4259.25</v>
      </c>
      <c r="L200" s="10">
        <f>IF('Model inputs'!L51="","",'Model inputs'!L51)</f>
        <v>4732.5</v>
      </c>
      <c r="M200" s="10">
        <f>IF('Model inputs'!M51="","",'Model inputs'!M51)</f>
        <v>5205.75</v>
      </c>
      <c r="N200" s="10">
        <f>IF('Model inputs'!N51="","",'Model inputs'!N51)</f>
        <v>5679</v>
      </c>
      <c r="Q200" s="10">
        <f>0</f>
        <v>0</v>
      </c>
      <c r="R200" s="10">
        <f>0</f>
        <v>0</v>
      </c>
      <c r="S200" s="10">
        <f>0</f>
        <v>0</v>
      </c>
      <c r="T200" s="10">
        <f>0</f>
        <v>0</v>
      </c>
      <c r="U200" s="10">
        <f>0</f>
        <v>0</v>
      </c>
      <c r="V200" s="10">
        <f>0</f>
        <v>0</v>
      </c>
      <c r="W200" s="10">
        <f>0</f>
        <v>0</v>
      </c>
      <c r="X200" s="10">
        <f>0</f>
        <v>0</v>
      </c>
      <c r="Y200" s="10">
        <f>'Model inputs'!Y206*'Model inputs'!O131</f>
        <v>5679</v>
      </c>
      <c r="Z200" s="10">
        <f>'Model inputs'!Z206*'Model inputs'!O131</f>
        <v>5679</v>
      </c>
      <c r="AA200" s="10">
        <f>'Model inputs'!AA206*'Model inputs'!O131</f>
        <v>5679</v>
      </c>
    </row>
    <row r="201" outlineLevel="1">
      <c r="A201" t="inlineStr" s="15">
        <is>
          <t xml:space="preserve">Delivery COGS &gt; Hybrid</t>
        </is>
      </c>
      <c r="B201" s="10">
        <f>IF('Model inputs'!B52="","",'Model inputs'!B52)</f>
        <v>0</v>
      </c>
      <c r="C201" s="10">
        <f>IF('Model inputs'!C52="","",'Model inputs'!C52)</f>
        <v>473.25</v>
      </c>
      <c r="D201" s="10">
        <f>IF('Model inputs'!D52="","",'Model inputs'!D52)</f>
        <v>946.5</v>
      </c>
      <c r="E201" s="10">
        <f>IF('Model inputs'!E52="","",'Model inputs'!E52)</f>
        <v>1419.75</v>
      </c>
      <c r="F201" s="10">
        <f>IF('Model inputs'!F52="","",'Model inputs'!F52)</f>
        <v>1893</v>
      </c>
      <c r="G201" s="10">
        <f>IF('Model inputs'!G52="","",'Model inputs'!G52)</f>
        <v>2366.25</v>
      </c>
      <c r="H201" s="10">
        <f>IF('Model inputs'!H52="","",'Model inputs'!H52)</f>
        <v>2839.5</v>
      </c>
      <c r="I201" s="10">
        <f>IF('Model inputs'!I52="","",'Model inputs'!I52)</f>
        <v>3312.75</v>
      </c>
      <c r="J201" s="10">
        <f>IF('Model inputs'!J52="","",'Model inputs'!J52)</f>
        <v>3786</v>
      </c>
      <c r="K201" s="10">
        <f>IF('Model inputs'!K52="","",'Model inputs'!K52)</f>
        <v>4259.25</v>
      </c>
      <c r="L201" s="10">
        <f>IF('Model inputs'!L52="","",'Model inputs'!L52)</f>
        <v>4732.5</v>
      </c>
      <c r="M201" s="10">
        <f>IF('Model inputs'!M52="","",'Model inputs'!M52)</f>
        <v>5205.75</v>
      </c>
      <c r="N201" s="10">
        <f>IF('Model inputs'!N52="","",'Model inputs'!N52)</f>
        <v>5679</v>
      </c>
      <c r="Q201" s="10">
        <f>0</f>
        <v>0</v>
      </c>
      <c r="R201" s="10">
        <f>0</f>
        <v>0</v>
      </c>
      <c r="S201" s="10">
        <f>0</f>
        <v>0</v>
      </c>
      <c r="T201" s="10">
        <f>0</f>
        <v>0</v>
      </c>
      <c r="U201" s="10">
        <f>0</f>
        <v>0</v>
      </c>
      <c r="V201" s="10">
        <f>0</f>
        <v>0</v>
      </c>
      <c r="W201" s="10">
        <f>0</f>
        <v>0</v>
      </c>
      <c r="X201" s="10">
        <f>0</f>
        <v>0</v>
      </c>
      <c r="Y201" s="10">
        <f>'Model inputs'!Y207*'Model inputs'!O131</f>
        <v>5679</v>
      </c>
      <c r="Z201" s="10">
        <f>'Model inputs'!Z207*'Model inputs'!O131</f>
        <v>5679</v>
      </c>
      <c r="AA201" s="10">
        <f>'Model inputs'!AA207*'Model inputs'!O131</f>
        <v>5679</v>
      </c>
    </row>
    <row r="202" outlineLevel="1">
      <c r="A202" t="inlineStr" s="15">
        <is>
          <t xml:space="preserve">Delivery COGS &gt; Per audit — base</t>
        </is>
      </c>
      <c r="B202" s="10">
        <f>IF('Model inputs'!B53="","",'Model inputs'!B53)</f>
        <v>0</v>
      </c>
      <c r="C202" s="10">
        <f>IF('Model inputs'!C53="","",'Model inputs'!C53)</f>
        <v>473.25</v>
      </c>
      <c r="D202" s="10">
        <f>IF('Model inputs'!D53="","",'Model inputs'!D53)</f>
        <v>946.5</v>
      </c>
      <c r="E202" s="10">
        <f>IF('Model inputs'!E53="","",'Model inputs'!E53)</f>
        <v>1419.75</v>
      </c>
      <c r="F202" s="10">
        <f>IF('Model inputs'!F53="","",'Model inputs'!F53)</f>
        <v>1893</v>
      </c>
      <c r="G202" s="10">
        <f>IF('Model inputs'!G53="","",'Model inputs'!G53)</f>
        <v>2366.25</v>
      </c>
      <c r="H202" s="10">
        <f>IF('Model inputs'!H53="","",'Model inputs'!H53)</f>
        <v>2839.5</v>
      </c>
      <c r="I202" s="10">
        <f>IF('Model inputs'!I53="","",'Model inputs'!I53)</f>
        <v>3312.75</v>
      </c>
      <c r="J202" s="10">
        <f>IF('Model inputs'!J53="","",'Model inputs'!J53)</f>
        <v>3786</v>
      </c>
      <c r="K202" s="10">
        <f>IF('Model inputs'!K53="","",'Model inputs'!K53)</f>
        <v>4259.25</v>
      </c>
      <c r="L202" s="10">
        <f>IF('Model inputs'!L53="","",'Model inputs'!L53)</f>
        <v>4732.5</v>
      </c>
      <c r="M202" s="10">
        <f>IF('Model inputs'!M53="","",'Model inputs'!M53)</f>
        <v>5205.75</v>
      </c>
      <c r="N202" s="10">
        <f>IF('Model inputs'!N53="","",'Model inputs'!N53)</f>
        <v>5679</v>
      </c>
      <c r="Q202" s="10">
        <f>0</f>
        <v>0</v>
      </c>
      <c r="R202" s="10">
        <f>0</f>
        <v>0</v>
      </c>
      <c r="S202" s="10">
        <f>0</f>
        <v>0</v>
      </c>
      <c r="T202" s="10">
        <f>0</f>
        <v>0</v>
      </c>
      <c r="U202" s="10">
        <f>0</f>
        <v>0</v>
      </c>
      <c r="V202" s="10">
        <f>0</f>
        <v>0</v>
      </c>
      <c r="W202" s="10">
        <f>0</f>
        <v>0</v>
      </c>
      <c r="X202" s="10">
        <f>0</f>
        <v>0</v>
      </c>
      <c r="Y202" s="10">
        <f>'Model inputs'!Y208*'Model inputs'!O131</f>
        <v>5679</v>
      </c>
      <c r="Z202" s="10">
        <f>'Model inputs'!Z208*'Model inputs'!O131</f>
        <v>5679</v>
      </c>
      <c r="AA202" s="10">
        <f>'Model inputs'!AA208*'Model inputs'!O131</f>
        <v>5679</v>
      </c>
    </row>
    <row r="203" outlineLevel="1">
      <c r="A203" t="inlineStr" s="15">
        <is>
          <t xml:space="preserve">Delivery COGS &gt; Per audit — high</t>
        </is>
      </c>
      <c r="B203" s="10">
        <f>IF('Model inputs'!B54="","",'Model inputs'!B54)</f>
        <v>0</v>
      </c>
      <c r="C203" s="10">
        <f>IF('Model inputs'!C54="","",'Model inputs'!C54)</f>
        <v>473.25</v>
      </c>
      <c r="D203" s="10">
        <f>IF('Model inputs'!D54="","",'Model inputs'!D54)</f>
        <v>946.5</v>
      </c>
      <c r="E203" s="10">
        <f>IF('Model inputs'!E54="","",'Model inputs'!E54)</f>
        <v>1419.75</v>
      </c>
      <c r="F203" s="10">
        <f>IF('Model inputs'!F54="","",'Model inputs'!F54)</f>
        <v>1893</v>
      </c>
      <c r="G203" s="10">
        <f>IF('Model inputs'!G54="","",'Model inputs'!G54)</f>
        <v>2366.25</v>
      </c>
      <c r="H203" s="10">
        <f>IF('Model inputs'!H54="","",'Model inputs'!H54)</f>
        <v>2839.5</v>
      </c>
      <c r="I203" s="10">
        <f>IF('Model inputs'!I54="","",'Model inputs'!I54)</f>
        <v>3312.75</v>
      </c>
      <c r="J203" s="10">
        <f>IF('Model inputs'!J54="","",'Model inputs'!J54)</f>
        <v>3786</v>
      </c>
      <c r="K203" s="10">
        <f>IF('Model inputs'!K54="","",'Model inputs'!K54)</f>
        <v>4259.25</v>
      </c>
      <c r="L203" s="10">
        <f>IF('Model inputs'!L54="","",'Model inputs'!L54)</f>
        <v>4732.5</v>
      </c>
      <c r="M203" s="10">
        <f>IF('Model inputs'!M54="","",'Model inputs'!M54)</f>
        <v>5205.75</v>
      </c>
      <c r="N203" s="10">
        <f>IF('Model inputs'!N54="","",'Model inputs'!N54)</f>
        <v>5679</v>
      </c>
      <c r="Q203" s="10">
        <f>0</f>
        <v>0</v>
      </c>
      <c r="R203" s="10">
        <f>0</f>
        <v>0</v>
      </c>
      <c r="S203" s="10">
        <f>0</f>
        <v>0</v>
      </c>
      <c r="T203" s="10">
        <f>0</f>
        <v>0</v>
      </c>
      <c r="U203" s="10">
        <f>0</f>
        <v>0</v>
      </c>
      <c r="V203" s="10">
        <f>0</f>
        <v>0</v>
      </c>
      <c r="W203" s="10">
        <f>0</f>
        <v>0</v>
      </c>
      <c r="X203" s="10">
        <f>0</f>
        <v>0</v>
      </c>
      <c r="Y203" s="10">
        <f>'Model inputs'!Y209*'Model inputs'!O131</f>
        <v>5679</v>
      </c>
      <c r="Z203" s="10">
        <f>'Model inputs'!Z209*'Model inputs'!O131</f>
        <v>5679</v>
      </c>
      <c r="AA203" s="10">
        <f>'Model inputs'!AA209*'Model inputs'!O131</f>
        <v>5679</v>
      </c>
    </row>
    <row r="204" outlineLevel="1">
      <c r="A204" t="inlineStr" s="15">
        <is>
          <t xml:space="preserve">Delivery COGS &gt; Per audit — low</t>
        </is>
      </c>
      <c r="B204" s="10">
        <f>IF('Model inputs'!B55="","",'Model inputs'!B55)</f>
        <v>0</v>
      </c>
      <c r="C204" s="10">
        <f>IF('Model inputs'!C55="","",'Model inputs'!C55)</f>
        <v>473.25</v>
      </c>
      <c r="D204" s="10">
        <f>IF('Model inputs'!D55="","",'Model inputs'!D55)</f>
        <v>946.5</v>
      </c>
      <c r="E204" s="10">
        <f>IF('Model inputs'!E55="","",'Model inputs'!E55)</f>
        <v>1419.75</v>
      </c>
      <c r="F204" s="10">
        <f>IF('Model inputs'!F55="","",'Model inputs'!F55)</f>
        <v>1893</v>
      </c>
      <c r="G204" s="10">
        <f>IF('Model inputs'!G55="","",'Model inputs'!G55)</f>
        <v>2366.25</v>
      </c>
      <c r="H204" s="10">
        <f>IF('Model inputs'!H55="","",'Model inputs'!H55)</f>
        <v>2839.5</v>
      </c>
      <c r="I204" s="10">
        <f>IF('Model inputs'!I55="","",'Model inputs'!I55)</f>
        <v>3312.75</v>
      </c>
      <c r="J204" s="10">
        <f>IF('Model inputs'!J55="","",'Model inputs'!J55)</f>
        <v>3786</v>
      </c>
      <c r="K204" s="10">
        <f>IF('Model inputs'!K55="","",'Model inputs'!K55)</f>
        <v>4259.25</v>
      </c>
      <c r="L204" s="10">
        <f>IF('Model inputs'!L55="","",'Model inputs'!L55)</f>
        <v>4732.5</v>
      </c>
      <c r="M204" s="10">
        <f>IF('Model inputs'!M55="","",'Model inputs'!M55)</f>
        <v>5205.75</v>
      </c>
      <c r="N204" s="10">
        <f>IF('Model inputs'!N55="","",'Model inputs'!N55)</f>
        <v>5679</v>
      </c>
      <c r="Q204" s="10">
        <f>0</f>
        <v>0</v>
      </c>
      <c r="R204" s="10">
        <f>0</f>
        <v>0</v>
      </c>
      <c r="S204" s="10">
        <f>0</f>
        <v>0</v>
      </c>
      <c r="T204" s="10">
        <f>0</f>
        <v>0</v>
      </c>
      <c r="U204" s="10">
        <f>0</f>
        <v>0</v>
      </c>
      <c r="V204" s="10">
        <f>0</f>
        <v>0</v>
      </c>
      <c r="W204" s="10">
        <f>0</f>
        <v>0</v>
      </c>
      <c r="X204" s="10">
        <f>0</f>
        <v>0</v>
      </c>
      <c r="Y204" s="10">
        <f>'Model inputs'!Y210*'Model inputs'!O131</f>
        <v>5679</v>
      </c>
      <c r="Z204" s="10">
        <f>'Model inputs'!Z210*'Model inputs'!O131</f>
        <v>5679</v>
      </c>
      <c r="AA204" s="10">
        <f>'Model inputs'!AA210*'Model inputs'!O131</f>
        <v>5679</v>
      </c>
    </row>
    <row r="205">
      <c r="A205" t="inlineStr" s="14">
        <is>
          <t xml:space="preserve">Audits delivered</t>
        </is>
      </c>
      <c r="B205" s="7">
        <f>IF('Model inputs'!B12="","",'Model inputs'!B12)</f>
        <v>0</v>
      </c>
      <c r="C205" t="str" s="7">
        <f>IF('Model inputs'!C12="","",'Model inputs'!C12)</f>
        <v/>
      </c>
      <c r="D205" t="str" s="7">
        <f>IF('Model inputs'!D12="","",'Model inputs'!D12)</f>
        <v/>
      </c>
      <c r="E205" t="str" s="7">
        <f>IF('Model inputs'!E12="","",'Model inputs'!E12)</f>
        <v/>
      </c>
      <c r="F205" t="str" s="7">
        <f>IF('Model inputs'!F12="","",'Model inputs'!F12)</f>
        <v/>
      </c>
      <c r="G205" t="str" s="7">
        <f>IF('Model inputs'!G12="","",'Model inputs'!G12)</f>
        <v/>
      </c>
      <c r="H205" t="str" s="7">
        <f>IF('Model inputs'!H12="","",'Model inputs'!H12)</f>
        <v/>
      </c>
      <c r="I205" t="str" s="7">
        <f>IF('Model inputs'!I12="","",'Model inputs'!I12)</f>
        <v/>
      </c>
      <c r="J205" t="str" s="7">
        <f>IF('Model inputs'!J12="","",'Model inputs'!J12)</f>
        <v/>
      </c>
      <c r="K205" t="str" s="7">
        <f>IF('Model inputs'!K12="","",'Model inputs'!K12)</f>
        <v/>
      </c>
      <c r="L205" t="str" s="7">
        <f>IF('Model inputs'!L12="","",'Model inputs'!L12)</f>
        <v/>
      </c>
      <c r="M205" t="str" s="7">
        <f>IF('Model inputs'!M12="","",'Model inputs'!M12)</f>
        <v/>
      </c>
      <c r="N205" t="str" s="7">
        <f>IF('Model inputs'!N12="","",'Model inputs'!N12)</f>
        <v/>
      </c>
      <c r="Q205" s="7">
        <f>SUM('Model inputs'!Q206,'Model inputs'!Q207,'Model inputs'!Q208,'Model inputs'!Q209,'Model inputs'!Q210)</f>
        <v>0</v>
      </c>
      <c r="R205" s="7">
        <f>SUM('Model inputs'!R206,'Model inputs'!R207,'Model inputs'!R208,'Model inputs'!R209,'Model inputs'!R210)</f>
        <v>0</v>
      </c>
      <c r="S205" s="7">
        <f>SUM('Model inputs'!S206,'Model inputs'!S207,'Model inputs'!S208,'Model inputs'!S209,'Model inputs'!S210)</f>
        <v>0</v>
      </c>
      <c r="T205" s="7">
        <f>SUM('Model inputs'!T206,'Model inputs'!T207,'Model inputs'!T208,'Model inputs'!T209,'Model inputs'!T210)</f>
        <v>0</v>
      </c>
      <c r="U205" s="7">
        <f>SUM('Model inputs'!U206,'Model inputs'!U207,'Model inputs'!U208,'Model inputs'!U209,'Model inputs'!U210)</f>
        <v>0</v>
      </c>
      <c r="V205" s="7">
        <f>SUM('Model inputs'!V206,'Model inputs'!V207,'Model inputs'!V208,'Model inputs'!V209,'Model inputs'!V210)</f>
        <v>0</v>
      </c>
      <c r="W205" s="7">
        <f>SUM('Model inputs'!W206,'Model inputs'!W207,'Model inputs'!W208,'Model inputs'!W209,'Model inputs'!W210)</f>
        <v>0</v>
      </c>
      <c r="X205" s="7">
        <f>SUM('Model inputs'!X206,'Model inputs'!X207,'Model inputs'!X208,'Model inputs'!X209,'Model inputs'!X210)</f>
        <v>0</v>
      </c>
      <c r="Y205" t="str" s="7">
        <f>""</f>
        <v/>
      </c>
      <c r="Z205" t="str" s="7">
        <f>""</f>
        <v/>
      </c>
      <c r="AA205" t="str" s="7">
        <f>""</f>
        <v/>
      </c>
    </row>
    <row r="206" outlineLevel="1">
      <c r="A206" t="inlineStr" s="15">
        <is>
          <t xml:space="preserve">Audits delivered &gt; Annual deal-team</t>
        </is>
      </c>
      <c r="B206" s="9">
        <f>IF('Model inputs'!B13="","",'Model inputs'!B13)</f>
        <v>0</v>
      </c>
      <c r="C206" s="9">
        <f>IF('Model inputs'!C13="","",'Model inputs'!C13)</f>
        <v>5</v>
      </c>
      <c r="D206" s="9">
        <f>IF('Model inputs'!D13="","",'Model inputs'!D13)</f>
        <v>10</v>
      </c>
      <c r="E206" s="9">
        <f>IF('Model inputs'!E13="","",'Model inputs'!E13)</f>
        <v>15</v>
      </c>
      <c r="F206" s="9">
        <f>IF('Model inputs'!F13="","",'Model inputs'!F13)</f>
        <v>20</v>
      </c>
      <c r="G206" s="9">
        <f>IF('Model inputs'!G13="","",'Model inputs'!G13)</f>
        <v>25</v>
      </c>
      <c r="H206" s="9">
        <f>IF('Model inputs'!H13="","",'Model inputs'!H13)</f>
        <v>30</v>
      </c>
      <c r="I206" s="9">
        <f>IF('Model inputs'!I13="","",'Model inputs'!I13)</f>
        <v>35</v>
      </c>
      <c r="J206" s="9">
        <f>IF('Model inputs'!J13="","",'Model inputs'!J13)</f>
        <v>40</v>
      </c>
      <c r="K206" s="9">
        <f>IF('Model inputs'!K13="","",'Model inputs'!K13)</f>
        <v>45</v>
      </c>
      <c r="L206" s="9">
        <f>IF('Model inputs'!L13="","",'Model inputs'!L13)</f>
        <v>50</v>
      </c>
      <c r="M206" s="9">
        <f>IF('Model inputs'!M13="","",'Model inputs'!M13)</f>
        <v>55</v>
      </c>
      <c r="N206" s="9">
        <f>IF('Model inputs'!N13="","",'Model inputs'!N13)</f>
        <v>60</v>
      </c>
      <c r="Q206" s="9">
        <f>0</f>
        <v>0</v>
      </c>
      <c r="R206" s="9">
        <f>0</f>
        <v>0</v>
      </c>
      <c r="S206" s="9">
        <f>0</f>
        <v>0</v>
      </c>
      <c r="T206" s="9">
        <f>0</f>
        <v>0</v>
      </c>
      <c r="U206" s="9">
        <f>0</f>
        <v>0</v>
      </c>
      <c r="V206" s="9">
        <f>0</f>
        <v>0</v>
      </c>
      <c r="W206" s="9">
        <f>0</f>
        <v>0</v>
      </c>
      <c r="X206" s="9">
        <f>0</f>
        <v>0</v>
      </c>
      <c r="Y206" s="9">
        <f>'Model inputs'!Y253*'Model inputs'!O119</f>
        <v>60</v>
      </c>
      <c r="Z206" s="9">
        <f>'Model inputs'!Z253*'Model inputs'!O119</f>
        <v>60</v>
      </c>
      <c r="AA206" s="9">
        <f>'Model inputs'!AA253*'Model inputs'!O119</f>
        <v>60</v>
      </c>
    </row>
    <row r="207" outlineLevel="1">
      <c r="A207" t="inlineStr" s="15">
        <is>
          <t xml:space="preserve">Audits delivered &gt; Hybrid</t>
        </is>
      </c>
      <c r="B207" s="9">
        <f>IF('Model inputs'!B14="","",'Model inputs'!B14)</f>
        <v>0</v>
      </c>
      <c r="C207" s="9">
        <f>IF('Model inputs'!C14="","",'Model inputs'!C14)</f>
        <v>5</v>
      </c>
      <c r="D207" s="9">
        <f>IF('Model inputs'!D14="","",'Model inputs'!D14)</f>
        <v>10</v>
      </c>
      <c r="E207" s="9">
        <f>IF('Model inputs'!E14="","",'Model inputs'!E14)</f>
        <v>15</v>
      </c>
      <c r="F207" s="9">
        <f>IF('Model inputs'!F14="","",'Model inputs'!F14)</f>
        <v>20</v>
      </c>
      <c r="G207" s="9">
        <f>IF('Model inputs'!G14="","",'Model inputs'!G14)</f>
        <v>25</v>
      </c>
      <c r="H207" s="9">
        <f>IF('Model inputs'!H14="","",'Model inputs'!H14)</f>
        <v>30</v>
      </c>
      <c r="I207" s="9">
        <f>IF('Model inputs'!I14="","",'Model inputs'!I14)</f>
        <v>35</v>
      </c>
      <c r="J207" s="9">
        <f>IF('Model inputs'!J14="","",'Model inputs'!J14)</f>
        <v>40</v>
      </c>
      <c r="K207" s="9">
        <f>IF('Model inputs'!K14="","",'Model inputs'!K14)</f>
        <v>45</v>
      </c>
      <c r="L207" s="9">
        <f>IF('Model inputs'!L14="","",'Model inputs'!L14)</f>
        <v>50</v>
      </c>
      <c r="M207" s="9">
        <f>IF('Model inputs'!M14="","",'Model inputs'!M14)</f>
        <v>55</v>
      </c>
      <c r="N207" s="9">
        <f>IF('Model inputs'!N14="","",'Model inputs'!N14)</f>
        <v>60</v>
      </c>
      <c r="Q207" s="9">
        <f>0</f>
        <v>0</v>
      </c>
      <c r="R207" s="9">
        <f>0</f>
        <v>0</v>
      </c>
      <c r="S207" s="9">
        <f>0</f>
        <v>0</v>
      </c>
      <c r="T207" s="9">
        <f>0</f>
        <v>0</v>
      </c>
      <c r="U207" s="9">
        <f>0</f>
        <v>0</v>
      </c>
      <c r="V207" s="9">
        <f>0</f>
        <v>0</v>
      </c>
      <c r="W207" s="9">
        <f>0</f>
        <v>0</v>
      </c>
      <c r="X207" s="9">
        <f>0</f>
        <v>0</v>
      </c>
      <c r="Y207" s="9">
        <f>'Model inputs'!Y253*'Model inputs'!O120</f>
        <v>60</v>
      </c>
      <c r="Z207" s="9">
        <f>'Model inputs'!Z253*'Model inputs'!O120</f>
        <v>60</v>
      </c>
      <c r="AA207" s="9">
        <f>'Model inputs'!AA253*'Model inputs'!O120</f>
        <v>60</v>
      </c>
    </row>
    <row r="208" outlineLevel="1">
      <c r="A208" t="inlineStr" s="15">
        <is>
          <t xml:space="preserve">Audits delivered &gt; Per audit — base</t>
        </is>
      </c>
      <c r="B208" s="9">
        <f>IF('Model inputs'!B15="","",'Model inputs'!B15)</f>
        <v>0</v>
      </c>
      <c r="C208" s="9">
        <f>IF('Model inputs'!C15="","",'Model inputs'!C15)</f>
        <v>5</v>
      </c>
      <c r="D208" s="9">
        <f>IF('Model inputs'!D15="","",'Model inputs'!D15)</f>
        <v>10</v>
      </c>
      <c r="E208" s="9">
        <f>IF('Model inputs'!E15="","",'Model inputs'!E15)</f>
        <v>15</v>
      </c>
      <c r="F208" s="9">
        <f>IF('Model inputs'!F15="","",'Model inputs'!F15)</f>
        <v>20</v>
      </c>
      <c r="G208" s="9">
        <f>IF('Model inputs'!G15="","",'Model inputs'!G15)</f>
        <v>25</v>
      </c>
      <c r="H208" s="9">
        <f>IF('Model inputs'!H15="","",'Model inputs'!H15)</f>
        <v>30</v>
      </c>
      <c r="I208" s="9">
        <f>IF('Model inputs'!I15="","",'Model inputs'!I15)</f>
        <v>35</v>
      </c>
      <c r="J208" s="9">
        <f>IF('Model inputs'!J15="","",'Model inputs'!J15)</f>
        <v>40</v>
      </c>
      <c r="K208" s="9">
        <f>IF('Model inputs'!K15="","",'Model inputs'!K15)</f>
        <v>45</v>
      </c>
      <c r="L208" s="9">
        <f>IF('Model inputs'!L15="","",'Model inputs'!L15)</f>
        <v>50</v>
      </c>
      <c r="M208" s="9">
        <f>IF('Model inputs'!M15="","",'Model inputs'!M15)</f>
        <v>55</v>
      </c>
      <c r="N208" s="9">
        <f>IF('Model inputs'!N15="","",'Model inputs'!N15)</f>
        <v>60</v>
      </c>
      <c r="Q208" s="9">
        <f>0</f>
        <v>0</v>
      </c>
      <c r="R208" s="9">
        <f>0</f>
        <v>0</v>
      </c>
      <c r="S208" s="9">
        <f>0</f>
        <v>0</v>
      </c>
      <c r="T208" s="9">
        <f>0</f>
        <v>0</v>
      </c>
      <c r="U208" s="9">
        <f>0</f>
        <v>0</v>
      </c>
      <c r="V208" s="9">
        <f>0</f>
        <v>0</v>
      </c>
      <c r="W208" s="9">
        <f>0</f>
        <v>0</v>
      </c>
      <c r="X208" s="9">
        <f>0</f>
        <v>0</v>
      </c>
      <c r="Y208" s="9">
        <f>'Model inputs'!Y253*'Model inputs'!O121</f>
        <v>60</v>
      </c>
      <c r="Z208" s="9">
        <f>'Model inputs'!Z253*'Model inputs'!O121</f>
        <v>60</v>
      </c>
      <c r="AA208" s="9">
        <f>'Model inputs'!AA253*'Model inputs'!O121</f>
        <v>60</v>
      </c>
    </row>
    <row r="209" outlineLevel="1">
      <c r="A209" t="inlineStr" s="15">
        <is>
          <t xml:space="preserve">Audits delivered &gt; Per audit — high</t>
        </is>
      </c>
      <c r="B209" s="9">
        <f>IF('Model inputs'!B16="","",'Model inputs'!B16)</f>
        <v>0</v>
      </c>
      <c r="C209" s="9">
        <f>IF('Model inputs'!C16="","",'Model inputs'!C16)</f>
        <v>5</v>
      </c>
      <c r="D209" s="9">
        <f>IF('Model inputs'!D16="","",'Model inputs'!D16)</f>
        <v>10</v>
      </c>
      <c r="E209" s="9">
        <f>IF('Model inputs'!E16="","",'Model inputs'!E16)</f>
        <v>15</v>
      </c>
      <c r="F209" s="9">
        <f>IF('Model inputs'!F16="","",'Model inputs'!F16)</f>
        <v>20</v>
      </c>
      <c r="G209" s="9">
        <f>IF('Model inputs'!G16="","",'Model inputs'!G16)</f>
        <v>25</v>
      </c>
      <c r="H209" s="9">
        <f>IF('Model inputs'!H16="","",'Model inputs'!H16)</f>
        <v>30</v>
      </c>
      <c r="I209" s="9">
        <f>IF('Model inputs'!I16="","",'Model inputs'!I16)</f>
        <v>35</v>
      </c>
      <c r="J209" s="9">
        <f>IF('Model inputs'!J16="","",'Model inputs'!J16)</f>
        <v>40</v>
      </c>
      <c r="K209" s="9">
        <f>IF('Model inputs'!K16="","",'Model inputs'!K16)</f>
        <v>45</v>
      </c>
      <c r="L209" s="9">
        <f>IF('Model inputs'!L16="","",'Model inputs'!L16)</f>
        <v>50</v>
      </c>
      <c r="M209" s="9">
        <f>IF('Model inputs'!M16="","",'Model inputs'!M16)</f>
        <v>55</v>
      </c>
      <c r="N209" s="9">
        <f>IF('Model inputs'!N16="","",'Model inputs'!N16)</f>
        <v>60</v>
      </c>
      <c r="Q209" s="9">
        <f>0</f>
        <v>0</v>
      </c>
      <c r="R209" s="9">
        <f>0</f>
        <v>0</v>
      </c>
      <c r="S209" s="9">
        <f>0</f>
        <v>0</v>
      </c>
      <c r="T209" s="9">
        <f>0</f>
        <v>0</v>
      </c>
      <c r="U209" s="9">
        <f>0</f>
        <v>0</v>
      </c>
      <c r="V209" s="9">
        <f>0</f>
        <v>0</v>
      </c>
      <c r="W209" s="9">
        <f>0</f>
        <v>0</v>
      </c>
      <c r="X209" s="9">
        <f>0</f>
        <v>0</v>
      </c>
      <c r="Y209" s="9">
        <f>'Model inputs'!Y253*'Model inputs'!O122</f>
        <v>60</v>
      </c>
      <c r="Z209" s="9">
        <f>'Model inputs'!Z253*'Model inputs'!O122</f>
        <v>60</v>
      </c>
      <c r="AA209" s="9">
        <f>'Model inputs'!AA253*'Model inputs'!O122</f>
        <v>60</v>
      </c>
    </row>
    <row r="210" outlineLevel="1">
      <c r="A210" t="inlineStr" s="15">
        <is>
          <t xml:space="preserve">Audits delivered &gt; Per audit — low</t>
        </is>
      </c>
      <c r="B210" s="9">
        <f>IF('Model inputs'!B17="","",'Model inputs'!B17)</f>
        <v>0</v>
      </c>
      <c r="C210" s="9">
        <f>IF('Model inputs'!C17="","",'Model inputs'!C17)</f>
        <v>5</v>
      </c>
      <c r="D210" s="9">
        <f>IF('Model inputs'!D17="","",'Model inputs'!D17)</f>
        <v>10</v>
      </c>
      <c r="E210" s="9">
        <f>IF('Model inputs'!E17="","",'Model inputs'!E17)</f>
        <v>15</v>
      </c>
      <c r="F210" s="9">
        <f>IF('Model inputs'!F17="","",'Model inputs'!F17)</f>
        <v>20</v>
      </c>
      <c r="G210" s="9">
        <f>IF('Model inputs'!G17="","",'Model inputs'!G17)</f>
        <v>25</v>
      </c>
      <c r="H210" s="9">
        <f>IF('Model inputs'!H17="","",'Model inputs'!H17)</f>
        <v>30</v>
      </c>
      <c r="I210" s="9">
        <f>IF('Model inputs'!I17="","",'Model inputs'!I17)</f>
        <v>35</v>
      </c>
      <c r="J210" s="9">
        <f>IF('Model inputs'!J17="","",'Model inputs'!J17)</f>
        <v>40</v>
      </c>
      <c r="K210" s="9">
        <f>IF('Model inputs'!K17="","",'Model inputs'!K17)</f>
        <v>45</v>
      </c>
      <c r="L210" s="9">
        <f>IF('Model inputs'!L17="","",'Model inputs'!L17)</f>
        <v>50</v>
      </c>
      <c r="M210" s="9">
        <f>IF('Model inputs'!M17="","",'Model inputs'!M17)</f>
        <v>55</v>
      </c>
      <c r="N210" s="9">
        <f>IF('Model inputs'!N17="","",'Model inputs'!N17)</f>
        <v>60</v>
      </c>
      <c r="Q210" s="9">
        <f>0</f>
        <v>0</v>
      </c>
      <c r="R210" s="9">
        <f>0</f>
        <v>0</v>
      </c>
      <c r="S210" s="9">
        <f>0</f>
        <v>0</v>
      </c>
      <c r="T210" s="9">
        <f>0</f>
        <v>0</v>
      </c>
      <c r="U210" s="9">
        <f>0</f>
        <v>0</v>
      </c>
      <c r="V210" s="9">
        <f>0</f>
        <v>0</v>
      </c>
      <c r="W210" s="9">
        <f>0</f>
        <v>0</v>
      </c>
      <c r="X210" s="9">
        <f>0</f>
        <v>0</v>
      </c>
      <c r="Y210" s="9">
        <f>'Model inputs'!Y253*'Model inputs'!O123</f>
        <v>60</v>
      </c>
      <c r="Z210" s="9">
        <f>'Model inputs'!Z253*'Model inputs'!O123</f>
        <v>60</v>
      </c>
      <c r="AA210" s="9">
        <f>'Model inputs'!AA253*'Model inputs'!O123</f>
        <v>60</v>
      </c>
    </row>
    <row r="211">
      <c r="A211" t="inlineStr" s="14">
        <is>
          <t xml:space="preserve">Account support cost</t>
        </is>
      </c>
      <c r="B211" s="12">
        <f>IF('Model inputs'!B6="","",'Model inputs'!B6)</f>
        <v>0</v>
      </c>
      <c r="C211" t="str" s="12">
        <f>IF('Model inputs'!C6="","",'Model inputs'!C6)</f>
        <v/>
      </c>
      <c r="D211" t="str" s="12">
        <f>IF('Model inputs'!D6="","",'Model inputs'!D6)</f>
        <v/>
      </c>
      <c r="E211" t="str" s="12">
        <f>IF('Model inputs'!E6="","",'Model inputs'!E6)</f>
        <v/>
      </c>
      <c r="F211" t="str" s="12">
        <f>IF('Model inputs'!F6="","",'Model inputs'!F6)</f>
        <v/>
      </c>
      <c r="G211" t="str" s="12">
        <f>IF('Model inputs'!G6="","",'Model inputs'!G6)</f>
        <v/>
      </c>
      <c r="H211" t="str" s="12">
        <f>IF('Model inputs'!H6="","",'Model inputs'!H6)</f>
        <v/>
      </c>
      <c r="I211" t="str" s="12">
        <f>IF('Model inputs'!I6="","",'Model inputs'!I6)</f>
        <v/>
      </c>
      <c r="J211" t="str" s="12">
        <f>IF('Model inputs'!J6="","",'Model inputs'!J6)</f>
        <v/>
      </c>
      <c r="K211" t="str" s="12">
        <f>IF('Model inputs'!K6="","",'Model inputs'!K6)</f>
        <v/>
      </c>
      <c r="L211" t="str" s="12">
        <f>IF('Model inputs'!L6="","",'Model inputs'!L6)</f>
        <v/>
      </c>
      <c r="M211" t="str" s="12">
        <f>IF('Model inputs'!M6="","",'Model inputs'!M6)</f>
        <v/>
      </c>
      <c r="N211" t="str" s="12">
        <f>IF('Model inputs'!N6="","",'Model inputs'!N6)</f>
        <v/>
      </c>
      <c r="Q211" s="12">
        <f>SUM('Model inputs'!Q212,'Model inputs'!Q213,'Model inputs'!Q214,'Model inputs'!Q215,'Model inputs'!Q216)</f>
        <v>0</v>
      </c>
      <c r="R211" s="12">
        <f>SUM('Model inputs'!R212,'Model inputs'!R213,'Model inputs'!R214,'Model inputs'!R215,'Model inputs'!R216)</f>
        <v>0</v>
      </c>
      <c r="S211" s="12">
        <f>SUM('Model inputs'!S212,'Model inputs'!S213,'Model inputs'!S214,'Model inputs'!S215,'Model inputs'!S216)</f>
        <v>0</v>
      </c>
      <c r="T211" s="12">
        <f>SUM('Model inputs'!T212,'Model inputs'!T213,'Model inputs'!T214,'Model inputs'!T215,'Model inputs'!T216)</f>
        <v>0</v>
      </c>
      <c r="U211" s="12">
        <f>SUM('Model inputs'!U212,'Model inputs'!U213,'Model inputs'!U214,'Model inputs'!U215,'Model inputs'!U216)</f>
        <v>0</v>
      </c>
      <c r="V211" s="12">
        <f>SUM('Model inputs'!V212,'Model inputs'!V213,'Model inputs'!V214,'Model inputs'!V215,'Model inputs'!V216)</f>
        <v>0</v>
      </c>
      <c r="W211" s="12">
        <f>SUM('Model inputs'!W212,'Model inputs'!W213,'Model inputs'!W214,'Model inputs'!W215,'Model inputs'!W216)</f>
        <v>0</v>
      </c>
      <c r="X211" s="12">
        <f>SUM('Model inputs'!X212,'Model inputs'!X213,'Model inputs'!X214,'Model inputs'!X215,'Model inputs'!X216)</f>
        <v>0</v>
      </c>
    </row>
    <row r="212" outlineLevel="1">
      <c r="A212" t="inlineStr" s="15">
        <is>
          <t xml:space="preserve">Account support cost &gt; Annual deal-team</t>
        </is>
      </c>
      <c r="B212" s="10">
        <f>IF('Model inputs'!B7="","",'Model inputs'!B7)</f>
        <v>0</v>
      </c>
      <c r="C212" s="10">
        <f>IF('Model inputs'!C7="","",'Model inputs'!C7)</f>
        <v>37.5</v>
      </c>
      <c r="D212" s="10">
        <f>IF('Model inputs'!D7="","",'Model inputs'!D7)</f>
        <v>75</v>
      </c>
      <c r="E212" s="10">
        <f>IF('Model inputs'!E7="","",'Model inputs'!E7)</f>
        <v>112.5</v>
      </c>
      <c r="F212" s="10">
        <f>IF('Model inputs'!F7="","",'Model inputs'!F7)</f>
        <v>150</v>
      </c>
      <c r="G212" s="10">
        <f>IF('Model inputs'!G7="","",'Model inputs'!G7)</f>
        <v>187.5</v>
      </c>
      <c r="H212" s="10">
        <f>IF('Model inputs'!H7="","",'Model inputs'!H7)</f>
        <v>225</v>
      </c>
      <c r="I212" s="10">
        <f>IF('Model inputs'!I7="","",'Model inputs'!I7)</f>
        <v>262.5</v>
      </c>
      <c r="J212" s="10">
        <f>IF('Model inputs'!J7="","",'Model inputs'!J7)</f>
        <v>300</v>
      </c>
      <c r="K212" s="10">
        <f>IF('Model inputs'!K7="","",'Model inputs'!K7)</f>
        <v>337.5</v>
      </c>
      <c r="L212" s="10">
        <f>IF('Model inputs'!L7="","",'Model inputs'!L7)</f>
        <v>375</v>
      </c>
      <c r="M212" s="10">
        <f>IF('Model inputs'!M7="","",'Model inputs'!M7)</f>
        <v>412.5</v>
      </c>
      <c r="N212" s="10">
        <f>IF('Model inputs'!N7="","",'Model inputs'!N7)</f>
        <v>450</v>
      </c>
      <c r="Q212" s="10">
        <f>0</f>
        <v>0</v>
      </c>
      <c r="R212" s="10">
        <f>0</f>
        <v>0</v>
      </c>
      <c r="S212" s="10">
        <f>0</f>
        <v>0</v>
      </c>
      <c r="T212" s="10">
        <f>0</f>
        <v>0</v>
      </c>
      <c r="U212" s="10">
        <f>0</f>
        <v>0</v>
      </c>
      <c r="V212" s="10">
        <f>0</f>
        <v>0</v>
      </c>
      <c r="W212" s="10">
        <f>0</f>
        <v>0</v>
      </c>
      <c r="X212" s="10">
        <f>0</f>
        <v>0</v>
      </c>
    </row>
    <row r="213" outlineLevel="1">
      <c r="A213" t="inlineStr" s="15">
        <is>
          <t xml:space="preserve">Account support cost &gt; Hybrid</t>
        </is>
      </c>
      <c r="B213" s="10">
        <f>IF('Model inputs'!B8="","",'Model inputs'!B8)</f>
        <v>0</v>
      </c>
      <c r="C213" s="10">
        <f>IF('Model inputs'!C8="","",'Model inputs'!C8)</f>
        <v>37.5</v>
      </c>
      <c r="D213" s="10">
        <f>IF('Model inputs'!D8="","",'Model inputs'!D8)</f>
        <v>75</v>
      </c>
      <c r="E213" s="10">
        <f>IF('Model inputs'!E8="","",'Model inputs'!E8)</f>
        <v>112.5</v>
      </c>
      <c r="F213" s="10">
        <f>IF('Model inputs'!F8="","",'Model inputs'!F8)</f>
        <v>150</v>
      </c>
      <c r="G213" s="10">
        <f>IF('Model inputs'!G8="","",'Model inputs'!G8)</f>
        <v>187.5</v>
      </c>
      <c r="H213" s="10">
        <f>IF('Model inputs'!H8="","",'Model inputs'!H8)</f>
        <v>225</v>
      </c>
      <c r="I213" s="10">
        <f>IF('Model inputs'!I8="","",'Model inputs'!I8)</f>
        <v>262.5</v>
      </c>
      <c r="J213" s="10">
        <f>IF('Model inputs'!J8="","",'Model inputs'!J8)</f>
        <v>300</v>
      </c>
      <c r="K213" s="10">
        <f>IF('Model inputs'!K8="","",'Model inputs'!K8)</f>
        <v>337.5</v>
      </c>
      <c r="L213" s="10">
        <f>IF('Model inputs'!L8="","",'Model inputs'!L8)</f>
        <v>375</v>
      </c>
      <c r="M213" s="10">
        <f>IF('Model inputs'!M8="","",'Model inputs'!M8)</f>
        <v>412.5</v>
      </c>
      <c r="N213" s="10">
        <f>IF('Model inputs'!N8="","",'Model inputs'!N8)</f>
        <v>450</v>
      </c>
      <c r="Q213" s="10">
        <f>0</f>
        <v>0</v>
      </c>
      <c r="R213" s="10">
        <f>0</f>
        <v>0</v>
      </c>
      <c r="S213" s="10">
        <f>0</f>
        <v>0</v>
      </c>
      <c r="T213" s="10">
        <f>0</f>
        <v>0</v>
      </c>
      <c r="U213" s="10">
        <f>0</f>
        <v>0</v>
      </c>
      <c r="V213" s="10">
        <f>0</f>
        <v>0</v>
      </c>
      <c r="W213" s="10">
        <f>0</f>
        <v>0</v>
      </c>
      <c r="X213" s="10">
        <f>0</f>
        <v>0</v>
      </c>
    </row>
    <row r="214" outlineLevel="1">
      <c r="A214" t="inlineStr" s="15">
        <is>
          <t xml:space="preserve">Account support cost &gt; Per audit — base</t>
        </is>
      </c>
      <c r="B214" s="10">
        <f>IF('Model inputs'!B9="","",'Model inputs'!B9)</f>
        <v>0</v>
      </c>
      <c r="C214" s="10">
        <f>IF('Model inputs'!C9="","",'Model inputs'!C9)</f>
        <v>37.5</v>
      </c>
      <c r="D214" s="10">
        <f>IF('Model inputs'!D9="","",'Model inputs'!D9)</f>
        <v>75</v>
      </c>
      <c r="E214" s="10">
        <f>IF('Model inputs'!E9="","",'Model inputs'!E9)</f>
        <v>112.5</v>
      </c>
      <c r="F214" s="10">
        <f>IF('Model inputs'!F9="","",'Model inputs'!F9)</f>
        <v>150</v>
      </c>
      <c r="G214" s="10">
        <f>IF('Model inputs'!G9="","",'Model inputs'!G9)</f>
        <v>187.5</v>
      </c>
      <c r="H214" s="10">
        <f>IF('Model inputs'!H9="","",'Model inputs'!H9)</f>
        <v>225</v>
      </c>
      <c r="I214" s="10">
        <f>IF('Model inputs'!I9="","",'Model inputs'!I9)</f>
        <v>262.5</v>
      </c>
      <c r="J214" s="10">
        <f>IF('Model inputs'!J9="","",'Model inputs'!J9)</f>
        <v>300</v>
      </c>
      <c r="K214" s="10">
        <f>IF('Model inputs'!K9="","",'Model inputs'!K9)</f>
        <v>337.5</v>
      </c>
      <c r="L214" s="10">
        <f>IF('Model inputs'!L9="","",'Model inputs'!L9)</f>
        <v>375</v>
      </c>
      <c r="M214" s="10">
        <f>IF('Model inputs'!M9="","",'Model inputs'!M9)</f>
        <v>412.5</v>
      </c>
      <c r="N214" s="10">
        <f>IF('Model inputs'!N9="","",'Model inputs'!N9)</f>
        <v>450</v>
      </c>
      <c r="Q214" s="10">
        <f>0</f>
        <v>0</v>
      </c>
      <c r="R214" s="10">
        <f>0</f>
        <v>0</v>
      </c>
      <c r="S214" s="10">
        <f>0</f>
        <v>0</v>
      </c>
      <c r="T214" s="10">
        <f>0</f>
        <v>0</v>
      </c>
      <c r="U214" s="10">
        <f>0</f>
        <v>0</v>
      </c>
      <c r="V214" s="10">
        <f>0</f>
        <v>0</v>
      </c>
      <c r="W214" s="10">
        <f>0</f>
        <v>0</v>
      </c>
      <c r="X214" s="10">
        <f>0</f>
        <v>0</v>
      </c>
    </row>
    <row r="215" outlineLevel="1">
      <c r="A215" t="inlineStr" s="15">
        <is>
          <t xml:space="preserve">Account support cost &gt; Per audit — high</t>
        </is>
      </c>
      <c r="B215" s="10">
        <f>IF('Model inputs'!B10="","",'Model inputs'!B10)</f>
        <v>0</v>
      </c>
      <c r="C215" s="10">
        <f>IF('Model inputs'!C10="","",'Model inputs'!C10)</f>
        <v>37.5</v>
      </c>
      <c r="D215" s="10">
        <f>IF('Model inputs'!D10="","",'Model inputs'!D10)</f>
        <v>75</v>
      </c>
      <c r="E215" s="10">
        <f>IF('Model inputs'!E10="","",'Model inputs'!E10)</f>
        <v>112.5</v>
      </c>
      <c r="F215" s="10">
        <f>IF('Model inputs'!F10="","",'Model inputs'!F10)</f>
        <v>150</v>
      </c>
      <c r="G215" s="10">
        <f>IF('Model inputs'!G10="","",'Model inputs'!G10)</f>
        <v>187.5</v>
      </c>
      <c r="H215" s="10">
        <f>IF('Model inputs'!H10="","",'Model inputs'!H10)</f>
        <v>225</v>
      </c>
      <c r="I215" s="10">
        <f>IF('Model inputs'!I10="","",'Model inputs'!I10)</f>
        <v>262.5</v>
      </c>
      <c r="J215" s="10">
        <f>IF('Model inputs'!J10="","",'Model inputs'!J10)</f>
        <v>300</v>
      </c>
      <c r="K215" s="10">
        <f>IF('Model inputs'!K10="","",'Model inputs'!K10)</f>
        <v>337.5</v>
      </c>
      <c r="L215" s="10">
        <f>IF('Model inputs'!L10="","",'Model inputs'!L10)</f>
        <v>375</v>
      </c>
      <c r="M215" s="10">
        <f>IF('Model inputs'!M10="","",'Model inputs'!M10)</f>
        <v>412.5</v>
      </c>
      <c r="N215" s="10">
        <f>IF('Model inputs'!N10="","",'Model inputs'!N10)</f>
        <v>450</v>
      </c>
      <c r="Q215" s="10">
        <f>0</f>
        <v>0</v>
      </c>
      <c r="R215" s="10">
        <f>0</f>
        <v>0</v>
      </c>
      <c r="S215" s="10">
        <f>0</f>
        <v>0</v>
      </c>
      <c r="T215" s="10">
        <f>0</f>
        <v>0</v>
      </c>
      <c r="U215" s="10">
        <f>0</f>
        <v>0</v>
      </c>
      <c r="V215" s="10">
        <f>0</f>
        <v>0</v>
      </c>
      <c r="W215" s="10">
        <f>0</f>
        <v>0</v>
      </c>
      <c r="X215" s="10">
        <f>0</f>
        <v>0</v>
      </c>
    </row>
    <row r="216" outlineLevel="1">
      <c r="A216" t="inlineStr" s="15">
        <is>
          <t xml:space="preserve">Account support cost &gt; Per audit — low</t>
        </is>
      </c>
      <c r="B216" s="10">
        <f>IF('Model inputs'!B11="","",'Model inputs'!B11)</f>
        <v>0</v>
      </c>
      <c r="C216" s="10">
        <f>IF('Model inputs'!C11="","",'Model inputs'!C11)</f>
        <v>37.5</v>
      </c>
      <c r="D216" s="10">
        <f>IF('Model inputs'!D11="","",'Model inputs'!D11)</f>
        <v>75</v>
      </c>
      <c r="E216" s="10">
        <f>IF('Model inputs'!E11="","",'Model inputs'!E11)</f>
        <v>112.5</v>
      </c>
      <c r="F216" s="10">
        <f>IF('Model inputs'!F11="","",'Model inputs'!F11)</f>
        <v>150</v>
      </c>
      <c r="G216" s="10">
        <f>IF('Model inputs'!G11="","",'Model inputs'!G11)</f>
        <v>187.5</v>
      </c>
      <c r="H216" s="10">
        <f>IF('Model inputs'!H11="","",'Model inputs'!H11)</f>
        <v>225</v>
      </c>
      <c r="I216" s="10">
        <f>IF('Model inputs'!I11="","",'Model inputs'!I11)</f>
        <v>262.5</v>
      </c>
      <c r="J216" s="10">
        <f>IF('Model inputs'!J11="","",'Model inputs'!J11)</f>
        <v>300</v>
      </c>
      <c r="K216" s="10">
        <f>IF('Model inputs'!K11="","",'Model inputs'!K11)</f>
        <v>337.5</v>
      </c>
      <c r="L216" s="10">
        <f>IF('Model inputs'!L11="","",'Model inputs'!L11)</f>
        <v>375</v>
      </c>
      <c r="M216" s="10">
        <f>IF('Model inputs'!M11="","",'Model inputs'!M11)</f>
        <v>412.5</v>
      </c>
      <c r="N216" s="10">
        <f>IF('Model inputs'!N11="","",'Model inputs'!N11)</f>
        <v>450</v>
      </c>
      <c r="Q216" s="10">
        <f>0</f>
        <v>0</v>
      </c>
      <c r="R216" s="10">
        <f>0</f>
        <v>0</v>
      </c>
      <c r="S216" s="10">
        <f>0</f>
        <v>0</v>
      </c>
      <c r="T216" s="10">
        <f>0</f>
        <v>0</v>
      </c>
      <c r="U216" s="10">
        <f>0</f>
        <v>0</v>
      </c>
      <c r="V216" s="10">
        <f>0</f>
        <v>0</v>
      </c>
      <c r="W216" s="10">
        <f>0</f>
        <v>0</v>
      </c>
      <c r="X216" s="10">
        <f>0</f>
        <v>0</v>
      </c>
    </row>
    <row r="217">
      <c r="A217" t="inlineStr" s="14">
        <is>
          <t xml:space="preserve">Account support cost</t>
        </is>
      </c>
      <c r="B217" s="12">
        <f>IF('Model inputs'!B6="","",'Model inputs'!B6)</f>
        <v>0</v>
      </c>
      <c r="C217" t="str" s="12">
        <f>IF('Model inputs'!C6="","",'Model inputs'!C6)</f>
        <v/>
      </c>
      <c r="D217" t="str" s="12">
        <f>IF('Model inputs'!D6="","",'Model inputs'!D6)</f>
        <v/>
      </c>
      <c r="E217" t="str" s="12">
        <f>IF('Model inputs'!E6="","",'Model inputs'!E6)</f>
        <v/>
      </c>
      <c r="F217" t="str" s="12">
        <f>IF('Model inputs'!F6="","",'Model inputs'!F6)</f>
        <v/>
      </c>
      <c r="G217" t="str" s="12">
        <f>IF('Model inputs'!G6="","",'Model inputs'!G6)</f>
        <v/>
      </c>
      <c r="H217" t="str" s="12">
        <f>IF('Model inputs'!H6="","",'Model inputs'!H6)</f>
        <v/>
      </c>
      <c r="I217" t="str" s="12">
        <f>IF('Model inputs'!I6="","",'Model inputs'!I6)</f>
        <v/>
      </c>
      <c r="J217" t="str" s="12">
        <f>IF('Model inputs'!J6="","",'Model inputs'!J6)</f>
        <v/>
      </c>
      <c r="K217" t="str" s="12">
        <f>IF('Model inputs'!K6="","",'Model inputs'!K6)</f>
        <v/>
      </c>
      <c r="L217" t="str" s="12">
        <f>IF('Model inputs'!L6="","",'Model inputs'!L6)</f>
        <v/>
      </c>
      <c r="M217" t="str" s="12">
        <f>IF('Model inputs'!M6="","",'Model inputs'!M6)</f>
        <v/>
      </c>
      <c r="N217" t="str" s="12">
        <f>IF('Model inputs'!N6="","",'Model inputs'!N6)</f>
        <v/>
      </c>
      <c r="Q217" s="12">
        <f>IF('Model inputs'!Q211="","",'Model inputs'!Q211)</f>
        <v>0</v>
      </c>
      <c r="R217" s="12">
        <f>IF('Model inputs'!R211="","",'Model inputs'!R211)</f>
        <v>0</v>
      </c>
      <c r="S217" s="12">
        <f>IF('Model inputs'!S211="","",'Model inputs'!S211)</f>
        <v>0</v>
      </c>
      <c r="T217" s="12">
        <f>IF('Model inputs'!T211="","",'Model inputs'!T211)</f>
        <v>0</v>
      </c>
      <c r="U217" s="12">
        <f>IF('Model inputs'!U211="","",'Model inputs'!U211)</f>
        <v>0</v>
      </c>
      <c r="V217" s="12">
        <f>IF('Model inputs'!V211="","",'Model inputs'!V211)</f>
        <v>0</v>
      </c>
      <c r="W217" s="12">
        <f>IF('Model inputs'!W211="","",'Model inputs'!W211)</f>
        <v>0</v>
      </c>
      <c r="X217" s="12">
        <f>IF('Model inputs'!X211="","",'Model inputs'!X211)</f>
        <v>0</v>
      </c>
      <c r="Y217" t="str" s="12">
        <f>""</f>
        <v/>
      </c>
      <c r="Z217" t="str" s="12">
        <f>""</f>
        <v/>
      </c>
      <c r="AA217" t="str" s="12">
        <f>""</f>
        <v/>
      </c>
    </row>
    <row r="218" outlineLevel="1">
      <c r="A218" t="inlineStr" s="15">
        <is>
          <t xml:space="preserve">Account support cost &gt; Annual deal-team</t>
        </is>
      </c>
      <c r="B218" s="10">
        <f>IF('Model inputs'!B7="","",'Model inputs'!B7)</f>
        <v>0</v>
      </c>
      <c r="C218" s="10">
        <f>IF('Model inputs'!C7="","",'Model inputs'!C7)</f>
        <v>37.5</v>
      </c>
      <c r="D218" s="10">
        <f>IF('Model inputs'!D7="","",'Model inputs'!D7)</f>
        <v>75</v>
      </c>
      <c r="E218" s="10">
        <f>IF('Model inputs'!E7="","",'Model inputs'!E7)</f>
        <v>112.5</v>
      </c>
      <c r="F218" s="10">
        <f>IF('Model inputs'!F7="","",'Model inputs'!F7)</f>
        <v>150</v>
      </c>
      <c r="G218" s="10">
        <f>IF('Model inputs'!G7="","",'Model inputs'!G7)</f>
        <v>187.5</v>
      </c>
      <c r="H218" s="10">
        <f>IF('Model inputs'!H7="","",'Model inputs'!H7)</f>
        <v>225</v>
      </c>
      <c r="I218" s="10">
        <f>IF('Model inputs'!I7="","",'Model inputs'!I7)</f>
        <v>262.5</v>
      </c>
      <c r="J218" s="10">
        <f>IF('Model inputs'!J7="","",'Model inputs'!J7)</f>
        <v>300</v>
      </c>
      <c r="K218" s="10">
        <f>IF('Model inputs'!K7="","",'Model inputs'!K7)</f>
        <v>337.5</v>
      </c>
      <c r="L218" s="10">
        <f>IF('Model inputs'!L7="","",'Model inputs'!L7)</f>
        <v>375</v>
      </c>
      <c r="M218" s="10">
        <f>IF('Model inputs'!M7="","",'Model inputs'!M7)</f>
        <v>412.5</v>
      </c>
      <c r="N218" s="10">
        <f>IF('Model inputs'!N7="","",'Model inputs'!N7)</f>
        <v>450</v>
      </c>
      <c r="Q218" s="10">
        <f>IF('Model inputs'!Q212="","",'Model inputs'!Q212)</f>
        <v>0</v>
      </c>
      <c r="R218" s="10">
        <f>IF('Model inputs'!R212="","",'Model inputs'!R212)</f>
        <v>0</v>
      </c>
      <c r="S218" s="10">
        <f>IF('Model inputs'!S212="","",'Model inputs'!S212)</f>
        <v>0</v>
      </c>
      <c r="T218" s="10">
        <f>IF('Model inputs'!T212="","",'Model inputs'!T212)</f>
        <v>0</v>
      </c>
      <c r="U218" s="10">
        <f>IF('Model inputs'!U212="","",'Model inputs'!U212)</f>
        <v>0</v>
      </c>
      <c r="V218" s="10">
        <f>IF('Model inputs'!V212="","",'Model inputs'!V212)</f>
        <v>0</v>
      </c>
      <c r="W218" s="10">
        <f>IF('Model inputs'!W212="","",'Model inputs'!W212)</f>
        <v>0</v>
      </c>
      <c r="X218" s="10">
        <f>IF('Model inputs'!X212="","",'Model inputs'!X212)</f>
        <v>0</v>
      </c>
      <c r="Y218" s="10">
        <f>'Model inputs'!Y253*'Model inputs'!O113*'Model inputs'!O148</f>
        <v>450</v>
      </c>
      <c r="Z218" s="10">
        <f>'Model inputs'!Z253*'Model inputs'!O113*'Model inputs'!O148</f>
        <v>450</v>
      </c>
      <c r="AA218" s="10">
        <f>'Model inputs'!AA253*'Model inputs'!O113*'Model inputs'!O148</f>
        <v>450</v>
      </c>
    </row>
    <row r="219" outlineLevel="1">
      <c r="A219" t="inlineStr" s="15">
        <is>
          <t xml:space="preserve">Account support cost &gt; Hybrid</t>
        </is>
      </c>
      <c r="B219" s="10">
        <f>IF('Model inputs'!B8="","",'Model inputs'!B8)</f>
        <v>0</v>
      </c>
      <c r="C219" s="10">
        <f>IF('Model inputs'!C8="","",'Model inputs'!C8)</f>
        <v>37.5</v>
      </c>
      <c r="D219" s="10">
        <f>IF('Model inputs'!D8="","",'Model inputs'!D8)</f>
        <v>75</v>
      </c>
      <c r="E219" s="10">
        <f>IF('Model inputs'!E8="","",'Model inputs'!E8)</f>
        <v>112.5</v>
      </c>
      <c r="F219" s="10">
        <f>IF('Model inputs'!F8="","",'Model inputs'!F8)</f>
        <v>150</v>
      </c>
      <c r="G219" s="10">
        <f>IF('Model inputs'!G8="","",'Model inputs'!G8)</f>
        <v>187.5</v>
      </c>
      <c r="H219" s="10">
        <f>IF('Model inputs'!H8="","",'Model inputs'!H8)</f>
        <v>225</v>
      </c>
      <c r="I219" s="10">
        <f>IF('Model inputs'!I8="","",'Model inputs'!I8)</f>
        <v>262.5</v>
      </c>
      <c r="J219" s="10">
        <f>IF('Model inputs'!J8="","",'Model inputs'!J8)</f>
        <v>300</v>
      </c>
      <c r="K219" s="10">
        <f>IF('Model inputs'!K8="","",'Model inputs'!K8)</f>
        <v>337.5</v>
      </c>
      <c r="L219" s="10">
        <f>IF('Model inputs'!L8="","",'Model inputs'!L8)</f>
        <v>375</v>
      </c>
      <c r="M219" s="10">
        <f>IF('Model inputs'!M8="","",'Model inputs'!M8)</f>
        <v>412.5</v>
      </c>
      <c r="N219" s="10">
        <f>IF('Model inputs'!N8="","",'Model inputs'!N8)</f>
        <v>450</v>
      </c>
      <c r="Q219" s="10">
        <f>IF('Model inputs'!Q213="","",'Model inputs'!Q213)</f>
        <v>0</v>
      </c>
      <c r="R219" s="10">
        <f>IF('Model inputs'!R213="","",'Model inputs'!R213)</f>
        <v>0</v>
      </c>
      <c r="S219" s="10">
        <f>IF('Model inputs'!S213="","",'Model inputs'!S213)</f>
        <v>0</v>
      </c>
      <c r="T219" s="10">
        <f>IF('Model inputs'!T213="","",'Model inputs'!T213)</f>
        <v>0</v>
      </c>
      <c r="U219" s="10">
        <f>IF('Model inputs'!U213="","",'Model inputs'!U213)</f>
        <v>0</v>
      </c>
      <c r="V219" s="10">
        <f>IF('Model inputs'!V213="","",'Model inputs'!V213)</f>
        <v>0</v>
      </c>
      <c r="W219" s="10">
        <f>IF('Model inputs'!W213="","",'Model inputs'!W213)</f>
        <v>0</v>
      </c>
      <c r="X219" s="10">
        <f>IF('Model inputs'!X213="","",'Model inputs'!X213)</f>
        <v>0</v>
      </c>
      <c r="Y219" s="10">
        <f>'Model inputs'!Y253*'Model inputs'!O113*'Model inputs'!O148</f>
        <v>450</v>
      </c>
      <c r="Z219" s="10">
        <f>'Model inputs'!Z253*'Model inputs'!O113*'Model inputs'!O148</f>
        <v>450</v>
      </c>
      <c r="AA219" s="10">
        <f>'Model inputs'!AA253*'Model inputs'!O113*'Model inputs'!O148</f>
        <v>450</v>
      </c>
    </row>
    <row r="220" outlineLevel="1">
      <c r="A220" t="inlineStr" s="15">
        <is>
          <t xml:space="preserve">Account support cost &gt; Per audit — base</t>
        </is>
      </c>
      <c r="B220" s="10">
        <f>IF('Model inputs'!B9="","",'Model inputs'!B9)</f>
        <v>0</v>
      </c>
      <c r="C220" s="10">
        <f>IF('Model inputs'!C9="","",'Model inputs'!C9)</f>
        <v>37.5</v>
      </c>
      <c r="D220" s="10">
        <f>IF('Model inputs'!D9="","",'Model inputs'!D9)</f>
        <v>75</v>
      </c>
      <c r="E220" s="10">
        <f>IF('Model inputs'!E9="","",'Model inputs'!E9)</f>
        <v>112.5</v>
      </c>
      <c r="F220" s="10">
        <f>IF('Model inputs'!F9="","",'Model inputs'!F9)</f>
        <v>150</v>
      </c>
      <c r="G220" s="10">
        <f>IF('Model inputs'!G9="","",'Model inputs'!G9)</f>
        <v>187.5</v>
      </c>
      <c r="H220" s="10">
        <f>IF('Model inputs'!H9="","",'Model inputs'!H9)</f>
        <v>225</v>
      </c>
      <c r="I220" s="10">
        <f>IF('Model inputs'!I9="","",'Model inputs'!I9)</f>
        <v>262.5</v>
      </c>
      <c r="J220" s="10">
        <f>IF('Model inputs'!J9="","",'Model inputs'!J9)</f>
        <v>300</v>
      </c>
      <c r="K220" s="10">
        <f>IF('Model inputs'!K9="","",'Model inputs'!K9)</f>
        <v>337.5</v>
      </c>
      <c r="L220" s="10">
        <f>IF('Model inputs'!L9="","",'Model inputs'!L9)</f>
        <v>375</v>
      </c>
      <c r="M220" s="10">
        <f>IF('Model inputs'!M9="","",'Model inputs'!M9)</f>
        <v>412.5</v>
      </c>
      <c r="N220" s="10">
        <f>IF('Model inputs'!N9="","",'Model inputs'!N9)</f>
        <v>450</v>
      </c>
      <c r="Q220" s="10">
        <f>IF('Model inputs'!Q214="","",'Model inputs'!Q214)</f>
        <v>0</v>
      </c>
      <c r="R220" s="10">
        <f>IF('Model inputs'!R214="","",'Model inputs'!R214)</f>
        <v>0</v>
      </c>
      <c r="S220" s="10">
        <f>IF('Model inputs'!S214="","",'Model inputs'!S214)</f>
        <v>0</v>
      </c>
      <c r="T220" s="10">
        <f>IF('Model inputs'!T214="","",'Model inputs'!T214)</f>
        <v>0</v>
      </c>
      <c r="U220" s="10">
        <f>IF('Model inputs'!U214="","",'Model inputs'!U214)</f>
        <v>0</v>
      </c>
      <c r="V220" s="10">
        <f>IF('Model inputs'!V214="","",'Model inputs'!V214)</f>
        <v>0</v>
      </c>
      <c r="W220" s="10">
        <f>IF('Model inputs'!W214="","",'Model inputs'!W214)</f>
        <v>0</v>
      </c>
      <c r="X220" s="10">
        <f>IF('Model inputs'!X214="","",'Model inputs'!X214)</f>
        <v>0</v>
      </c>
      <c r="Y220" s="10">
        <f>'Model inputs'!Y253*'Model inputs'!O113*'Model inputs'!O148</f>
        <v>450</v>
      </c>
      <c r="Z220" s="10">
        <f>'Model inputs'!Z253*'Model inputs'!O113*'Model inputs'!O148</f>
        <v>450</v>
      </c>
      <c r="AA220" s="10">
        <f>'Model inputs'!AA253*'Model inputs'!O113*'Model inputs'!O148</f>
        <v>450</v>
      </c>
    </row>
    <row r="221" outlineLevel="1">
      <c r="A221" t="inlineStr" s="15">
        <is>
          <t xml:space="preserve">Account support cost &gt; Per audit — high</t>
        </is>
      </c>
      <c r="B221" s="10">
        <f>IF('Model inputs'!B10="","",'Model inputs'!B10)</f>
        <v>0</v>
      </c>
      <c r="C221" s="10">
        <f>IF('Model inputs'!C10="","",'Model inputs'!C10)</f>
        <v>37.5</v>
      </c>
      <c r="D221" s="10">
        <f>IF('Model inputs'!D10="","",'Model inputs'!D10)</f>
        <v>75</v>
      </c>
      <c r="E221" s="10">
        <f>IF('Model inputs'!E10="","",'Model inputs'!E10)</f>
        <v>112.5</v>
      </c>
      <c r="F221" s="10">
        <f>IF('Model inputs'!F10="","",'Model inputs'!F10)</f>
        <v>150</v>
      </c>
      <c r="G221" s="10">
        <f>IF('Model inputs'!G10="","",'Model inputs'!G10)</f>
        <v>187.5</v>
      </c>
      <c r="H221" s="10">
        <f>IF('Model inputs'!H10="","",'Model inputs'!H10)</f>
        <v>225</v>
      </c>
      <c r="I221" s="10">
        <f>IF('Model inputs'!I10="","",'Model inputs'!I10)</f>
        <v>262.5</v>
      </c>
      <c r="J221" s="10">
        <f>IF('Model inputs'!J10="","",'Model inputs'!J10)</f>
        <v>300</v>
      </c>
      <c r="K221" s="10">
        <f>IF('Model inputs'!K10="","",'Model inputs'!K10)</f>
        <v>337.5</v>
      </c>
      <c r="L221" s="10">
        <f>IF('Model inputs'!L10="","",'Model inputs'!L10)</f>
        <v>375</v>
      </c>
      <c r="M221" s="10">
        <f>IF('Model inputs'!M10="","",'Model inputs'!M10)</f>
        <v>412.5</v>
      </c>
      <c r="N221" s="10">
        <f>IF('Model inputs'!N10="","",'Model inputs'!N10)</f>
        <v>450</v>
      </c>
      <c r="Q221" s="10">
        <f>IF('Model inputs'!Q215="","",'Model inputs'!Q215)</f>
        <v>0</v>
      </c>
      <c r="R221" s="10">
        <f>IF('Model inputs'!R215="","",'Model inputs'!R215)</f>
        <v>0</v>
      </c>
      <c r="S221" s="10">
        <f>IF('Model inputs'!S215="","",'Model inputs'!S215)</f>
        <v>0</v>
      </c>
      <c r="T221" s="10">
        <f>IF('Model inputs'!T215="","",'Model inputs'!T215)</f>
        <v>0</v>
      </c>
      <c r="U221" s="10">
        <f>IF('Model inputs'!U215="","",'Model inputs'!U215)</f>
        <v>0</v>
      </c>
      <c r="V221" s="10">
        <f>IF('Model inputs'!V215="","",'Model inputs'!V215)</f>
        <v>0</v>
      </c>
      <c r="W221" s="10">
        <f>IF('Model inputs'!W215="","",'Model inputs'!W215)</f>
        <v>0</v>
      </c>
      <c r="X221" s="10">
        <f>IF('Model inputs'!X215="","",'Model inputs'!X215)</f>
        <v>0</v>
      </c>
      <c r="Y221" s="10">
        <f>'Model inputs'!Y253*'Model inputs'!O113*'Model inputs'!O148</f>
        <v>450</v>
      </c>
      <c r="Z221" s="10">
        <f>'Model inputs'!Z253*'Model inputs'!O113*'Model inputs'!O148</f>
        <v>450</v>
      </c>
      <c r="AA221" s="10">
        <f>'Model inputs'!AA253*'Model inputs'!O113*'Model inputs'!O148</f>
        <v>450</v>
      </c>
    </row>
    <row r="222" outlineLevel="1">
      <c r="A222" t="inlineStr" s="15">
        <is>
          <t xml:space="preserve">Account support cost &gt; Per audit — low</t>
        </is>
      </c>
      <c r="B222" s="10">
        <f>IF('Model inputs'!B11="","",'Model inputs'!B11)</f>
        <v>0</v>
      </c>
      <c r="C222" s="10">
        <f>IF('Model inputs'!C11="","",'Model inputs'!C11)</f>
        <v>37.5</v>
      </c>
      <c r="D222" s="10">
        <f>IF('Model inputs'!D11="","",'Model inputs'!D11)</f>
        <v>75</v>
      </c>
      <c r="E222" s="10">
        <f>IF('Model inputs'!E11="","",'Model inputs'!E11)</f>
        <v>112.5</v>
      </c>
      <c r="F222" s="10">
        <f>IF('Model inputs'!F11="","",'Model inputs'!F11)</f>
        <v>150</v>
      </c>
      <c r="G222" s="10">
        <f>IF('Model inputs'!G11="","",'Model inputs'!G11)</f>
        <v>187.5</v>
      </c>
      <c r="H222" s="10">
        <f>IF('Model inputs'!H11="","",'Model inputs'!H11)</f>
        <v>225</v>
      </c>
      <c r="I222" s="10">
        <f>IF('Model inputs'!I11="","",'Model inputs'!I11)</f>
        <v>262.5</v>
      </c>
      <c r="J222" s="10">
        <f>IF('Model inputs'!J11="","",'Model inputs'!J11)</f>
        <v>300</v>
      </c>
      <c r="K222" s="10">
        <f>IF('Model inputs'!K11="","",'Model inputs'!K11)</f>
        <v>337.5</v>
      </c>
      <c r="L222" s="10">
        <f>IF('Model inputs'!L11="","",'Model inputs'!L11)</f>
        <v>375</v>
      </c>
      <c r="M222" s="10">
        <f>IF('Model inputs'!M11="","",'Model inputs'!M11)</f>
        <v>412.5</v>
      </c>
      <c r="N222" s="10">
        <f>IF('Model inputs'!N11="","",'Model inputs'!N11)</f>
        <v>450</v>
      </c>
      <c r="Q222" s="10">
        <f>IF('Model inputs'!Q216="","",'Model inputs'!Q216)</f>
        <v>0</v>
      </c>
      <c r="R222" s="10">
        <f>IF('Model inputs'!R216="","",'Model inputs'!R216)</f>
        <v>0</v>
      </c>
      <c r="S222" s="10">
        <f>IF('Model inputs'!S216="","",'Model inputs'!S216)</f>
        <v>0</v>
      </c>
      <c r="T222" s="10">
        <f>IF('Model inputs'!T216="","",'Model inputs'!T216)</f>
        <v>0</v>
      </c>
      <c r="U222" s="10">
        <f>IF('Model inputs'!U216="","",'Model inputs'!U216)</f>
        <v>0</v>
      </c>
      <c r="V222" s="10">
        <f>IF('Model inputs'!V216="","",'Model inputs'!V216)</f>
        <v>0</v>
      </c>
      <c r="W222" s="10">
        <f>IF('Model inputs'!W216="","",'Model inputs'!W216)</f>
        <v>0</v>
      </c>
      <c r="X222" s="10">
        <f>IF('Model inputs'!X216="","",'Model inputs'!X216)</f>
        <v>0</v>
      </c>
      <c r="Y222" s="10">
        <f>'Model inputs'!Y253*'Model inputs'!O113*'Model inputs'!O148</f>
        <v>450</v>
      </c>
      <c r="Z222" s="10">
        <f>'Model inputs'!Z253*'Model inputs'!O113*'Model inputs'!O148</f>
        <v>450</v>
      </c>
      <c r="AA222" s="10">
        <f>'Model inputs'!AA253*'Model inputs'!O113*'Model inputs'!O148</f>
        <v>450</v>
      </c>
    </row>
    <row r="223">
      <c r="A223" t="inlineStr" s="14">
        <is>
          <t xml:space="preserve">Annual fee · Average monthly net cash burn · DealScope conditional cash and runway</t>
        </is>
      </c>
      <c r="O223" s="10">
        <f>24000</f>
        <v>24000</v>
      </c>
    </row>
    <row r="224">
      <c r="A224" t="inlineStr" s="14">
        <is>
          <t xml:space="preserve">Annual utilization · Average monthly net cash burn · DealScope conditional cash and runway</t>
        </is>
      </c>
      <c r="O224" s="9">
        <f>1</f>
        <v>1</v>
      </c>
    </row>
    <row r="225">
      <c r="A225" t="inlineStr" s="14">
        <is>
          <t xml:space="preserve">Audit list price</t>
        </is>
      </c>
      <c r="O225" s="12">
        <v>0</v>
      </c>
    </row>
    <row r="226" outlineLevel="1">
      <c r="A226" t="inlineStr" s="15">
        <is>
          <t xml:space="preserve">Audit list price &gt; Annual deal-team</t>
        </is>
      </c>
      <c r="O226" s="10">
        <f>0</f>
        <v>0</v>
      </c>
    </row>
    <row r="227" outlineLevel="1">
      <c r="A227" t="inlineStr" s="15">
        <is>
          <t xml:space="preserve">Audit list price &gt; Hybrid</t>
        </is>
      </c>
      <c r="O227" s="10">
        <f>IF('Model inputs'!O268="","",'Model inputs'!O268)</f>
        <v>1000</v>
      </c>
    </row>
    <row r="228" outlineLevel="1">
      <c r="A228" t="inlineStr" s="15">
        <is>
          <t xml:space="preserve">Audit list price &gt; Per audit — base</t>
        </is>
      </c>
      <c r="O228" s="10">
        <f>1500</f>
        <v>1500</v>
      </c>
    </row>
    <row r="229" outlineLevel="1">
      <c r="A229" t="inlineStr" s="15">
        <is>
          <t xml:space="preserve">Audit list price &gt; Per audit — high</t>
        </is>
      </c>
      <c r="O229" s="10">
        <f>3000</f>
        <v>3000</v>
      </c>
    </row>
    <row r="230" outlineLevel="1">
      <c r="A230" t="inlineStr" s="15">
        <is>
          <t xml:space="preserve">Audit list price &gt; Per audit — low</t>
        </is>
      </c>
      <c r="O230" s="10">
        <f>750</f>
        <v>750</v>
      </c>
    </row>
    <row r="231">
      <c r="A231" t="inlineStr" s="14">
        <is>
          <t xml:space="preserve">Audits per customer per month · Average monthly net cash burn · DealScope conditional cash and runway</t>
        </is>
      </c>
      <c r="O231" s="9">
        <f>4</f>
        <v>4</v>
      </c>
    </row>
    <row r="232">
      <c r="A232" t="inlineStr" s="14">
        <is>
          <t xml:space="preserve">Fixed costs · Cumulative funding gap</t>
        </is>
      </c>
      <c r="B232" s="10">
        <f>IF('Model inputs'!B134="","",'Model inputs'!B134)</f>
        <v>0</v>
      </c>
      <c r="C232" s="10">
        <f>IF('Model inputs'!C134="","",'Model inputs'!C134)</f>
        <v>750</v>
      </c>
      <c r="D232" s="10">
        <f>IF('Model inputs'!D134="","",'Model inputs'!D134)</f>
        <v>750</v>
      </c>
      <c r="E232" s="10">
        <f>IF('Model inputs'!E134="","",'Model inputs'!E134)</f>
        <v>750</v>
      </c>
      <c r="F232" s="10">
        <f>IF('Model inputs'!F134="","",'Model inputs'!F134)</f>
        <v>750</v>
      </c>
      <c r="G232" s="10">
        <f>IF('Model inputs'!G134="","",'Model inputs'!G134)</f>
        <v>750</v>
      </c>
      <c r="H232" s="10">
        <f>IF('Model inputs'!H134="","",'Model inputs'!H134)</f>
        <v>1250</v>
      </c>
      <c r="I232" s="10">
        <f>IF('Model inputs'!I134="","",'Model inputs'!I134)</f>
        <v>1250</v>
      </c>
      <c r="J232" s="10">
        <f>IF('Model inputs'!J134="","",'Model inputs'!J134)</f>
        <v>1250</v>
      </c>
      <c r="K232" s="10">
        <f>IF('Model inputs'!K134="","",'Model inputs'!K134)</f>
        <v>1250</v>
      </c>
      <c r="L232" s="10">
        <f>IF('Model inputs'!L134="","",'Model inputs'!L134)</f>
        <v>1250</v>
      </c>
      <c r="M232" s="10">
        <f>IF('Model inputs'!M134="","",'Model inputs'!M134)</f>
        <v>1250</v>
      </c>
      <c r="N232" s="10">
        <f>IF('Model inputs'!N134="","",'Model inputs'!N134)</f>
        <v>1250</v>
      </c>
      <c r="Q232" s="10">
        <f>IF('Model inputs'!Q134="","",'Model inputs'!Q134)</f>
        <v>0</v>
      </c>
      <c r="R232" s="10">
        <f>IF('Model inputs'!R134="","",'Model inputs'!R134)</f>
        <v>0</v>
      </c>
      <c r="S232" s="10">
        <f>IF('Model inputs'!S134="","",'Model inputs'!S134)</f>
        <v>0</v>
      </c>
      <c r="T232" s="10">
        <f>IF('Model inputs'!T134="","",'Model inputs'!T134)</f>
        <v>0</v>
      </c>
      <c r="U232" s="10">
        <f>IF('Model inputs'!U134="","",'Model inputs'!U134)</f>
        <v>0</v>
      </c>
      <c r="V232" s="10">
        <f>IF('Model inputs'!V134="","",'Model inputs'!V134)</f>
        <v>0</v>
      </c>
      <c r="W232" s="10">
        <f>IF('Model inputs'!W134="","",'Model inputs'!W134)</f>
        <v>0</v>
      </c>
      <c r="X232" s="10">
        <f>IF('Model inputs'!X134="","",'Model inputs'!X134)</f>
        <v>0</v>
      </c>
      <c r="Y232" s="10">
        <f>'Model inputs'!O79+'Model inputs'!O112+'Model inputs'!O48+'Model inputs'!O66+'Model inputs'!O110+IF(IF(IF(IF(ISERROR('Model inputs'!Y146&gt;='Model inputs'!O31),'Model inputs'!Y146&gt;='Model inputs'!O31,IF(OR('Model inputs'!Y146="",'Model inputs'!O31=""),"",'Model inputs'!Y146&gt;='Model inputs'!O31))="",FALSE,IF(ISERROR('Model inputs'!Y146&gt;='Model inputs'!O31),'Model inputs'!Y146&gt;='Model inputs'!O31,IF(OR('Model inputs'!Y146="",'Model inputs'!O31=""),"",'Model inputs'!Y146&gt;='Model inputs'!O31))),IF('Model inputs'!O30="","",'Model inputs'!O30),0)="",0,IF(IF(IF(ISERROR('Model inputs'!Y146&gt;='Model inputs'!O31),'Model inputs'!Y146&gt;='Model inputs'!O31,IF(OR('Model inputs'!Y146="",'Model inputs'!O31=""),"",'Model inputs'!Y146&gt;='Model inputs'!O31))="",FALSE,IF(ISERROR('Model inputs'!Y146&gt;='Model inputs'!O31),'Model inputs'!Y146&gt;='Model inputs'!O31,IF(OR('Model inputs'!Y146="",'Model inputs'!O31=""),"",'Model inputs'!Y146&gt;='Model inputs'!O31))),IF('Model inputs'!O30="","",'Model inputs'!O30),0))</f>
        <v>1250</v>
      </c>
      <c r="Z232" s="10">
        <f>'Model inputs'!O79+'Model inputs'!O112+'Model inputs'!O48+'Model inputs'!O66+'Model inputs'!O110+IF(IF(IF(IF(ISERROR('Model inputs'!Z146&gt;='Model inputs'!O31),'Model inputs'!Z146&gt;='Model inputs'!O31,IF(OR('Model inputs'!Z146="",'Model inputs'!O31=""),"",'Model inputs'!Z146&gt;='Model inputs'!O31))="",FALSE,IF(ISERROR('Model inputs'!Z146&gt;='Model inputs'!O31),'Model inputs'!Z146&gt;='Model inputs'!O31,IF(OR('Model inputs'!Z146="",'Model inputs'!O31=""),"",'Model inputs'!Z146&gt;='Model inputs'!O31))),IF('Model inputs'!O30="","",'Model inputs'!O30),0)="",0,IF(IF(IF(ISERROR('Model inputs'!Z146&gt;='Model inputs'!O31),'Model inputs'!Z146&gt;='Model inputs'!O31,IF(OR('Model inputs'!Z146="",'Model inputs'!O31=""),"",'Model inputs'!Z146&gt;='Model inputs'!O31))="",FALSE,IF(ISERROR('Model inputs'!Z146&gt;='Model inputs'!O31),'Model inputs'!Z146&gt;='Model inputs'!O31,IF(OR('Model inputs'!Z146="",'Model inputs'!O31=""),"",'Model inputs'!Z146&gt;='Model inputs'!O31))),IF('Model inputs'!O30="","",'Model inputs'!O30),0))</f>
        <v>1250</v>
      </c>
      <c r="AA232" s="10">
        <f>'Model inputs'!O79+'Model inputs'!O112+'Model inputs'!O48+'Model inputs'!O66+'Model inputs'!O110+IF(IF(IF(IF(ISERROR('Model inputs'!AA146&gt;='Model inputs'!O31),'Model inputs'!AA146&gt;='Model inputs'!O31,IF(OR('Model inputs'!AA146="",'Model inputs'!O31=""),"",'Model inputs'!AA146&gt;='Model inputs'!O31))="",FALSE,IF(ISERROR('Model inputs'!AA146&gt;='Model inputs'!O31),'Model inputs'!AA146&gt;='Model inputs'!O31,IF(OR('Model inputs'!AA146="",'Model inputs'!O31=""),"",'Model inputs'!AA146&gt;='Model inputs'!O31))),IF('Model inputs'!O30="","",'Model inputs'!O30),0)="",0,IF(IF(IF(ISERROR('Model inputs'!AA146&gt;='Model inputs'!O31),'Model inputs'!AA146&gt;='Model inputs'!O31,IF(OR('Model inputs'!AA146="",'Model inputs'!O31=""),"",'Model inputs'!AA146&gt;='Model inputs'!O31))="",FALSE,IF(ISERROR('Model inputs'!AA146&gt;='Model inputs'!O31),'Model inputs'!AA146&gt;='Model inputs'!O31,IF(OR('Model inputs'!AA146="",'Model inputs'!O31=""),"",'Model inputs'!AA146&gt;='Model inputs'!O31))),IF('Model inputs'!O30="","",'Model inputs'!O30),0))</f>
        <v>1250</v>
      </c>
    </row>
    <row r="233">
      <c r="A233" t="inlineStr" s="14">
        <is>
          <t xml:space="preserve">Gross profit</t>
        </is>
      </c>
      <c r="B233" s="12">
        <f>SUM('Model inputs'!B234,'Model inputs'!B235,'Model inputs'!B236,'Model inputs'!B237,'Model inputs'!B238)</f>
        <v>0</v>
      </c>
      <c r="C233" t="str" s="12">
        <f>IF('Model inputs'!C73="","",'Model inputs'!C73)</f>
        <v/>
      </c>
      <c r="D233" t="str" s="12">
        <f>IF('Model inputs'!D73="","",'Model inputs'!D73)</f>
        <v/>
      </c>
      <c r="E233" t="str" s="12">
        <f>IF('Model inputs'!E73="","",'Model inputs'!E73)</f>
        <v/>
      </c>
      <c r="F233" t="str" s="12">
        <f>IF('Model inputs'!F73="","",'Model inputs'!F73)</f>
        <v/>
      </c>
      <c r="G233" t="str" s="12">
        <f>IF('Model inputs'!G73="","",'Model inputs'!G73)</f>
        <v/>
      </c>
      <c r="H233" t="str" s="12">
        <f>IF('Model inputs'!H73="","",'Model inputs'!H73)</f>
        <v/>
      </c>
      <c r="I233" t="str" s="12">
        <f>IF('Model inputs'!I73="","",'Model inputs'!I73)</f>
        <v/>
      </c>
      <c r="J233" t="str" s="12">
        <f>IF('Model inputs'!J73="","",'Model inputs'!J73)</f>
        <v/>
      </c>
      <c r="K233" t="str" s="12">
        <f>IF('Model inputs'!K73="","",'Model inputs'!K73)</f>
        <v/>
      </c>
      <c r="L233" t="str" s="12">
        <f>IF('Model inputs'!L73="","",'Model inputs'!L73)</f>
        <v/>
      </c>
      <c r="M233" t="str" s="12">
        <f>IF('Model inputs'!M73="","",'Model inputs'!M73)</f>
        <v/>
      </c>
      <c r="N233" t="str" s="12">
        <f>IF('Model inputs'!N73="","",'Model inputs'!N73)</f>
        <v/>
      </c>
      <c r="Q233" s="12">
        <f>SUM('Model inputs'!Q234,'Model inputs'!Q235,'Model inputs'!Q236,'Model inputs'!Q237,'Model inputs'!Q238)</f>
        <v>0</v>
      </c>
      <c r="R233" s="12">
        <f>SUM('Model inputs'!R234,'Model inputs'!R235,'Model inputs'!R236,'Model inputs'!R237,'Model inputs'!R238)</f>
        <v>0</v>
      </c>
      <c r="S233" s="12">
        <f>SUM('Model inputs'!S234,'Model inputs'!S235,'Model inputs'!S236,'Model inputs'!S237,'Model inputs'!S238)</f>
        <v>0</v>
      </c>
      <c r="T233" s="12">
        <f>SUM('Model inputs'!T234,'Model inputs'!T235,'Model inputs'!T236,'Model inputs'!T237,'Model inputs'!T238)</f>
        <v>0</v>
      </c>
      <c r="U233" s="12">
        <f>SUM('Model inputs'!U234,'Model inputs'!U235,'Model inputs'!U236,'Model inputs'!U237,'Model inputs'!U238)</f>
        <v>0</v>
      </c>
      <c r="V233" s="12">
        <f>SUM('Model inputs'!V234,'Model inputs'!V235,'Model inputs'!V236,'Model inputs'!V237,'Model inputs'!V238)</f>
        <v>0</v>
      </c>
      <c r="W233" s="12">
        <f>SUM('Model inputs'!W234,'Model inputs'!W235,'Model inputs'!W236,'Model inputs'!W237,'Model inputs'!W238)</f>
        <v>0</v>
      </c>
      <c r="X233" s="12">
        <f>SUM('Model inputs'!X234,'Model inputs'!X235,'Model inputs'!X236,'Model inputs'!X237,'Model inputs'!X238)</f>
        <v>0</v>
      </c>
      <c r="Y233" t="str" s="12">
        <f>""</f>
        <v/>
      </c>
      <c r="Z233" t="str" s="12">
        <f>""</f>
        <v/>
      </c>
      <c r="AA233" t="str" s="12">
        <f>""</f>
        <v/>
      </c>
    </row>
    <row r="234" outlineLevel="1">
      <c r="A234" t="inlineStr" s="15">
        <is>
          <t xml:space="preserve">Gross profit &gt; Annual deal-team</t>
        </is>
      </c>
      <c r="B234" s="10">
        <f>0</f>
        <v>0</v>
      </c>
      <c r="C234" s="10">
        <f>IF('Model inputs'!C74="","",'Model inputs'!C74)</f>
        <v>4526.75</v>
      </c>
      <c r="D234" s="10">
        <f>IF('Model inputs'!D74="","",'Model inputs'!D74)</f>
        <v>9053.5</v>
      </c>
      <c r="E234" s="10">
        <f>IF('Model inputs'!E74="","",'Model inputs'!E74)</f>
        <v>13580.25</v>
      </c>
      <c r="F234" s="10">
        <f>IF('Model inputs'!F74="","",'Model inputs'!F74)</f>
        <v>18107</v>
      </c>
      <c r="G234" s="10">
        <f>IF('Model inputs'!G74="","",'Model inputs'!G74)</f>
        <v>22633.75</v>
      </c>
      <c r="H234" s="10">
        <f>IF('Model inputs'!H74="","",'Model inputs'!H74)</f>
        <v>27160.5</v>
      </c>
      <c r="I234" s="10">
        <f>IF('Model inputs'!I74="","",'Model inputs'!I74)</f>
        <v>31687.25</v>
      </c>
      <c r="J234" s="10">
        <f>IF('Model inputs'!J74="","",'Model inputs'!J74)</f>
        <v>36214</v>
      </c>
      <c r="K234" s="10">
        <f>IF('Model inputs'!K74="","",'Model inputs'!K74)</f>
        <v>40740.75</v>
      </c>
      <c r="L234" s="10">
        <f>IF('Model inputs'!L74="","",'Model inputs'!L74)</f>
        <v>45267.5</v>
      </c>
      <c r="M234" s="10">
        <f>IF('Model inputs'!M74="","",'Model inputs'!M74)</f>
        <v>49794.25</v>
      </c>
      <c r="N234" s="10">
        <f>IF('Model inputs'!N74="","",'Model inputs'!N74)</f>
        <v>54321</v>
      </c>
      <c r="Q234" s="10">
        <f>0</f>
        <v>0</v>
      </c>
      <c r="R234" s="10">
        <f>0</f>
        <v>0</v>
      </c>
      <c r="S234" s="10">
        <f>0</f>
        <v>0</v>
      </c>
      <c r="T234" s="10">
        <f>0</f>
        <v>0</v>
      </c>
      <c r="U234" s="10">
        <f>0</f>
        <v>0</v>
      </c>
      <c r="V234" s="10">
        <f>0</f>
        <v>0</v>
      </c>
      <c r="W234" s="10">
        <f>0</f>
        <v>0</v>
      </c>
      <c r="X234" s="10">
        <f>0</f>
        <v>0</v>
      </c>
      <c r="Y234" s="10">
        <f>'Model inputs'!Y180-'Model inputs'!Y200</f>
        <v>54321</v>
      </c>
      <c r="Z234" s="10">
        <f>'Model inputs'!Z180-'Model inputs'!Z200</f>
        <v>54321</v>
      </c>
      <c r="AA234" s="10">
        <f>'Model inputs'!AA180-'Model inputs'!AA200</f>
        <v>54321</v>
      </c>
    </row>
    <row r="235" outlineLevel="1">
      <c r="A235" t="inlineStr" s="15">
        <is>
          <t xml:space="preserve">Gross profit &gt; Hybrid</t>
        </is>
      </c>
      <c r="B235" s="10">
        <f>0</f>
        <v>0</v>
      </c>
      <c r="C235" s="10">
        <f>IF('Model inputs'!C75="","",'Model inputs'!C75)</f>
        <v>5151.75</v>
      </c>
      <c r="D235" s="10">
        <f>IF('Model inputs'!D75="","",'Model inputs'!D75)</f>
        <v>10303.5</v>
      </c>
      <c r="E235" s="10">
        <f>IF('Model inputs'!E75="","",'Model inputs'!E75)</f>
        <v>15455.25</v>
      </c>
      <c r="F235" s="10">
        <f>IF('Model inputs'!F75="","",'Model inputs'!F75)</f>
        <v>20607</v>
      </c>
      <c r="G235" s="10">
        <f>IF('Model inputs'!G75="","",'Model inputs'!G75)</f>
        <v>25758.75</v>
      </c>
      <c r="H235" s="10">
        <f>IF('Model inputs'!H75="","",'Model inputs'!H75)</f>
        <v>30910.5</v>
      </c>
      <c r="I235" s="10">
        <f>IF('Model inputs'!I75="","",'Model inputs'!I75)</f>
        <v>36062.25</v>
      </c>
      <c r="J235" s="10">
        <f>IF('Model inputs'!J75="","",'Model inputs'!J75)</f>
        <v>41214</v>
      </c>
      <c r="K235" s="10">
        <f>IF('Model inputs'!K75="","",'Model inputs'!K75)</f>
        <v>46365.75</v>
      </c>
      <c r="L235" s="10">
        <f>IF('Model inputs'!L75="","",'Model inputs'!L75)</f>
        <v>51517.5</v>
      </c>
      <c r="M235" s="10">
        <f>IF('Model inputs'!M75="","",'Model inputs'!M75)</f>
        <v>56669.25</v>
      </c>
      <c r="N235" s="10">
        <f>IF('Model inputs'!N75="","",'Model inputs'!N75)</f>
        <v>61821</v>
      </c>
      <c r="Q235" s="10">
        <f>0</f>
        <v>0</v>
      </c>
      <c r="R235" s="10">
        <f>0</f>
        <v>0</v>
      </c>
      <c r="S235" s="10">
        <f>0</f>
        <v>0</v>
      </c>
      <c r="T235" s="10">
        <f>0</f>
        <v>0</v>
      </c>
      <c r="U235" s="10">
        <f>0</f>
        <v>0</v>
      </c>
      <c r="V235" s="10">
        <f>0</f>
        <v>0</v>
      </c>
      <c r="W235" s="10">
        <f>0</f>
        <v>0</v>
      </c>
      <c r="X235" s="10">
        <f>0</f>
        <v>0</v>
      </c>
      <c r="Y235" s="10">
        <f>'Model inputs'!Y181-'Model inputs'!Y201</f>
        <v>61821</v>
      </c>
      <c r="Z235" s="10">
        <f>'Model inputs'!Z181-'Model inputs'!Z201</f>
        <v>61821</v>
      </c>
      <c r="AA235" s="10">
        <f>'Model inputs'!AA181-'Model inputs'!AA201</f>
        <v>61821</v>
      </c>
    </row>
    <row r="236" outlineLevel="1">
      <c r="A236" t="inlineStr" s="15">
        <is>
          <t xml:space="preserve">Gross profit &gt; Per audit — base</t>
        </is>
      </c>
      <c r="B236" s="10">
        <f>0</f>
        <v>0</v>
      </c>
      <c r="C236" s="10">
        <f>IF('Model inputs'!C76="","",'Model inputs'!C76)</f>
        <v>7026.75</v>
      </c>
      <c r="D236" s="10">
        <f>IF('Model inputs'!D76="","",'Model inputs'!D76)</f>
        <v>14053.5</v>
      </c>
      <c r="E236" s="10">
        <f>IF('Model inputs'!E76="","",'Model inputs'!E76)</f>
        <v>21080.25</v>
      </c>
      <c r="F236" s="10">
        <f>IF('Model inputs'!F76="","",'Model inputs'!F76)</f>
        <v>28107</v>
      </c>
      <c r="G236" s="10">
        <f>IF('Model inputs'!G76="","",'Model inputs'!G76)</f>
        <v>35133.75</v>
      </c>
      <c r="H236" s="10">
        <f>IF('Model inputs'!H76="","",'Model inputs'!H76)</f>
        <v>42160.5</v>
      </c>
      <c r="I236" s="10">
        <f>IF('Model inputs'!I76="","",'Model inputs'!I76)</f>
        <v>49187.25</v>
      </c>
      <c r="J236" s="10">
        <f>IF('Model inputs'!J76="","",'Model inputs'!J76)</f>
        <v>56214</v>
      </c>
      <c r="K236" s="10">
        <f>IF('Model inputs'!K76="","",'Model inputs'!K76)</f>
        <v>63240.75</v>
      </c>
      <c r="L236" s="10">
        <f>IF('Model inputs'!L76="","",'Model inputs'!L76)</f>
        <v>70267.5</v>
      </c>
      <c r="M236" s="10">
        <f>IF('Model inputs'!M76="","",'Model inputs'!M76)</f>
        <v>77294.25</v>
      </c>
      <c r="N236" s="10">
        <f>IF('Model inputs'!N76="","",'Model inputs'!N76)</f>
        <v>84321</v>
      </c>
      <c r="Q236" s="10">
        <f>0</f>
        <v>0</v>
      </c>
      <c r="R236" s="10">
        <f>0</f>
        <v>0</v>
      </c>
      <c r="S236" s="10">
        <f>0</f>
        <v>0</v>
      </c>
      <c r="T236" s="10">
        <f>0</f>
        <v>0</v>
      </c>
      <c r="U236" s="10">
        <f>0</f>
        <v>0</v>
      </c>
      <c r="V236" s="10">
        <f>0</f>
        <v>0</v>
      </c>
      <c r="W236" s="10">
        <f>0</f>
        <v>0</v>
      </c>
      <c r="X236" s="10">
        <f>0</f>
        <v>0</v>
      </c>
      <c r="Y236" s="10">
        <f>'Model inputs'!Y182-'Model inputs'!Y202</f>
        <v>84321</v>
      </c>
      <c r="Z236" s="10">
        <f>'Model inputs'!Z182-'Model inputs'!Z202</f>
        <v>84321</v>
      </c>
      <c r="AA236" s="10">
        <f>'Model inputs'!AA182-'Model inputs'!AA202</f>
        <v>84321</v>
      </c>
    </row>
    <row r="237" outlineLevel="1">
      <c r="A237" t="inlineStr" s="15">
        <is>
          <t xml:space="preserve">Gross profit &gt; Per audit — high</t>
        </is>
      </c>
      <c r="B237" s="10">
        <f>0</f>
        <v>0</v>
      </c>
      <c r="C237" s="10">
        <f>IF('Model inputs'!C77="","",'Model inputs'!C77)</f>
        <v>14526.75</v>
      </c>
      <c r="D237" s="10">
        <f>IF('Model inputs'!D77="","",'Model inputs'!D77)</f>
        <v>29053.5</v>
      </c>
      <c r="E237" s="10">
        <f>IF('Model inputs'!E77="","",'Model inputs'!E77)</f>
        <v>43580.25</v>
      </c>
      <c r="F237" s="10">
        <f>IF('Model inputs'!F77="","",'Model inputs'!F77)</f>
        <v>58107</v>
      </c>
      <c r="G237" s="10">
        <f>IF('Model inputs'!G77="","",'Model inputs'!G77)</f>
        <v>72633.75</v>
      </c>
      <c r="H237" s="10">
        <f>IF('Model inputs'!H77="","",'Model inputs'!H77)</f>
        <v>87160.5</v>
      </c>
      <c r="I237" s="10">
        <f>IF('Model inputs'!I77="","",'Model inputs'!I77)</f>
        <v>101687.25</v>
      </c>
      <c r="J237" s="10">
        <f>IF('Model inputs'!J77="","",'Model inputs'!J77)</f>
        <v>116214</v>
      </c>
      <c r="K237" s="10">
        <f>IF('Model inputs'!K77="","",'Model inputs'!K77)</f>
        <v>130740.75</v>
      </c>
      <c r="L237" s="10">
        <f>IF('Model inputs'!L77="","",'Model inputs'!L77)</f>
        <v>145267.5</v>
      </c>
      <c r="M237" s="10">
        <f>IF('Model inputs'!M77="","",'Model inputs'!M77)</f>
        <v>159794.25</v>
      </c>
      <c r="N237" s="10">
        <f>IF('Model inputs'!N77="","",'Model inputs'!N77)</f>
        <v>174321</v>
      </c>
      <c r="Q237" s="10">
        <f>0</f>
        <v>0</v>
      </c>
      <c r="R237" s="10">
        <f>0</f>
        <v>0</v>
      </c>
      <c r="S237" s="10">
        <f>0</f>
        <v>0</v>
      </c>
      <c r="T237" s="10">
        <f>0</f>
        <v>0</v>
      </c>
      <c r="U237" s="10">
        <f>0</f>
        <v>0</v>
      </c>
      <c r="V237" s="10">
        <f>0</f>
        <v>0</v>
      </c>
      <c r="W237" s="10">
        <f>0</f>
        <v>0</v>
      </c>
      <c r="X237" s="10">
        <f>0</f>
        <v>0</v>
      </c>
      <c r="Y237" s="10">
        <f>'Model inputs'!Y183-'Model inputs'!Y203</f>
        <v>174321</v>
      </c>
      <c r="Z237" s="10">
        <f>'Model inputs'!Z183-'Model inputs'!Z203</f>
        <v>174321</v>
      </c>
      <c r="AA237" s="10">
        <f>'Model inputs'!AA183-'Model inputs'!AA203</f>
        <v>174321</v>
      </c>
    </row>
    <row r="238" outlineLevel="1">
      <c r="A238" t="inlineStr" s="15">
        <is>
          <t xml:space="preserve">Gross profit &gt; Per audit — low</t>
        </is>
      </c>
      <c r="B238" s="10">
        <f>0</f>
        <v>0</v>
      </c>
      <c r="C238" s="10">
        <f>IF('Model inputs'!C78="","",'Model inputs'!C78)</f>
        <v>3276.75</v>
      </c>
      <c r="D238" s="10">
        <f>IF('Model inputs'!D78="","",'Model inputs'!D78)</f>
        <v>6553.5</v>
      </c>
      <c r="E238" s="10">
        <f>IF('Model inputs'!E78="","",'Model inputs'!E78)</f>
        <v>9830.25</v>
      </c>
      <c r="F238" s="10">
        <f>IF('Model inputs'!F78="","",'Model inputs'!F78)</f>
        <v>13107</v>
      </c>
      <c r="G238" s="10">
        <f>IF('Model inputs'!G78="","",'Model inputs'!G78)</f>
        <v>16383.75</v>
      </c>
      <c r="H238" s="10">
        <f>IF('Model inputs'!H78="","",'Model inputs'!H78)</f>
        <v>19660.5</v>
      </c>
      <c r="I238" s="10">
        <f>IF('Model inputs'!I78="","",'Model inputs'!I78)</f>
        <v>22937.25</v>
      </c>
      <c r="J238" s="10">
        <f>IF('Model inputs'!J78="","",'Model inputs'!J78)</f>
        <v>26214</v>
      </c>
      <c r="K238" s="10">
        <f>IF('Model inputs'!K78="","",'Model inputs'!K78)</f>
        <v>29490.75</v>
      </c>
      <c r="L238" s="10">
        <f>IF('Model inputs'!L78="","",'Model inputs'!L78)</f>
        <v>32767.5</v>
      </c>
      <c r="M238" s="10">
        <f>IF('Model inputs'!M78="","",'Model inputs'!M78)</f>
        <v>36044.25</v>
      </c>
      <c r="N238" s="10">
        <f>IF('Model inputs'!N78="","",'Model inputs'!N78)</f>
        <v>39321</v>
      </c>
      <c r="Q238" s="10">
        <f>0</f>
        <v>0</v>
      </c>
      <c r="R238" s="10">
        <f>0</f>
        <v>0</v>
      </c>
      <c r="S238" s="10">
        <f>0</f>
        <v>0</v>
      </c>
      <c r="T238" s="10">
        <f>0</f>
        <v>0</v>
      </c>
      <c r="U238" s="10">
        <f>0</f>
        <v>0</v>
      </c>
      <c r="V238" s="10">
        <f>0</f>
        <v>0</v>
      </c>
      <c r="W238" s="10">
        <f>0</f>
        <v>0</v>
      </c>
      <c r="X238" s="10">
        <f>0</f>
        <v>0</v>
      </c>
      <c r="Y238" s="10">
        <f>'Model inputs'!Y184-'Model inputs'!Y204</f>
        <v>39321</v>
      </c>
      <c r="Z238" s="10">
        <f>'Model inputs'!Z184-'Model inputs'!Z204</f>
        <v>39321</v>
      </c>
      <c r="AA238" s="10">
        <f>'Model inputs'!AA184-'Model inputs'!AA204</f>
        <v>39321</v>
      </c>
    </row>
    <row r="239">
      <c r="A239" t="inlineStr" s="14">
        <is>
          <t xml:space="preserve">Hybrid workspace fee · Average monthly net cash burn · DealScope conditional cash and runway</t>
        </is>
      </c>
      <c r="O239" s="10">
        <f>6000</f>
        <v>6000</v>
      </c>
    </row>
    <row r="240">
      <c r="A240" t="inlineStr" s="14">
        <is>
          <t xml:space="preserve">Included annual audits</t>
        </is>
      </c>
      <c r="O240" s="7">
        <v>0</v>
      </c>
    </row>
    <row r="241" outlineLevel="1">
      <c r="A241" t="inlineStr" s="15">
        <is>
          <t xml:space="preserve">Included annual audits &gt; Annual deal-team</t>
        </is>
      </c>
      <c r="O241" s="9">
        <f>IF('Model inputs'!O266="","",'Model inputs'!O266)</f>
        <v>24</v>
      </c>
    </row>
    <row r="242" outlineLevel="1">
      <c r="A242" t="inlineStr" s="15">
        <is>
          <t xml:space="preserve">Included annual audits &gt; Hybrid</t>
        </is>
      </c>
      <c r="O242" s="9">
        <f>0</f>
        <v>0</v>
      </c>
    </row>
    <row r="243" outlineLevel="1">
      <c r="A243" t="inlineStr" s="15">
        <is>
          <t xml:space="preserve">Included annual audits &gt; Per audit — base</t>
        </is>
      </c>
      <c r="O243" s="9">
        <f>0</f>
        <v>0</v>
      </c>
    </row>
    <row r="244" outlineLevel="1">
      <c r="A244" t="inlineStr" s="15">
        <is>
          <t xml:space="preserve">Included annual audits &gt; Per audit — high</t>
        </is>
      </c>
      <c r="O244" s="9">
        <f>0</f>
        <v>0</v>
      </c>
    </row>
    <row r="245" outlineLevel="1">
      <c r="A245" t="inlineStr" s="15">
        <is>
          <t xml:space="preserve">Included annual audits &gt; Per audit — low</t>
        </is>
      </c>
      <c r="O245" s="9">
        <f>0</f>
        <v>0</v>
      </c>
    </row>
    <row r="246">
      <c r="A246" t="inlineStr" s="14">
        <is>
          <t xml:space="preserve">New customer equivalents · Cumulative funding gap</t>
        </is>
      </c>
      <c r="B246" s="9">
        <f>IF('Model inputs'!B136="","",'Model inputs'!B136)</f>
        <v>0</v>
      </c>
      <c r="C246" s="9">
        <f>IF('Model inputs'!C136="","",'Model inputs'!C136)</f>
        <v>1.25</v>
      </c>
      <c r="D246" s="9">
        <f>IF('Model inputs'!D136="","",'Model inputs'!D136)</f>
        <v>1.25</v>
      </c>
      <c r="E246" s="9">
        <f>IF('Model inputs'!E136="","",'Model inputs'!E136)</f>
        <v>1.25</v>
      </c>
      <c r="F246" s="9">
        <f>IF('Model inputs'!F136="","",'Model inputs'!F136)</f>
        <v>1.25</v>
      </c>
      <c r="G246" s="9">
        <f>IF('Model inputs'!G136="","",'Model inputs'!G136)</f>
        <v>1.25</v>
      </c>
      <c r="H246" s="9">
        <f>IF('Model inputs'!H136="","",'Model inputs'!H136)</f>
        <v>1.25</v>
      </c>
      <c r="I246" s="9">
        <f>IF('Model inputs'!I136="","",'Model inputs'!I136)</f>
        <v>1.25</v>
      </c>
      <c r="J246" s="9">
        <f>IF('Model inputs'!J136="","",'Model inputs'!J136)</f>
        <v>1.25</v>
      </c>
      <c r="K246" s="9">
        <f>IF('Model inputs'!K136="","",'Model inputs'!K136)</f>
        <v>1.25</v>
      </c>
      <c r="L246" s="9">
        <f>IF('Model inputs'!L136="","",'Model inputs'!L136)</f>
        <v>1.25</v>
      </c>
      <c r="M246" s="9">
        <f>IF('Model inputs'!M136="","",'Model inputs'!M136)</f>
        <v>1.25</v>
      </c>
      <c r="N246" s="9">
        <f>IF('Model inputs'!N136="","",'Model inputs'!N136)</f>
        <v>1.25</v>
      </c>
      <c r="Q246" s="9">
        <f>IF('Model inputs'!Q136="","",'Model inputs'!Q136)</f>
        <v>0</v>
      </c>
      <c r="R246" s="9">
        <f>IF('Model inputs'!R136="","",'Model inputs'!R136)</f>
        <v>0</v>
      </c>
      <c r="S246" s="9">
        <f>IF('Model inputs'!S136="","",'Model inputs'!S136)</f>
        <v>0</v>
      </c>
      <c r="T246" s="9">
        <f>IF('Model inputs'!T136="","",'Model inputs'!T136)</f>
        <v>0</v>
      </c>
      <c r="U246" s="9">
        <f>IF('Model inputs'!U136="","",'Model inputs'!U136)</f>
        <v>0</v>
      </c>
      <c r="V246" s="9">
        <f>IF('Model inputs'!V136="","",'Model inputs'!V136)</f>
        <v>0</v>
      </c>
      <c r="W246" s="9">
        <f>IF('Model inputs'!W136="","",'Model inputs'!W136)</f>
        <v>0</v>
      </c>
      <c r="X246" s="9">
        <f>IF('Model inputs'!X136="","",'Model inputs'!X136)</f>
        <v>0</v>
      </c>
      <c r="Y246" s="9">
        <f>MAX('Model inputs'!Y253-IF(IF(IF(IF(ISERROR('Model inputs'!Y146=1),'Model inputs'!Y146=1,IF('Model inputs'!Y146="","",'Model inputs'!Y146=1))="",FALSE,IF(ISERROR('Model inputs'!Y146=1),'Model inputs'!Y146=1,IF('Model inputs'!Y146="","",'Model inputs'!Y146=1))),0,IF('Model inputs'!N143="","",'Model inputs'!N143))="",0,IF(IF(IF(ISERROR('Model inputs'!Y146=1),'Model inputs'!Y146=1,IF('Model inputs'!Y146="","",'Model inputs'!Y146=1))="",FALSE,IF(ISERROR('Model inputs'!Y146=1),'Model inputs'!Y146=1,IF('Model inputs'!Y146="","",'Model inputs'!Y146=1))),0,IF('Model inputs'!N143="","",'Model inputs'!N143))),0)</f>
        <v>0</v>
      </c>
      <c r="Z246" s="9">
        <f>MAX('Model inputs'!Z253-IF(IF(IF(IF(ISERROR('Model inputs'!Z146=1),'Model inputs'!Z146=1,IF('Model inputs'!Z146="","",'Model inputs'!Z146=1))="",FALSE,IF(ISERROR('Model inputs'!Z146=1),'Model inputs'!Z146=1,IF('Model inputs'!Z146="","",'Model inputs'!Z146=1))),0,IF('Model inputs'!Y253="","",'Model inputs'!Y253))="",0,IF(IF(IF(ISERROR('Model inputs'!Z146=1),'Model inputs'!Z146=1,IF('Model inputs'!Z146="","",'Model inputs'!Z146=1))="",FALSE,IF(ISERROR('Model inputs'!Z146=1),'Model inputs'!Z146=1,IF('Model inputs'!Z146="","",'Model inputs'!Z146=1))),0,IF('Model inputs'!Y253="","",'Model inputs'!Y253))),0)</f>
        <v>0</v>
      </c>
      <c r="AA246" s="9">
        <f>MAX('Model inputs'!AA253-IF(IF(IF(IF(ISERROR('Model inputs'!AA146=1),'Model inputs'!AA146=1,IF('Model inputs'!AA146="","",'Model inputs'!AA146=1))="",FALSE,IF(ISERROR('Model inputs'!AA146=1),'Model inputs'!AA146=1,IF('Model inputs'!AA146="","",'Model inputs'!AA146=1))),0,IF('Model inputs'!Z253="","",'Model inputs'!Z253))="",0,IF(IF(IF(ISERROR('Model inputs'!AA146=1),'Model inputs'!AA146=1,IF('Model inputs'!AA146="","",'Model inputs'!AA146=1))="",FALSE,IF(ISERROR('Model inputs'!AA146=1),'Model inputs'!AA146=1,IF('Model inputs'!AA146="","",'Model inputs'!AA146=1))),0,IF('Model inputs'!Z253="","",'Model inputs'!Z253))),0)</f>
        <v>0</v>
      </c>
    </row>
    <row r="247">
      <c r="A247" t="inlineStr" s="14">
        <is>
          <t xml:space="preserve">Overage audit price</t>
        </is>
      </c>
      <c r="O247" s="12">
        <v>0</v>
      </c>
    </row>
    <row r="248" outlineLevel="1">
      <c r="A248" t="inlineStr" s="15">
        <is>
          <t xml:space="preserve">Overage audit price &gt; Annual deal-team</t>
        </is>
      </c>
      <c r="O248" s="10">
        <f>IF('Model inputs'!O267="","",'Model inputs'!O267)</f>
        <v>1000</v>
      </c>
    </row>
    <row r="249" outlineLevel="1">
      <c r="A249" t="inlineStr" s="15">
        <is>
          <t xml:space="preserve">Overage audit price &gt; Hybrid</t>
        </is>
      </c>
      <c r="O249" s="10">
        <f>0</f>
        <v>0</v>
      </c>
    </row>
    <row r="250" outlineLevel="1">
      <c r="A250" t="inlineStr" s="15">
        <is>
          <t xml:space="preserve">Overage audit price &gt; Per audit — base</t>
        </is>
      </c>
      <c r="O250" s="10">
        <f>0</f>
        <v>0</v>
      </c>
    </row>
    <row r="251" outlineLevel="1">
      <c r="A251" t="inlineStr" s="15">
        <is>
          <t xml:space="preserve">Overage audit price &gt; Per audit — high</t>
        </is>
      </c>
      <c r="O251" s="10">
        <f>0</f>
        <v>0</v>
      </c>
    </row>
    <row r="252" outlineLevel="1">
      <c r="A252" t="inlineStr" s="15">
        <is>
          <t xml:space="preserve">Overage audit price &gt; Per audit — low</t>
        </is>
      </c>
      <c r="O252" s="10">
        <f>0</f>
        <v>0</v>
      </c>
    </row>
    <row r="253">
      <c r="A253" t="inlineStr" s="14">
        <is>
          <t xml:space="preserve">Paying customer equivalents · Cumulative funding gap</t>
        </is>
      </c>
      <c r="B253" s="9">
        <f>IF('Model inputs'!B143="","",'Model inputs'!B143)</f>
        <v>0</v>
      </c>
      <c r="C253" s="9">
        <f>IF('Model inputs'!C143="","",'Model inputs'!C143)</f>
        <v>1.25</v>
      </c>
      <c r="D253" s="9">
        <f>IF('Model inputs'!D143="","",'Model inputs'!D143)</f>
        <v>2.5</v>
      </c>
      <c r="E253" s="9">
        <f>IF('Model inputs'!E143="","",'Model inputs'!E143)</f>
        <v>3.75</v>
      </c>
      <c r="F253" s="9">
        <f>IF('Model inputs'!F143="","",'Model inputs'!F143)</f>
        <v>5</v>
      </c>
      <c r="G253" s="9">
        <f>IF('Model inputs'!G143="","",'Model inputs'!G143)</f>
        <v>6.25</v>
      </c>
      <c r="H253" s="9">
        <f>IF('Model inputs'!H143="","",'Model inputs'!H143)</f>
        <v>7.5</v>
      </c>
      <c r="I253" s="9">
        <f>IF('Model inputs'!I143="","",'Model inputs'!I143)</f>
        <v>8.75</v>
      </c>
      <c r="J253" s="9">
        <f>IF('Model inputs'!J143="","",'Model inputs'!J143)</f>
        <v>10</v>
      </c>
      <c r="K253" s="9">
        <f>IF('Model inputs'!K143="","",'Model inputs'!K143)</f>
        <v>11.25</v>
      </c>
      <c r="L253" s="9">
        <f>IF('Model inputs'!L143="","",'Model inputs'!L143)</f>
        <v>12.5</v>
      </c>
      <c r="M253" s="9">
        <f>IF('Model inputs'!M143="","",'Model inputs'!M143)</f>
        <v>13.75</v>
      </c>
      <c r="N253" s="9">
        <f>IF('Model inputs'!N143="","",'Model inputs'!N143)</f>
        <v>15</v>
      </c>
      <c r="Q253" s="9">
        <f>IF('Model inputs'!Q143="","",'Model inputs'!Q143)</f>
        <v>0</v>
      </c>
      <c r="R253" s="9">
        <f>IF('Model inputs'!R143="","",'Model inputs'!R143)</f>
        <v>0</v>
      </c>
      <c r="S253" s="9">
        <f>IF('Model inputs'!S143="","",'Model inputs'!S143)</f>
        <v>0</v>
      </c>
      <c r="T253" s="9">
        <f>IF('Model inputs'!T143="","",'Model inputs'!T143)</f>
        <v>0</v>
      </c>
      <c r="U253" s="9">
        <f>IF('Model inputs'!U143="","",'Model inputs'!U143)</f>
        <v>0</v>
      </c>
      <c r="V253" s="9">
        <f>IF('Model inputs'!V143="","",'Model inputs'!V143)</f>
        <v>0</v>
      </c>
      <c r="W253" s="9">
        <f>IF('Model inputs'!W143="","",'Model inputs'!W143)</f>
        <v>0</v>
      </c>
      <c r="X253" s="9">
        <f>IF('Model inputs'!X143="","",'Model inputs'!X143)</f>
        <v>0</v>
      </c>
      <c r="Y25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inputs'!Y146-'Model inputs'!O109)/'Model inputs'!O63,0),1),IF(IF(IF(ISERROR('Model inputs'!Y146&gt;'Model inputs'!O109),'Model inputs'!Y146&gt;'Model inputs'!O109,IF(OR('Model inputs'!Y146="",'Model inputs'!O109=""),"",'Model inputs'!Y146&gt;'Model inputs'!O109))="",FALSE,IF(ISERROR('Model inputs'!Y146&gt;'Model inputs'!O109),'Model inputs'!Y146&gt;'Model inputs'!O109,IF(OR('Model inputs'!Y146="",'Model inputs'!O109=""),"",'Model inputs'!Y146&gt;'Model inputs'!O109))),IF('Model inputs'!O114="","",'Model inputs'!O114),0))</f>
        <v>15</v>
      </c>
      <c r="Z25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inputs'!Z146-'Model inputs'!O109)/'Model inputs'!O63,0),1),IF(IF(IF(ISERROR('Model inputs'!Z146&gt;'Model inputs'!O109),'Model inputs'!Z146&gt;'Model inputs'!O109,IF(OR('Model inputs'!Z146="",'Model inputs'!O109=""),"",'Model inputs'!Z146&gt;'Model inputs'!O109))="",FALSE,IF(ISERROR('Model inputs'!Z146&gt;'Model inputs'!O109),'Model inputs'!Z146&gt;'Model inputs'!O109,IF(OR('Model inputs'!Z146="",'Model inputs'!O109=""),"",'Model inputs'!Z146&gt;'Model inputs'!O109))),IF('Model inputs'!O114="","",'Model inputs'!O114),0))</f>
        <v>15</v>
      </c>
      <c r="AA253" s="9">
        <f>IF(IF(IF(ISERROR('Model inputs'!O80=1),'Model inputs'!O80=1,IF('Model inputs'!O80="","",'Model inputs'!O80=1))="",FALSE,IF(ISERROR('Model inputs'!O80=1),'Model inputs'!O80=1,IF('Model inputs'!O80="","",'Model inputs'!O80=1))),'Model inputs'!O114*MIN(MAX(('Model inputs'!AA146-'Model inputs'!O109)/'Model inputs'!O63,0),1),IF(IF(IF(ISERROR('Model inputs'!AA146&gt;'Model inputs'!O109),'Model inputs'!AA146&gt;'Model inputs'!O109,IF(OR('Model inputs'!AA146="",'Model inputs'!O109=""),"",'Model inputs'!AA146&gt;'Model inputs'!O109))="",FALSE,IF(ISERROR('Model inputs'!AA146&gt;'Model inputs'!O109),'Model inputs'!AA146&gt;'Model inputs'!O109,IF(OR('Model inputs'!AA146="",'Model inputs'!O109=""),"",'Model inputs'!AA146&gt;'Model inputs'!O109))),IF('Model inputs'!O114="","",'Model inputs'!O114),0))</f>
        <v>15</v>
      </c>
    </row>
    <row r="254">
      <c r="A254" t="inlineStr" s="14">
        <is>
          <t xml:space="preserve">Payment fees</t>
        </is>
      </c>
      <c r="B254" s="12">
        <f>IF('Model inputs'!B88="","",'Model inputs'!B88)</f>
        <v>0</v>
      </c>
      <c r="C254" t="str" s="12">
        <f>IF('Model inputs'!C88="","",'Model inputs'!C88)</f>
        <v/>
      </c>
      <c r="D254" t="str" s="12">
        <f>IF('Model inputs'!D88="","",'Model inputs'!D88)</f>
        <v/>
      </c>
      <c r="E254" t="str" s="12">
        <f>IF('Model inputs'!E88="","",'Model inputs'!E88)</f>
        <v/>
      </c>
      <c r="F254" t="str" s="12">
        <f>IF('Model inputs'!F88="","",'Model inputs'!F88)</f>
        <v/>
      </c>
      <c r="G254" t="str" s="12">
        <f>IF('Model inputs'!G88="","",'Model inputs'!G88)</f>
        <v/>
      </c>
      <c r="H254" t="str" s="12">
        <f>IF('Model inputs'!H88="","",'Model inputs'!H88)</f>
        <v/>
      </c>
      <c r="I254" t="str" s="12">
        <f>IF('Model inputs'!I88="","",'Model inputs'!I88)</f>
        <v/>
      </c>
      <c r="J254" t="str" s="12">
        <f>IF('Model inputs'!J88="","",'Model inputs'!J88)</f>
        <v/>
      </c>
      <c r="K254" t="str" s="12">
        <f>IF('Model inputs'!K88="","",'Model inputs'!K88)</f>
        <v/>
      </c>
      <c r="L254" t="str" s="12">
        <f>IF('Model inputs'!L88="","",'Model inputs'!L88)</f>
        <v/>
      </c>
      <c r="M254" t="str" s="12">
        <f>IF('Model inputs'!M88="","",'Model inputs'!M88)</f>
        <v/>
      </c>
      <c r="N254" t="str" s="12">
        <f>IF('Model inputs'!N88="","",'Model inputs'!N88)</f>
        <v/>
      </c>
      <c r="Q254" s="12">
        <f>SUM('Model inputs'!Q255,'Model inputs'!Q256,'Model inputs'!Q257,'Model inputs'!Q258,'Model inputs'!Q259)</f>
        <v>0</v>
      </c>
      <c r="R254" s="12">
        <f>SUM('Model inputs'!R255,'Model inputs'!R256,'Model inputs'!R257,'Model inputs'!R258,'Model inputs'!R259)</f>
        <v>0</v>
      </c>
      <c r="S254" s="12">
        <f>SUM('Model inputs'!S255,'Model inputs'!S256,'Model inputs'!S257,'Model inputs'!S258,'Model inputs'!S259)</f>
        <v>0</v>
      </c>
      <c r="T254" s="12">
        <f>SUM('Model inputs'!T255,'Model inputs'!T256,'Model inputs'!T257,'Model inputs'!T258,'Model inputs'!T259)</f>
        <v>0</v>
      </c>
      <c r="U254" s="12">
        <f>SUM('Model inputs'!U255,'Model inputs'!U256,'Model inputs'!U257,'Model inputs'!U258,'Model inputs'!U259)</f>
        <v>0</v>
      </c>
      <c r="V254" s="12">
        <f>SUM('Model inputs'!V255,'Model inputs'!V256,'Model inputs'!V257,'Model inputs'!V258,'Model inputs'!V259)</f>
        <v>0</v>
      </c>
      <c r="W254" s="12">
        <f>SUM('Model inputs'!W255,'Model inputs'!W256,'Model inputs'!W257,'Model inputs'!W258,'Model inputs'!W259)</f>
        <v>0</v>
      </c>
      <c r="X254" s="12">
        <f>SUM('Model inputs'!X255,'Model inputs'!X256,'Model inputs'!X257,'Model inputs'!X258,'Model inputs'!X259)</f>
        <v>0</v>
      </c>
    </row>
    <row r="255" outlineLevel="1">
      <c r="A255" t="inlineStr" s="15">
        <is>
          <t xml:space="preserve">Payment fees &gt; Annual deal-team</t>
        </is>
      </c>
      <c r="B255" s="10">
        <f>IF('Model inputs'!B89="","",'Model inputs'!B89)</f>
        <v>0</v>
      </c>
      <c r="C255" s="10">
        <f>IF('Model inputs'!C89="","",'Model inputs'!C89)</f>
        <v>975</v>
      </c>
      <c r="D255" s="10">
        <f>IF('Model inputs'!D89="","",'Model inputs'!D89)</f>
        <v>1050</v>
      </c>
      <c r="E255" s="10">
        <f>IF('Model inputs'!E89="","",'Model inputs'!E89)</f>
        <v>1125</v>
      </c>
      <c r="F255" s="10">
        <f>IF('Model inputs'!F89="","",'Model inputs'!F89)</f>
        <v>1200</v>
      </c>
      <c r="G255" s="10">
        <f>IF('Model inputs'!G89="","",'Model inputs'!G89)</f>
        <v>1275</v>
      </c>
      <c r="H255" s="10">
        <f>IF('Model inputs'!H89="","",'Model inputs'!H89)</f>
        <v>1350</v>
      </c>
      <c r="I255" s="10">
        <f>IF('Model inputs'!I89="","",'Model inputs'!I89)</f>
        <v>1425</v>
      </c>
      <c r="J255" s="10">
        <f>IF('Model inputs'!J89="","",'Model inputs'!J89)</f>
        <v>1500</v>
      </c>
      <c r="K255" s="10">
        <f>IF('Model inputs'!K89="","",'Model inputs'!K89)</f>
        <v>1575</v>
      </c>
      <c r="L255" s="10">
        <f>IF('Model inputs'!L89="","",'Model inputs'!L89)</f>
        <v>1650</v>
      </c>
      <c r="M255" s="10">
        <f>IF('Model inputs'!M89="","",'Model inputs'!M89)</f>
        <v>1725</v>
      </c>
      <c r="N255" s="10">
        <f>IF('Model inputs'!N89="","",'Model inputs'!N89)</f>
        <v>1800</v>
      </c>
      <c r="Q255" s="10">
        <f>0</f>
        <v>0</v>
      </c>
      <c r="R255" s="10">
        <f>0</f>
        <v>0</v>
      </c>
      <c r="S255" s="10">
        <f>0</f>
        <v>0</v>
      </c>
      <c r="T255" s="10">
        <f>0</f>
        <v>0</v>
      </c>
      <c r="U255" s="10">
        <f>0</f>
        <v>0</v>
      </c>
      <c r="V255" s="10">
        <f>0</f>
        <v>0</v>
      </c>
      <c r="W255" s="10">
        <f>0</f>
        <v>0</v>
      </c>
      <c r="X255" s="10">
        <f>0</f>
        <v>0</v>
      </c>
    </row>
    <row r="256" outlineLevel="1">
      <c r="A256" t="inlineStr" s="15">
        <is>
          <t xml:space="preserve">Payment fees &gt; Hybrid</t>
        </is>
      </c>
      <c r="B256" s="10">
        <f>IF('Model inputs'!B90="","",'Model inputs'!B90)</f>
        <v>0</v>
      </c>
      <c r="C256" s="10">
        <f>IF('Model inputs'!C90="","",'Model inputs'!C90)</f>
        <v>375</v>
      </c>
      <c r="D256" s="10">
        <f>IF('Model inputs'!D90="","",'Model inputs'!D90)</f>
        <v>525</v>
      </c>
      <c r="E256" s="10">
        <f>IF('Model inputs'!E90="","",'Model inputs'!E90)</f>
        <v>675</v>
      </c>
      <c r="F256" s="10">
        <f>IF('Model inputs'!F90="","",'Model inputs'!F90)</f>
        <v>825</v>
      </c>
      <c r="G256" s="10">
        <f>IF('Model inputs'!G90="","",'Model inputs'!G90)</f>
        <v>975</v>
      </c>
      <c r="H256" s="10">
        <f>IF('Model inputs'!H90="","",'Model inputs'!H90)</f>
        <v>1125</v>
      </c>
      <c r="I256" s="10">
        <f>IF('Model inputs'!I90="","",'Model inputs'!I90)</f>
        <v>1275</v>
      </c>
      <c r="J256" s="10">
        <f>IF('Model inputs'!J90="","",'Model inputs'!J90)</f>
        <v>1425</v>
      </c>
      <c r="K256" s="10">
        <f>IF('Model inputs'!K90="","",'Model inputs'!K90)</f>
        <v>1575</v>
      </c>
      <c r="L256" s="10">
        <f>IF('Model inputs'!L90="","",'Model inputs'!L90)</f>
        <v>1725</v>
      </c>
      <c r="M256" s="10">
        <f>IF('Model inputs'!M90="","",'Model inputs'!M90)</f>
        <v>1875</v>
      </c>
      <c r="N256" s="10">
        <f>IF('Model inputs'!N90="","",'Model inputs'!N90)</f>
        <v>2025</v>
      </c>
      <c r="Q256" s="10">
        <f>0</f>
        <v>0</v>
      </c>
      <c r="R256" s="10">
        <f>0</f>
        <v>0</v>
      </c>
      <c r="S256" s="10">
        <f>0</f>
        <v>0</v>
      </c>
      <c r="T256" s="10">
        <f>0</f>
        <v>0</v>
      </c>
      <c r="U256" s="10">
        <f>0</f>
        <v>0</v>
      </c>
      <c r="V256" s="10">
        <f>0</f>
        <v>0</v>
      </c>
      <c r="W256" s="10">
        <f>0</f>
        <v>0</v>
      </c>
      <c r="X256" s="10">
        <f>0</f>
        <v>0</v>
      </c>
    </row>
    <row r="257" outlineLevel="1">
      <c r="A257" t="inlineStr" s="15">
        <is>
          <t xml:space="preserve">Payment fees &gt; Per audit — base</t>
        </is>
      </c>
      <c r="B257" s="10">
        <f>IF('Model inputs'!B91="","",'Model inputs'!B91)</f>
        <v>0</v>
      </c>
      <c r="C257" s="10">
        <f>IF('Model inputs'!C91="","",'Model inputs'!C91)</f>
        <v>225</v>
      </c>
      <c r="D257" s="10">
        <f>IF('Model inputs'!D91="","",'Model inputs'!D91)</f>
        <v>450</v>
      </c>
      <c r="E257" s="10">
        <f>IF('Model inputs'!E91="","",'Model inputs'!E91)</f>
        <v>675</v>
      </c>
      <c r="F257" s="10">
        <f>IF('Model inputs'!F91="","",'Model inputs'!F91)</f>
        <v>900</v>
      </c>
      <c r="G257" s="10">
        <f>IF('Model inputs'!G91="","",'Model inputs'!G91)</f>
        <v>1125</v>
      </c>
      <c r="H257" s="10">
        <f>IF('Model inputs'!H91="","",'Model inputs'!H91)</f>
        <v>1350</v>
      </c>
      <c r="I257" s="10">
        <f>IF('Model inputs'!I91="","",'Model inputs'!I91)</f>
        <v>1575</v>
      </c>
      <c r="J257" s="10">
        <f>IF('Model inputs'!J91="","",'Model inputs'!J91)</f>
        <v>1800</v>
      </c>
      <c r="K257" s="10">
        <f>IF('Model inputs'!K91="","",'Model inputs'!K91)</f>
        <v>2025</v>
      </c>
      <c r="L257" s="10">
        <f>IF('Model inputs'!L91="","",'Model inputs'!L91)</f>
        <v>2250</v>
      </c>
      <c r="M257" s="10">
        <f>IF('Model inputs'!M91="","",'Model inputs'!M91)</f>
        <v>2475</v>
      </c>
      <c r="N257" s="10">
        <f>IF('Model inputs'!N91="","",'Model inputs'!N91)</f>
        <v>2700</v>
      </c>
      <c r="Q257" s="10">
        <f>0</f>
        <v>0</v>
      </c>
      <c r="R257" s="10">
        <f>0</f>
        <v>0</v>
      </c>
      <c r="S257" s="10">
        <f>0</f>
        <v>0</v>
      </c>
      <c r="T257" s="10">
        <f>0</f>
        <v>0</v>
      </c>
      <c r="U257" s="10">
        <f>0</f>
        <v>0</v>
      </c>
      <c r="V257" s="10">
        <f>0</f>
        <v>0</v>
      </c>
      <c r="W257" s="10">
        <f>0</f>
        <v>0</v>
      </c>
      <c r="X257" s="10">
        <f>0</f>
        <v>0</v>
      </c>
    </row>
    <row r="258" outlineLevel="1">
      <c r="A258" t="inlineStr" s="15">
        <is>
          <t xml:space="preserve">Payment fees &gt; Per audit — high</t>
        </is>
      </c>
      <c r="B258" s="10">
        <f>IF('Model inputs'!B92="","",'Model inputs'!B92)</f>
        <v>0</v>
      </c>
      <c r="C258" s="10">
        <f>IF('Model inputs'!C92="","",'Model inputs'!C92)</f>
        <v>450</v>
      </c>
      <c r="D258" s="10">
        <f>IF('Model inputs'!D92="","",'Model inputs'!D92)</f>
        <v>900</v>
      </c>
      <c r="E258" s="10">
        <f>IF('Model inputs'!E92="","",'Model inputs'!E92)</f>
        <v>1350</v>
      </c>
      <c r="F258" s="10">
        <f>IF('Model inputs'!F92="","",'Model inputs'!F92)</f>
        <v>1800</v>
      </c>
      <c r="G258" s="10">
        <f>IF('Model inputs'!G92="","",'Model inputs'!G92)</f>
        <v>2250</v>
      </c>
      <c r="H258" s="10">
        <f>IF('Model inputs'!H92="","",'Model inputs'!H92)</f>
        <v>2700</v>
      </c>
      <c r="I258" s="10">
        <f>IF('Model inputs'!I92="","",'Model inputs'!I92)</f>
        <v>3150</v>
      </c>
      <c r="J258" s="10">
        <f>IF('Model inputs'!J92="","",'Model inputs'!J92)</f>
        <v>3600</v>
      </c>
      <c r="K258" s="10">
        <f>IF('Model inputs'!K92="","",'Model inputs'!K92)</f>
        <v>4050</v>
      </c>
      <c r="L258" s="10">
        <f>IF('Model inputs'!L92="","",'Model inputs'!L92)</f>
        <v>4500</v>
      </c>
      <c r="M258" s="10">
        <f>IF('Model inputs'!M92="","",'Model inputs'!M92)</f>
        <v>4950</v>
      </c>
      <c r="N258" s="10">
        <f>IF('Model inputs'!N92="","",'Model inputs'!N92)</f>
        <v>5400</v>
      </c>
      <c r="Q258" s="10">
        <f>0</f>
        <v>0</v>
      </c>
      <c r="R258" s="10">
        <f>0</f>
        <v>0</v>
      </c>
      <c r="S258" s="10">
        <f>0</f>
        <v>0</v>
      </c>
      <c r="T258" s="10">
        <f>0</f>
        <v>0</v>
      </c>
      <c r="U258" s="10">
        <f>0</f>
        <v>0</v>
      </c>
      <c r="V258" s="10">
        <f>0</f>
        <v>0</v>
      </c>
      <c r="W258" s="10">
        <f>0</f>
        <v>0</v>
      </c>
      <c r="X258" s="10">
        <f>0</f>
        <v>0</v>
      </c>
    </row>
    <row r="259" outlineLevel="1">
      <c r="A259" t="inlineStr" s="15">
        <is>
          <t xml:space="preserve">Payment fees &gt; Per audit — low</t>
        </is>
      </c>
      <c r="B259" s="10">
        <f>IF('Model inputs'!B93="","",'Model inputs'!B93)</f>
        <v>0</v>
      </c>
      <c r="C259" s="10">
        <f>IF('Model inputs'!C93="","",'Model inputs'!C93)</f>
        <v>112.5</v>
      </c>
      <c r="D259" s="10">
        <f>IF('Model inputs'!D93="","",'Model inputs'!D93)</f>
        <v>225</v>
      </c>
      <c r="E259" s="10">
        <f>IF('Model inputs'!E93="","",'Model inputs'!E93)</f>
        <v>337.5</v>
      </c>
      <c r="F259" s="10">
        <f>IF('Model inputs'!F93="","",'Model inputs'!F93)</f>
        <v>450</v>
      </c>
      <c r="G259" s="10">
        <f>IF('Model inputs'!G93="","",'Model inputs'!G93)</f>
        <v>562.5</v>
      </c>
      <c r="H259" s="10">
        <f>IF('Model inputs'!H93="","",'Model inputs'!H93)</f>
        <v>675</v>
      </c>
      <c r="I259" s="10">
        <f>IF('Model inputs'!I93="","",'Model inputs'!I93)</f>
        <v>787.5</v>
      </c>
      <c r="J259" s="10">
        <f>IF('Model inputs'!J93="","",'Model inputs'!J93)</f>
        <v>900</v>
      </c>
      <c r="K259" s="10">
        <f>IF('Model inputs'!K93="","",'Model inputs'!K93)</f>
        <v>1012.5</v>
      </c>
      <c r="L259" s="10">
        <f>IF('Model inputs'!L93="","",'Model inputs'!L93)</f>
        <v>1125</v>
      </c>
      <c r="M259" s="10">
        <f>IF('Model inputs'!M93="","",'Model inputs'!M93)</f>
        <v>1237.5</v>
      </c>
      <c r="N259" s="10">
        <f>IF('Model inputs'!N93="","",'Model inputs'!N93)</f>
        <v>1350</v>
      </c>
      <c r="Q259" s="10">
        <f>0</f>
        <v>0</v>
      </c>
      <c r="R259" s="10">
        <f>0</f>
        <v>0</v>
      </c>
      <c r="S259" s="10">
        <f>0</f>
        <v>0</v>
      </c>
      <c r="T259" s="10">
        <f>0</f>
        <v>0</v>
      </c>
      <c r="U259" s="10">
        <f>0</f>
        <v>0</v>
      </c>
      <c r="V259" s="10">
        <f>0</f>
        <v>0</v>
      </c>
      <c r="W259" s="10">
        <f>0</f>
        <v>0</v>
      </c>
      <c r="X259" s="10">
        <f>0</f>
        <v>0</v>
      </c>
    </row>
    <row r="260">
      <c r="A260" t="inlineStr" s="14">
        <is>
          <t xml:space="preserve">Payment fees</t>
        </is>
      </c>
      <c r="B260" s="12">
        <f>IF('Model inputs'!B88="","",'Model inputs'!B88)</f>
        <v>0</v>
      </c>
      <c r="C260" t="str" s="12">
        <f>IF('Model inputs'!C88="","",'Model inputs'!C88)</f>
        <v/>
      </c>
      <c r="D260" t="str" s="12">
        <f>IF('Model inputs'!D88="","",'Model inputs'!D88)</f>
        <v/>
      </c>
      <c r="E260" t="str" s="12">
        <f>IF('Model inputs'!E88="","",'Model inputs'!E88)</f>
        <v/>
      </c>
      <c r="F260" t="str" s="12">
        <f>IF('Model inputs'!F88="","",'Model inputs'!F88)</f>
        <v/>
      </c>
      <c r="G260" t="str" s="12">
        <f>IF('Model inputs'!G88="","",'Model inputs'!G88)</f>
        <v/>
      </c>
      <c r="H260" t="str" s="12">
        <f>IF('Model inputs'!H88="","",'Model inputs'!H88)</f>
        <v/>
      </c>
      <c r="I260" t="str" s="12">
        <f>IF('Model inputs'!I88="","",'Model inputs'!I88)</f>
        <v/>
      </c>
      <c r="J260" t="str" s="12">
        <f>IF('Model inputs'!J88="","",'Model inputs'!J88)</f>
        <v/>
      </c>
      <c r="K260" t="str" s="12">
        <f>IF('Model inputs'!K88="","",'Model inputs'!K88)</f>
        <v/>
      </c>
      <c r="L260" t="str" s="12">
        <f>IF('Model inputs'!L88="","",'Model inputs'!L88)</f>
        <v/>
      </c>
      <c r="M260" t="str" s="12">
        <f>IF('Model inputs'!M88="","",'Model inputs'!M88)</f>
        <v/>
      </c>
      <c r="N260" t="str" s="12">
        <f>IF('Model inputs'!N88="","",'Model inputs'!N88)</f>
        <v/>
      </c>
      <c r="Q260" s="12">
        <f>IF('Model inputs'!Q254="","",'Model inputs'!Q254)</f>
        <v>0</v>
      </c>
      <c r="R260" s="12">
        <f>IF('Model inputs'!R254="","",'Model inputs'!R254)</f>
        <v>0</v>
      </c>
      <c r="S260" s="12">
        <f>IF('Model inputs'!S254="","",'Model inputs'!S254)</f>
        <v>0</v>
      </c>
      <c r="T260" s="12">
        <f>IF('Model inputs'!T254="","",'Model inputs'!T254)</f>
        <v>0</v>
      </c>
      <c r="U260" s="12">
        <f>IF('Model inputs'!U254="","",'Model inputs'!U254)</f>
        <v>0</v>
      </c>
      <c r="V260" s="12">
        <f>IF('Model inputs'!V254="","",'Model inputs'!V254)</f>
        <v>0</v>
      </c>
      <c r="W260" s="12">
        <f>IF('Model inputs'!W254="","",'Model inputs'!W254)</f>
        <v>0</v>
      </c>
      <c r="X260" s="12">
        <f>IF('Model inputs'!X254="","",'Model inputs'!X254)</f>
        <v>0</v>
      </c>
      <c r="Y260" t="str" s="12">
        <f>""</f>
        <v/>
      </c>
      <c r="Z260" t="str" s="12">
        <f>""</f>
        <v/>
      </c>
      <c r="AA260" t="str" s="12">
        <f>""</f>
        <v/>
      </c>
    </row>
    <row r="261" outlineLevel="1">
      <c r="A261" t="inlineStr" s="15">
        <is>
          <t xml:space="preserve">Payment fees &gt; Annual deal-team</t>
        </is>
      </c>
      <c r="B261" s="10">
        <f>IF('Model inputs'!B89="","",'Model inputs'!B89)</f>
        <v>0</v>
      </c>
      <c r="C261" s="10">
        <f>IF('Model inputs'!C89="","",'Model inputs'!C89)</f>
        <v>975</v>
      </c>
      <c r="D261" s="10">
        <f>IF('Model inputs'!D89="","",'Model inputs'!D89)</f>
        <v>1050</v>
      </c>
      <c r="E261" s="10">
        <f>IF('Model inputs'!E89="","",'Model inputs'!E89)</f>
        <v>1125</v>
      </c>
      <c r="F261" s="10">
        <f>IF('Model inputs'!F89="","",'Model inputs'!F89)</f>
        <v>1200</v>
      </c>
      <c r="G261" s="10">
        <f>IF('Model inputs'!G89="","",'Model inputs'!G89)</f>
        <v>1275</v>
      </c>
      <c r="H261" s="10">
        <f>IF('Model inputs'!H89="","",'Model inputs'!H89)</f>
        <v>1350</v>
      </c>
      <c r="I261" s="10">
        <f>IF('Model inputs'!I89="","",'Model inputs'!I89)</f>
        <v>1425</v>
      </c>
      <c r="J261" s="10">
        <f>IF('Model inputs'!J89="","",'Model inputs'!J89)</f>
        <v>1500</v>
      </c>
      <c r="K261" s="10">
        <f>IF('Model inputs'!K89="","",'Model inputs'!K89)</f>
        <v>1575</v>
      </c>
      <c r="L261" s="10">
        <f>IF('Model inputs'!L89="","",'Model inputs'!L89)</f>
        <v>1650</v>
      </c>
      <c r="M261" s="10">
        <f>IF('Model inputs'!M89="","",'Model inputs'!M89)</f>
        <v>1725</v>
      </c>
      <c r="N261" s="10">
        <f>IF('Model inputs'!N89="","",'Model inputs'!N89)</f>
        <v>1800</v>
      </c>
      <c r="Q261" s="10">
        <f>IF('Model inputs'!Q255="","",'Model inputs'!Q255)</f>
        <v>0</v>
      </c>
      <c r="R261" s="10">
        <f>IF('Model inputs'!R255="","",'Model inputs'!R255)</f>
        <v>0</v>
      </c>
      <c r="S261" s="10">
        <f>IF('Model inputs'!S255="","",'Model inputs'!S255)</f>
        <v>0</v>
      </c>
      <c r="T261" s="10">
        <f>IF('Model inputs'!T255="","",'Model inputs'!T255)</f>
        <v>0</v>
      </c>
      <c r="U261" s="10">
        <f>IF('Model inputs'!U255="","",'Model inputs'!U255)</f>
        <v>0</v>
      </c>
      <c r="V261" s="10">
        <f>IF('Model inputs'!V255="","",'Model inputs'!V255)</f>
        <v>0</v>
      </c>
      <c r="W261" s="10">
        <f>IF('Model inputs'!W255="","",'Model inputs'!W255)</f>
        <v>0</v>
      </c>
      <c r="X261" s="10">
        <f>IF('Model inputs'!X255="","",'Model inputs'!X255)</f>
        <v>0</v>
      </c>
      <c r="Y261" s="10">
        <f>'Model inputs'!Y162*'Model inputs'!O145</f>
        <v>900</v>
      </c>
      <c r="Z261" s="10">
        <f>'Model inputs'!Z162*'Model inputs'!O145</f>
        <v>900</v>
      </c>
      <c r="AA261" s="10">
        <f>'Model inputs'!AA162*'Model inputs'!O145</f>
        <v>900</v>
      </c>
    </row>
    <row r="262" outlineLevel="1">
      <c r="A262" t="inlineStr" s="15">
        <is>
          <t xml:space="preserve">Payment fees &gt; Hybrid</t>
        </is>
      </c>
      <c r="B262" s="10">
        <f>IF('Model inputs'!B90="","",'Model inputs'!B90)</f>
        <v>0</v>
      </c>
      <c r="C262" s="10">
        <f>IF('Model inputs'!C90="","",'Model inputs'!C90)</f>
        <v>375</v>
      </c>
      <c r="D262" s="10">
        <f>IF('Model inputs'!D90="","",'Model inputs'!D90)</f>
        <v>525</v>
      </c>
      <c r="E262" s="10">
        <f>IF('Model inputs'!E90="","",'Model inputs'!E90)</f>
        <v>675</v>
      </c>
      <c r="F262" s="10">
        <f>IF('Model inputs'!F90="","",'Model inputs'!F90)</f>
        <v>825</v>
      </c>
      <c r="G262" s="10">
        <f>IF('Model inputs'!G90="","",'Model inputs'!G90)</f>
        <v>975</v>
      </c>
      <c r="H262" s="10">
        <f>IF('Model inputs'!H90="","",'Model inputs'!H90)</f>
        <v>1125</v>
      </c>
      <c r="I262" s="10">
        <f>IF('Model inputs'!I90="","",'Model inputs'!I90)</f>
        <v>1275</v>
      </c>
      <c r="J262" s="10">
        <f>IF('Model inputs'!J90="","",'Model inputs'!J90)</f>
        <v>1425</v>
      </c>
      <c r="K262" s="10">
        <f>IF('Model inputs'!K90="","",'Model inputs'!K90)</f>
        <v>1575</v>
      </c>
      <c r="L262" s="10">
        <f>IF('Model inputs'!L90="","",'Model inputs'!L90)</f>
        <v>1725</v>
      </c>
      <c r="M262" s="10">
        <f>IF('Model inputs'!M90="","",'Model inputs'!M90)</f>
        <v>1875</v>
      </c>
      <c r="N262" s="10">
        <f>IF('Model inputs'!N90="","",'Model inputs'!N90)</f>
        <v>2025</v>
      </c>
      <c r="Q262" s="10">
        <f>IF('Model inputs'!Q256="","",'Model inputs'!Q256)</f>
        <v>0</v>
      </c>
      <c r="R262" s="10">
        <f>IF('Model inputs'!R256="","",'Model inputs'!R256)</f>
        <v>0</v>
      </c>
      <c r="S262" s="10">
        <f>IF('Model inputs'!S256="","",'Model inputs'!S256)</f>
        <v>0</v>
      </c>
      <c r="T262" s="10">
        <f>IF('Model inputs'!T256="","",'Model inputs'!T256)</f>
        <v>0</v>
      </c>
      <c r="U262" s="10">
        <f>IF('Model inputs'!U256="","",'Model inputs'!U256)</f>
        <v>0</v>
      </c>
      <c r="V262" s="10">
        <f>IF('Model inputs'!V256="","",'Model inputs'!V256)</f>
        <v>0</v>
      </c>
      <c r="W262" s="10">
        <f>IF('Model inputs'!W256="","",'Model inputs'!W256)</f>
        <v>0</v>
      </c>
      <c r="X262" s="10">
        <f>IF('Model inputs'!X256="","",'Model inputs'!X256)</f>
        <v>0</v>
      </c>
      <c r="Y262" s="10">
        <f>'Model inputs'!Y163*'Model inputs'!O145</f>
        <v>1800</v>
      </c>
      <c r="Z262" s="10">
        <f>'Model inputs'!Z163*'Model inputs'!O145</f>
        <v>1800</v>
      </c>
      <c r="AA262" s="10">
        <f>'Model inputs'!AA163*'Model inputs'!O145</f>
        <v>1800</v>
      </c>
    </row>
    <row r="263" outlineLevel="1">
      <c r="A263" t="inlineStr" s="15">
        <is>
          <t xml:space="preserve">Payment fees &gt; Per audit — base</t>
        </is>
      </c>
      <c r="B263" s="10">
        <f>IF('Model inputs'!B91="","",'Model inputs'!B91)</f>
        <v>0</v>
      </c>
      <c r="C263" s="10">
        <f>IF('Model inputs'!C91="","",'Model inputs'!C91)</f>
        <v>225</v>
      </c>
      <c r="D263" s="10">
        <f>IF('Model inputs'!D91="","",'Model inputs'!D91)</f>
        <v>450</v>
      </c>
      <c r="E263" s="10">
        <f>IF('Model inputs'!E91="","",'Model inputs'!E91)</f>
        <v>675</v>
      </c>
      <c r="F263" s="10">
        <f>IF('Model inputs'!F91="","",'Model inputs'!F91)</f>
        <v>900</v>
      </c>
      <c r="G263" s="10">
        <f>IF('Model inputs'!G91="","",'Model inputs'!G91)</f>
        <v>1125</v>
      </c>
      <c r="H263" s="10">
        <f>IF('Model inputs'!H91="","",'Model inputs'!H91)</f>
        <v>1350</v>
      </c>
      <c r="I263" s="10">
        <f>IF('Model inputs'!I91="","",'Model inputs'!I91)</f>
        <v>1575</v>
      </c>
      <c r="J263" s="10">
        <f>IF('Model inputs'!J91="","",'Model inputs'!J91)</f>
        <v>1800</v>
      </c>
      <c r="K263" s="10">
        <f>IF('Model inputs'!K91="","",'Model inputs'!K91)</f>
        <v>2025</v>
      </c>
      <c r="L263" s="10">
        <f>IF('Model inputs'!L91="","",'Model inputs'!L91)</f>
        <v>2250</v>
      </c>
      <c r="M263" s="10">
        <f>IF('Model inputs'!M91="","",'Model inputs'!M91)</f>
        <v>2475</v>
      </c>
      <c r="N263" s="10">
        <f>IF('Model inputs'!N91="","",'Model inputs'!N91)</f>
        <v>2700</v>
      </c>
      <c r="Q263" s="10">
        <f>IF('Model inputs'!Q257="","",'Model inputs'!Q257)</f>
        <v>0</v>
      </c>
      <c r="R263" s="10">
        <f>IF('Model inputs'!R257="","",'Model inputs'!R257)</f>
        <v>0</v>
      </c>
      <c r="S263" s="10">
        <f>IF('Model inputs'!S257="","",'Model inputs'!S257)</f>
        <v>0</v>
      </c>
      <c r="T263" s="10">
        <f>IF('Model inputs'!T257="","",'Model inputs'!T257)</f>
        <v>0</v>
      </c>
      <c r="U263" s="10">
        <f>IF('Model inputs'!U257="","",'Model inputs'!U257)</f>
        <v>0</v>
      </c>
      <c r="V263" s="10">
        <f>IF('Model inputs'!V257="","",'Model inputs'!V257)</f>
        <v>0</v>
      </c>
      <c r="W263" s="10">
        <f>IF('Model inputs'!W257="","",'Model inputs'!W257)</f>
        <v>0</v>
      </c>
      <c r="X263" s="10">
        <f>IF('Model inputs'!X257="","",'Model inputs'!X257)</f>
        <v>0</v>
      </c>
      <c r="Y263" s="10">
        <f>'Model inputs'!Y164*'Model inputs'!O145</f>
        <v>2700</v>
      </c>
      <c r="Z263" s="10">
        <f>'Model inputs'!Z164*'Model inputs'!O145</f>
        <v>2700</v>
      </c>
      <c r="AA263" s="10">
        <f>'Model inputs'!AA164*'Model inputs'!O145</f>
        <v>2700</v>
      </c>
    </row>
    <row r="264" outlineLevel="1">
      <c r="A264" t="inlineStr" s="15">
        <is>
          <t xml:space="preserve">Payment fees &gt; Per audit — high</t>
        </is>
      </c>
      <c r="B264" s="10">
        <f>IF('Model inputs'!B92="","",'Model inputs'!B92)</f>
        <v>0</v>
      </c>
      <c r="C264" s="10">
        <f>IF('Model inputs'!C92="","",'Model inputs'!C92)</f>
        <v>450</v>
      </c>
      <c r="D264" s="10">
        <f>IF('Model inputs'!D92="","",'Model inputs'!D92)</f>
        <v>900</v>
      </c>
      <c r="E264" s="10">
        <f>IF('Model inputs'!E92="","",'Model inputs'!E92)</f>
        <v>1350</v>
      </c>
      <c r="F264" s="10">
        <f>IF('Model inputs'!F92="","",'Model inputs'!F92)</f>
        <v>1800</v>
      </c>
      <c r="G264" s="10">
        <f>IF('Model inputs'!G92="","",'Model inputs'!G92)</f>
        <v>2250</v>
      </c>
      <c r="H264" s="10">
        <f>IF('Model inputs'!H92="","",'Model inputs'!H92)</f>
        <v>2700</v>
      </c>
      <c r="I264" s="10">
        <f>IF('Model inputs'!I92="","",'Model inputs'!I92)</f>
        <v>3150</v>
      </c>
      <c r="J264" s="10">
        <f>IF('Model inputs'!J92="","",'Model inputs'!J92)</f>
        <v>3600</v>
      </c>
      <c r="K264" s="10">
        <f>IF('Model inputs'!K92="","",'Model inputs'!K92)</f>
        <v>4050</v>
      </c>
      <c r="L264" s="10">
        <f>IF('Model inputs'!L92="","",'Model inputs'!L92)</f>
        <v>4500</v>
      </c>
      <c r="M264" s="10">
        <f>IF('Model inputs'!M92="","",'Model inputs'!M92)</f>
        <v>4950</v>
      </c>
      <c r="N264" s="10">
        <f>IF('Model inputs'!N92="","",'Model inputs'!N92)</f>
        <v>5400</v>
      </c>
      <c r="Q264" s="10">
        <f>IF('Model inputs'!Q258="","",'Model inputs'!Q258)</f>
        <v>0</v>
      </c>
      <c r="R264" s="10">
        <f>IF('Model inputs'!R258="","",'Model inputs'!R258)</f>
        <v>0</v>
      </c>
      <c r="S264" s="10">
        <f>IF('Model inputs'!S258="","",'Model inputs'!S258)</f>
        <v>0</v>
      </c>
      <c r="T264" s="10">
        <f>IF('Model inputs'!T258="","",'Model inputs'!T258)</f>
        <v>0</v>
      </c>
      <c r="U264" s="10">
        <f>IF('Model inputs'!U258="","",'Model inputs'!U258)</f>
        <v>0</v>
      </c>
      <c r="V264" s="10">
        <f>IF('Model inputs'!V258="","",'Model inputs'!V258)</f>
        <v>0</v>
      </c>
      <c r="W264" s="10">
        <f>IF('Model inputs'!W258="","",'Model inputs'!W258)</f>
        <v>0</v>
      </c>
      <c r="X264" s="10">
        <f>IF('Model inputs'!X258="","",'Model inputs'!X258)</f>
        <v>0</v>
      </c>
      <c r="Y264" s="10">
        <f>'Model inputs'!Y165*'Model inputs'!O145</f>
        <v>5400</v>
      </c>
      <c r="Z264" s="10">
        <f>'Model inputs'!Z165*'Model inputs'!O145</f>
        <v>5400</v>
      </c>
      <c r="AA264" s="10">
        <f>'Model inputs'!AA165*'Model inputs'!O145</f>
        <v>5400</v>
      </c>
    </row>
    <row r="265" outlineLevel="1">
      <c r="A265" t="inlineStr" s="15">
        <is>
          <t xml:space="preserve">Payment fees &gt; Per audit — low</t>
        </is>
      </c>
      <c r="B265" s="10">
        <f>IF('Model inputs'!B93="","",'Model inputs'!B93)</f>
        <v>0</v>
      </c>
      <c r="C265" s="10">
        <f>IF('Model inputs'!C93="","",'Model inputs'!C93)</f>
        <v>112.5</v>
      </c>
      <c r="D265" s="10">
        <f>IF('Model inputs'!D93="","",'Model inputs'!D93)</f>
        <v>225</v>
      </c>
      <c r="E265" s="10">
        <f>IF('Model inputs'!E93="","",'Model inputs'!E93)</f>
        <v>337.5</v>
      </c>
      <c r="F265" s="10">
        <f>IF('Model inputs'!F93="","",'Model inputs'!F93)</f>
        <v>450</v>
      </c>
      <c r="G265" s="10">
        <f>IF('Model inputs'!G93="","",'Model inputs'!G93)</f>
        <v>562.5</v>
      </c>
      <c r="H265" s="10">
        <f>IF('Model inputs'!H93="","",'Model inputs'!H93)</f>
        <v>675</v>
      </c>
      <c r="I265" s="10">
        <f>IF('Model inputs'!I93="","",'Model inputs'!I93)</f>
        <v>787.5</v>
      </c>
      <c r="J265" s="10">
        <f>IF('Model inputs'!J93="","",'Model inputs'!J93)</f>
        <v>900</v>
      </c>
      <c r="K265" s="10">
        <f>IF('Model inputs'!K93="","",'Model inputs'!K93)</f>
        <v>1012.5</v>
      </c>
      <c r="L265" s="10">
        <f>IF('Model inputs'!L93="","",'Model inputs'!L93)</f>
        <v>1125</v>
      </c>
      <c r="M265" s="10">
        <f>IF('Model inputs'!M93="","",'Model inputs'!M93)</f>
        <v>1237.5</v>
      </c>
      <c r="N265" s="10">
        <f>IF('Model inputs'!N93="","",'Model inputs'!N93)</f>
        <v>1350</v>
      </c>
      <c r="Q265" s="10">
        <f>IF('Model inputs'!Q259="","",'Model inputs'!Q259)</f>
        <v>0</v>
      </c>
      <c r="R265" s="10">
        <f>IF('Model inputs'!R259="","",'Model inputs'!R259)</f>
        <v>0</v>
      </c>
      <c r="S265" s="10">
        <f>IF('Model inputs'!S259="","",'Model inputs'!S259)</f>
        <v>0</v>
      </c>
      <c r="T265" s="10">
        <f>IF('Model inputs'!T259="","",'Model inputs'!T259)</f>
        <v>0</v>
      </c>
      <c r="U265" s="10">
        <f>IF('Model inputs'!U259="","",'Model inputs'!U259)</f>
        <v>0</v>
      </c>
      <c r="V265" s="10">
        <f>IF('Model inputs'!V259="","",'Model inputs'!V259)</f>
        <v>0</v>
      </c>
      <c r="W265" s="10">
        <f>IF('Model inputs'!W259="","",'Model inputs'!W259)</f>
        <v>0</v>
      </c>
      <c r="X265" s="10">
        <f>IF('Model inputs'!X259="","",'Model inputs'!X259)</f>
        <v>0</v>
      </c>
      <c r="Y265" s="10">
        <f>'Model inputs'!Y166*'Model inputs'!O145</f>
        <v>1350</v>
      </c>
      <c r="Z265" s="10">
        <f>'Model inputs'!Z166*'Model inputs'!O145</f>
        <v>1350</v>
      </c>
      <c r="AA265" s="10">
        <f>'Model inputs'!AA166*'Model inputs'!O145</f>
        <v>1350</v>
      </c>
    </row>
    <row r="266">
      <c r="A266" t="inlineStr" s="14">
        <is>
          <t xml:space="preserve">Annual included audits · Average monthly net cash burn · DealScope conditional cash and runway</t>
        </is>
      </c>
      <c r="O266" s="9">
        <f>24</f>
        <v>24</v>
      </c>
    </row>
    <row r="267">
      <c r="A267" t="inlineStr" s="14">
        <is>
          <t xml:space="preserve">Annual overage price · Average monthly net cash burn · DealScope conditional cash and runway</t>
        </is>
      </c>
      <c r="O267" s="10">
        <f>1000</f>
        <v>1000</v>
      </c>
    </row>
    <row r="268">
      <c r="A268" t="inlineStr" s="14">
        <is>
          <t xml:space="preserve">Hybrid audit price · Average monthly net cash burn · DealScope conditional cash and runway</t>
        </is>
      </c>
      <c r="O268" s="10">
        <f>1000</f>
        <v>1000</v>
      </c>
    </row>
    <row r="270">
      <c r="A270" t="inlineStr" s="13">
        <is>
          <t xml:space="preserve">Dimensions</t>
        </is>
      </c>
    </row>
    <row r="271">
      <c r="A271" t="inlineStr" s="14">
        <is>
          <t xml:space="preserve">Pricing model</t>
        </is>
      </c>
      <c r="B271" t="inlineStr" s="18">
        <is>
          <t xml:space="preserve">Annual deal-team</t>
        </is>
      </c>
      <c r="C271" t="inlineStr" s="18">
        <is>
          <t xml:space="preserve">Hybrid</t>
        </is>
      </c>
      <c r="D271" t="inlineStr" s="18">
        <is>
          <t xml:space="preserve">Per audit — base</t>
        </is>
      </c>
      <c r="E271" t="inlineStr" s="18">
        <is>
          <t xml:space="preserve">Per audit — high</t>
        </is>
      </c>
      <c r="F271" t="inlineStr" s="18">
        <is>
          <t xml:space="preserve">Per audit — low</t>
        </is>
      </c>
    </row>
    <row r="273">
      <c r="A273" t="inlineStr" s="13">
        <is>
          <t xml:space="preserve">Supporting calculations</t>
        </is>
      </c>
    </row>
    <row r="274">
      <c r="A274" t="inlineStr" s="14">
        <is>
          <t xml:space="preserve">Calculation</t>
        </is>
      </c>
      <c r="B274">
        <f>IF(IF(EXACT("Annual deal-team",'Model inputs'!O111)="",FALSE,EXACT("Annual deal-team",'Model inputs'!O111)),IF('Model inputs'!C13="","",'Model inputs'!C13),"")</f>
      </c>
    </row>
    <row r="275">
      <c r="A275" t="inlineStr" s="14">
        <is>
          <t xml:space="preserve">Calculation</t>
        </is>
      </c>
      <c r="B275">
        <f>IF(IF(EXACT("Hybrid",'Model inputs'!O111)="",FALSE,EXACT("Hybrid",'Model inputs'!O111)),IF('Model inputs'!C14="","",'Model inputs'!C14),"")</f>
      </c>
    </row>
    <row r="276">
      <c r="A276" t="inlineStr" s="14">
        <is>
          <t xml:space="preserve">Calculation</t>
        </is>
      </c>
      <c r="B276">
        <f>IF(IF(EXACT("Per audit — base",'Model inputs'!O111)="",FALSE,EXACT("Per audit — base",'Model inputs'!O111)),IF('Model inputs'!C15="","",'Model inputs'!C15),"")</f>
      </c>
    </row>
    <row r="277">
      <c r="A277" t="inlineStr" s="14">
        <is>
          <t xml:space="preserve">Calculation</t>
        </is>
      </c>
      <c r="B277">
        <f>IF(IF(EXACT("Per audit — high",'Model inputs'!O111)="",FALSE,EXACT("Per audit — high",'Model inputs'!O111)),IF('Model inputs'!C16="","",'Model inputs'!C16),"")</f>
      </c>
    </row>
    <row r="278">
      <c r="A278" t="inlineStr" s="14">
        <is>
          <t xml:space="preserve">Calculation</t>
        </is>
      </c>
      <c r="B278">
        <f>IF(IF(EXACT("Per audit — low",'Model inputs'!O111)="",FALSE,EXACT("Per audit — low",'Model inputs'!O111)),IF('Model inputs'!C17="","",'Model inputs'!C17),"")</f>
      </c>
    </row>
    <row r="279">
      <c r="A279" t="inlineStr" s="14">
        <is>
          <t xml:space="preserve">Calculation</t>
        </is>
      </c>
      <c r="B279">
        <f>IF(IF(EXACT("Annual deal-team",'Model inputs'!O111)="",FALSE,EXACT("Annual deal-team",'Model inputs'!O111)),IF('Model inputs'!D13="","",'Model inputs'!D13),"")</f>
      </c>
    </row>
    <row r="280">
      <c r="A280" t="inlineStr" s="14">
        <is>
          <t xml:space="preserve">Calculation</t>
        </is>
      </c>
      <c r="B280">
        <f>IF(IF(EXACT("Hybrid",'Model inputs'!O111)="",FALSE,EXACT("Hybrid",'Model inputs'!O111)),IF('Model inputs'!D14="","",'Model inputs'!D14),"")</f>
      </c>
    </row>
    <row r="281">
      <c r="A281" t="inlineStr" s="14">
        <is>
          <t xml:space="preserve">Calculation</t>
        </is>
      </c>
      <c r="B281">
        <f>IF(IF(EXACT("Per audit — base",'Model inputs'!O111)="",FALSE,EXACT("Per audit — base",'Model inputs'!O111)),IF('Model inputs'!D15="","",'Model inputs'!D15),"")</f>
      </c>
    </row>
    <row r="282">
      <c r="A282" t="inlineStr" s="14">
        <is>
          <t xml:space="preserve">Calculation</t>
        </is>
      </c>
      <c r="B282">
        <f>IF(IF(EXACT("Per audit — high",'Model inputs'!O111)="",FALSE,EXACT("Per audit — high",'Model inputs'!O111)),IF('Model inputs'!D16="","",'Model inputs'!D16),"")</f>
      </c>
    </row>
    <row r="283">
      <c r="A283" t="inlineStr" s="14">
        <is>
          <t xml:space="preserve">Calculation</t>
        </is>
      </c>
      <c r="B283">
        <f>IF(IF(EXACT("Per audit — low",'Model inputs'!O111)="",FALSE,EXACT("Per audit — low",'Model inputs'!O111)),IF('Model inputs'!D17="","",'Model inputs'!D17),"")</f>
      </c>
    </row>
    <row r="284">
      <c r="A284" t="inlineStr" s="14">
        <is>
          <t xml:space="preserve">Calculation</t>
        </is>
      </c>
      <c r="B284">
        <f>IF(IF(EXACT("Annual deal-team",'Model inputs'!O111)="",FALSE,EXACT("Annual deal-team",'Model inputs'!O111)),IF('Model inputs'!E13="","",'Model inputs'!E13),"")</f>
      </c>
    </row>
    <row r="285">
      <c r="A285" t="inlineStr" s="14">
        <is>
          <t xml:space="preserve">Calculation</t>
        </is>
      </c>
      <c r="B285">
        <f>IF(IF(EXACT("Hybrid",'Model inputs'!O111)="",FALSE,EXACT("Hybrid",'Model inputs'!O111)),IF('Model inputs'!E14="","",'Model inputs'!E14),"")</f>
      </c>
    </row>
    <row r="286">
      <c r="A286" t="inlineStr" s="14">
        <is>
          <t xml:space="preserve">Calculation</t>
        </is>
      </c>
      <c r="B286">
        <f>IF(IF(EXACT("Per audit — base",'Model inputs'!O111)="",FALSE,EXACT("Per audit — base",'Model inputs'!O111)),IF('Model inputs'!E15="","",'Model inputs'!E15),"")</f>
      </c>
    </row>
    <row r="287">
      <c r="A287" t="inlineStr" s="14">
        <is>
          <t xml:space="preserve">Calculation</t>
        </is>
      </c>
      <c r="B287">
        <f>IF(IF(EXACT("Per audit — high",'Model inputs'!O111)="",FALSE,EXACT("Per audit — high",'Model inputs'!O111)),IF('Model inputs'!E16="","",'Model inputs'!E16),"")</f>
      </c>
    </row>
    <row r="288">
      <c r="A288" t="inlineStr" s="14">
        <is>
          <t xml:space="preserve">Calculation</t>
        </is>
      </c>
      <c r="B288">
        <f>IF(IF(EXACT("Per audit — low",'Model inputs'!O111)="",FALSE,EXACT("Per audit — low",'Model inputs'!O111)),IF('Model inputs'!E17="","",'Model inputs'!E17),"")</f>
      </c>
    </row>
    <row r="289">
      <c r="A289" t="inlineStr" s="14">
        <is>
          <t xml:space="preserve">Calculation</t>
        </is>
      </c>
      <c r="B289">
        <f>IF(IF(EXACT("Annual deal-team",'Model inputs'!O111)="",FALSE,EXACT("Annual deal-team",'Model inputs'!O111)),IF('Model inputs'!F13="","",'Model inputs'!F13),"")</f>
      </c>
    </row>
    <row r="290">
      <c r="A290" t="inlineStr" s="14">
        <is>
          <t xml:space="preserve">Calculation</t>
        </is>
      </c>
      <c r="B290">
        <f>IF(IF(EXACT("Hybrid",'Model inputs'!O111)="",FALSE,EXACT("Hybrid",'Model inputs'!O111)),IF('Model inputs'!F14="","",'Model inputs'!F14),"")</f>
      </c>
    </row>
    <row r="291">
      <c r="A291" t="inlineStr" s="14">
        <is>
          <t xml:space="preserve">Calculation</t>
        </is>
      </c>
      <c r="B291">
        <f>IF(IF(EXACT("Per audit — base",'Model inputs'!O111)="",FALSE,EXACT("Per audit — base",'Model inputs'!O111)),IF('Model inputs'!F15="","",'Model inputs'!F15),"")</f>
      </c>
    </row>
    <row r="292">
      <c r="A292" t="inlineStr" s="14">
        <is>
          <t xml:space="preserve">Calculation</t>
        </is>
      </c>
      <c r="B292">
        <f>IF(IF(EXACT("Per audit — high",'Model inputs'!O111)="",FALSE,EXACT("Per audit — high",'Model inputs'!O111)),IF('Model inputs'!F16="","",'Model inputs'!F16),"")</f>
      </c>
    </row>
    <row r="293">
      <c r="A293" t="inlineStr" s="14">
        <is>
          <t xml:space="preserve">Calculation</t>
        </is>
      </c>
      <c r="B293">
        <f>IF(IF(EXACT("Per audit — low",'Model inputs'!O111)="",FALSE,EXACT("Per audit — low",'Model inputs'!O111)),IF('Model inputs'!F17="","",'Model inputs'!F17),"")</f>
      </c>
    </row>
    <row r="294">
      <c r="A294" t="inlineStr" s="14">
        <is>
          <t xml:space="preserve">Calculation</t>
        </is>
      </c>
      <c r="B294">
        <f>IF(IF(EXACT("Annual deal-team",'Model inputs'!O111)="",FALSE,EXACT("Annual deal-team",'Model inputs'!O111)),IF('Model inputs'!G13="","",'Model inputs'!G13),"")</f>
      </c>
    </row>
    <row r="295">
      <c r="A295" t="inlineStr" s="14">
        <is>
          <t xml:space="preserve">Calculation</t>
        </is>
      </c>
      <c r="B295">
        <f>IF(IF(EXACT("Hybrid",'Model inputs'!O111)="",FALSE,EXACT("Hybrid",'Model inputs'!O111)),IF('Model inputs'!G14="","",'Model inputs'!G14),"")</f>
      </c>
    </row>
    <row r="296">
      <c r="A296" t="inlineStr" s="14">
        <is>
          <t xml:space="preserve">Calculation</t>
        </is>
      </c>
      <c r="B296">
        <f>IF(IF(EXACT("Per audit — base",'Model inputs'!O111)="",FALSE,EXACT("Per audit — base",'Model inputs'!O111)),IF('Model inputs'!G15="","",'Model inputs'!G15),"")</f>
      </c>
    </row>
    <row r="297">
      <c r="A297" t="inlineStr" s="14">
        <is>
          <t xml:space="preserve">Calculation</t>
        </is>
      </c>
      <c r="B297">
        <f>IF(IF(EXACT("Per audit — high",'Model inputs'!O111)="",FALSE,EXACT("Per audit — high",'Model inputs'!O111)),IF('Model inputs'!G16="","",'Model inputs'!G16),"")</f>
      </c>
    </row>
    <row r="298">
      <c r="A298" t="inlineStr" s="14">
        <is>
          <t xml:space="preserve">Calculation</t>
        </is>
      </c>
      <c r="B298">
        <f>IF(IF(EXACT("Per audit — low",'Model inputs'!O111)="",FALSE,EXACT("Per audit — low",'Model inputs'!O111)),IF('Model inputs'!G17="","",'Model inputs'!G17),"")</f>
      </c>
    </row>
    <row r="299">
      <c r="A299" t="inlineStr" s="14">
        <is>
          <t xml:space="preserve">Calculation</t>
        </is>
      </c>
      <c r="B299">
        <f>IF(IF(EXACT("Annual deal-team",'Model inputs'!O111)="",FALSE,EXACT("Annual deal-team",'Model inputs'!O111)),IF('Model inputs'!H13="","",'Model inputs'!H13),"")</f>
      </c>
    </row>
    <row r="300">
      <c r="A300" t="inlineStr" s="14">
        <is>
          <t xml:space="preserve">Calculation</t>
        </is>
      </c>
      <c r="B300">
        <f>IF(IF(EXACT("Hybrid",'Model inputs'!O111)="",FALSE,EXACT("Hybrid",'Model inputs'!O111)),IF('Model inputs'!H14="","",'Model inputs'!H14),"")</f>
      </c>
    </row>
    <row r="301">
      <c r="A301" t="inlineStr" s="14">
        <is>
          <t xml:space="preserve">Calculation</t>
        </is>
      </c>
      <c r="B301">
        <f>IF(IF(EXACT("Per audit — base",'Model inputs'!O111)="",FALSE,EXACT("Per audit — base",'Model inputs'!O111)),IF('Model inputs'!H15="","",'Model inputs'!H15),"")</f>
      </c>
    </row>
    <row r="302">
      <c r="A302" t="inlineStr" s="14">
        <is>
          <t xml:space="preserve">Calculation</t>
        </is>
      </c>
      <c r="B302">
        <f>IF(IF(EXACT("Per audit — high",'Model inputs'!O111)="",FALSE,EXACT("Per audit — high",'Model inputs'!O111)),IF('Model inputs'!H16="","",'Model inputs'!H16),"")</f>
      </c>
    </row>
    <row r="303">
      <c r="A303" t="inlineStr" s="14">
        <is>
          <t xml:space="preserve">Calculation</t>
        </is>
      </c>
      <c r="B303">
        <f>IF(IF(EXACT("Per audit — low",'Model inputs'!O111)="",FALSE,EXACT("Per audit — low",'Model inputs'!O111)),IF('Model inputs'!H17="","",'Model inputs'!H17),"")</f>
      </c>
    </row>
    <row r="304">
      <c r="A304" t="inlineStr" s="14">
        <is>
          <t xml:space="preserve">Calculation</t>
        </is>
      </c>
      <c r="B304">
        <f>IF(IF(EXACT("Annual deal-team",'Model inputs'!O111)="",FALSE,EXACT("Annual deal-team",'Model inputs'!O111)),IF('Model inputs'!I13="","",'Model inputs'!I13),"")</f>
      </c>
    </row>
    <row r="305">
      <c r="A305" t="inlineStr" s="14">
        <is>
          <t xml:space="preserve">Calculation</t>
        </is>
      </c>
      <c r="B305">
        <f>IF(IF(EXACT("Hybrid",'Model inputs'!O111)="",FALSE,EXACT("Hybrid",'Model inputs'!O111)),IF('Model inputs'!I14="","",'Model inputs'!I14),"")</f>
      </c>
    </row>
    <row r="306">
      <c r="A306" t="inlineStr" s="14">
        <is>
          <t xml:space="preserve">Calculation</t>
        </is>
      </c>
      <c r="B306">
        <f>IF(IF(EXACT("Per audit — base",'Model inputs'!O111)="",FALSE,EXACT("Per audit — base",'Model inputs'!O111)),IF('Model inputs'!I15="","",'Model inputs'!I15),"")</f>
      </c>
    </row>
    <row r="307">
      <c r="A307" t="inlineStr" s="14">
        <is>
          <t xml:space="preserve">Calculation</t>
        </is>
      </c>
      <c r="B307">
        <f>IF(IF(EXACT("Per audit — high",'Model inputs'!O111)="",FALSE,EXACT("Per audit — high",'Model inputs'!O111)),IF('Model inputs'!I16="","",'Model inputs'!I16),"")</f>
      </c>
    </row>
    <row r="308">
      <c r="A308" t="inlineStr" s="14">
        <is>
          <t xml:space="preserve">Calculation</t>
        </is>
      </c>
      <c r="B308">
        <f>IF(IF(EXACT("Per audit — low",'Model inputs'!O111)="",FALSE,EXACT("Per audit — low",'Model inputs'!O111)),IF('Model inputs'!I17="","",'Model inputs'!I17),"")</f>
      </c>
    </row>
    <row r="309">
      <c r="A309" t="inlineStr" s="14">
        <is>
          <t xml:space="preserve">Calculation</t>
        </is>
      </c>
      <c r="B309">
        <f>IF(IF(EXACT("Annual deal-team",'Model inputs'!O111)="",FALSE,EXACT("Annual deal-team",'Model inputs'!O111)),IF('Model inputs'!J13="","",'Model inputs'!J13),"")</f>
      </c>
    </row>
    <row r="310">
      <c r="A310" t="inlineStr" s="14">
        <is>
          <t xml:space="preserve">Calculation</t>
        </is>
      </c>
      <c r="B310">
        <f>IF(IF(EXACT("Hybrid",'Model inputs'!O111)="",FALSE,EXACT("Hybrid",'Model inputs'!O111)),IF('Model inputs'!J14="","",'Model inputs'!J14),"")</f>
      </c>
    </row>
    <row r="311">
      <c r="A311" t="inlineStr" s="14">
        <is>
          <t xml:space="preserve">Calculation</t>
        </is>
      </c>
      <c r="B311">
        <f>IF(IF(EXACT("Per audit — base",'Model inputs'!O111)="",FALSE,EXACT("Per audit — base",'Model inputs'!O111)),IF('Model inputs'!J15="","",'Model inputs'!J15),"")</f>
      </c>
    </row>
    <row r="312">
      <c r="A312" t="inlineStr" s="14">
        <is>
          <t xml:space="preserve">Calculation</t>
        </is>
      </c>
      <c r="B312">
        <f>IF(IF(EXACT("Per audit — high",'Model inputs'!O111)="",FALSE,EXACT("Per audit — high",'Model inputs'!O111)),IF('Model inputs'!J16="","",'Model inputs'!J16),"")</f>
      </c>
    </row>
    <row r="313">
      <c r="A313" t="inlineStr" s="14">
        <is>
          <t xml:space="preserve">Calculation</t>
        </is>
      </c>
      <c r="B313">
        <f>IF(IF(EXACT("Per audit — low",'Model inputs'!O111)="",FALSE,EXACT("Per audit — low",'Model inputs'!O111)),IF('Model inputs'!J17="","",'Model inputs'!J17),"")</f>
      </c>
    </row>
    <row r="314">
      <c r="A314" t="inlineStr" s="14">
        <is>
          <t xml:space="preserve">Calculation</t>
        </is>
      </c>
      <c r="B314">
        <f>IF(IF(EXACT("Annual deal-team",'Model inputs'!O111)="",FALSE,EXACT("Annual deal-team",'Model inputs'!O111)),IF('Model inputs'!K13="","",'Model inputs'!K13),"")</f>
      </c>
    </row>
    <row r="315">
      <c r="A315" t="inlineStr" s="14">
        <is>
          <t xml:space="preserve">Calculation</t>
        </is>
      </c>
      <c r="B315">
        <f>IF(IF(EXACT("Hybrid",'Model inputs'!O111)="",FALSE,EXACT("Hybrid",'Model inputs'!O111)),IF('Model inputs'!K14="","",'Model inputs'!K14),"")</f>
      </c>
    </row>
    <row r="316">
      <c r="A316" t="inlineStr" s="14">
        <is>
          <t xml:space="preserve">Calculation</t>
        </is>
      </c>
      <c r="B316">
        <f>IF(IF(EXACT("Per audit — base",'Model inputs'!O111)="",FALSE,EXACT("Per audit — base",'Model inputs'!O111)),IF('Model inputs'!K15="","",'Model inputs'!K15),"")</f>
      </c>
    </row>
    <row r="317">
      <c r="A317" t="inlineStr" s="14">
        <is>
          <t xml:space="preserve">Calculation</t>
        </is>
      </c>
      <c r="B317">
        <f>IF(IF(EXACT("Per audit — high",'Model inputs'!O111)="",FALSE,EXACT("Per audit — high",'Model inputs'!O111)),IF('Model inputs'!K16="","",'Model inputs'!K16),"")</f>
      </c>
    </row>
    <row r="318">
      <c r="A318" t="inlineStr" s="14">
        <is>
          <t xml:space="preserve">Calculation</t>
        </is>
      </c>
      <c r="B318">
        <f>IF(IF(EXACT("Per audit — low",'Model inputs'!O111)="",FALSE,EXACT("Per audit — low",'Model inputs'!O111)),IF('Model inputs'!K17="","",'Model inputs'!K17),"")</f>
      </c>
    </row>
    <row r="319">
      <c r="A319" t="inlineStr" s="14">
        <is>
          <t xml:space="preserve">Calculation</t>
        </is>
      </c>
      <c r="B319">
        <f>IF(IF(EXACT("Annual deal-team",'Model inputs'!O111)="",FALSE,EXACT("Annual deal-team",'Model inputs'!O111)),IF('Model inputs'!L13="","",'Model inputs'!L13),"")</f>
      </c>
    </row>
    <row r="320">
      <c r="A320" t="inlineStr" s="14">
        <is>
          <t xml:space="preserve">Calculation</t>
        </is>
      </c>
      <c r="B320">
        <f>IF(IF(EXACT("Hybrid",'Model inputs'!O111)="",FALSE,EXACT("Hybrid",'Model inputs'!O111)),IF('Model inputs'!L14="","",'Model inputs'!L14),"")</f>
      </c>
    </row>
    <row r="321">
      <c r="A321" t="inlineStr" s="14">
        <is>
          <t xml:space="preserve">Calculation</t>
        </is>
      </c>
      <c r="B321">
        <f>IF(IF(EXACT("Per audit — base",'Model inputs'!O111)="",FALSE,EXACT("Per audit — base",'Model inputs'!O111)),IF('Model inputs'!L15="","",'Model inputs'!L15),"")</f>
      </c>
    </row>
    <row r="322">
      <c r="A322" t="inlineStr" s="14">
        <is>
          <t xml:space="preserve">Calculation</t>
        </is>
      </c>
      <c r="B322">
        <f>IF(IF(EXACT("Per audit — high",'Model inputs'!O111)="",FALSE,EXACT("Per audit — high",'Model inputs'!O111)),IF('Model inputs'!L16="","",'Model inputs'!L16),"")</f>
      </c>
    </row>
    <row r="323">
      <c r="A323" t="inlineStr" s="14">
        <is>
          <t xml:space="preserve">Calculation</t>
        </is>
      </c>
      <c r="B323">
        <f>IF(IF(EXACT("Per audit — low",'Model inputs'!O111)="",FALSE,EXACT("Per audit — low",'Model inputs'!O111)),IF('Model inputs'!L17="","",'Model inputs'!L17),"")</f>
      </c>
    </row>
    <row r="324">
      <c r="A324" t="inlineStr" s="14">
        <is>
          <t xml:space="preserve">Calculation</t>
        </is>
      </c>
      <c r="B324">
        <f>IF(IF(EXACT("Annual deal-team",'Model inputs'!O111)="",FALSE,EXACT("Annual deal-team",'Model inputs'!O111)),IF('Model inputs'!M13="","",'Model inputs'!M13),"")</f>
      </c>
    </row>
    <row r="325">
      <c r="A325" t="inlineStr" s="14">
        <is>
          <t xml:space="preserve">Calculation</t>
        </is>
      </c>
      <c r="B325">
        <f>IF(IF(EXACT("Hybrid",'Model inputs'!O111)="",FALSE,EXACT("Hybrid",'Model inputs'!O111)),IF('Model inputs'!M14="","",'Model inputs'!M14),"")</f>
      </c>
    </row>
    <row r="326">
      <c r="A326" t="inlineStr" s="14">
        <is>
          <t xml:space="preserve">Calculation</t>
        </is>
      </c>
      <c r="B326">
        <f>IF(IF(EXACT("Per audit — base",'Model inputs'!O111)="",FALSE,EXACT("Per audit — base",'Model inputs'!O111)),IF('Model inputs'!M15="","",'Model inputs'!M15),"")</f>
      </c>
    </row>
    <row r="327">
      <c r="A327" t="inlineStr" s="14">
        <is>
          <t xml:space="preserve">Calculation</t>
        </is>
      </c>
      <c r="B327">
        <f>IF(IF(EXACT("Per audit — high",'Model inputs'!O111)="",FALSE,EXACT("Per audit — high",'Model inputs'!O111)),IF('Model inputs'!M16="","",'Model inputs'!M16),"")</f>
      </c>
    </row>
    <row r="328">
      <c r="A328" t="inlineStr" s="14">
        <is>
          <t xml:space="preserve">Calculation</t>
        </is>
      </c>
      <c r="B328">
        <f>IF(IF(EXACT("Per audit — low",'Model inputs'!O111)="",FALSE,EXACT("Per audit — low",'Model inputs'!O111)),IF('Model inputs'!M17="","",'Model inputs'!M17),"")</f>
      </c>
    </row>
    <row r="329">
      <c r="A329" t="inlineStr" s="14">
        <is>
          <t xml:space="preserve">Calculation</t>
        </is>
      </c>
      <c r="B329">
        <f>IF(IF(EXACT("Annual deal-team",'Model inputs'!O111)="",FALSE,EXACT("Annual deal-team",'Model inputs'!O111)),IF('Model inputs'!N13="","",'Model inputs'!N13),"")</f>
      </c>
    </row>
    <row r="330">
      <c r="A330" t="inlineStr" s="14">
        <is>
          <t xml:space="preserve">Calculation</t>
        </is>
      </c>
      <c r="B330">
        <f>IF(IF(EXACT("Hybrid",'Model inputs'!O111)="",FALSE,EXACT("Hybrid",'Model inputs'!O111)),IF('Model inputs'!N14="","",'Model inputs'!N14),"")</f>
      </c>
    </row>
    <row r="331">
      <c r="A331" t="inlineStr" s="14">
        <is>
          <t xml:space="preserve">Calculation</t>
        </is>
      </c>
      <c r="B331">
        <f>IF(IF(EXACT("Per audit — base",'Model inputs'!O111)="",FALSE,EXACT("Per audit — base",'Model inputs'!O111)),IF('Model inputs'!N15="","",'Model inputs'!N15),"")</f>
      </c>
    </row>
    <row r="332">
      <c r="A332" t="inlineStr" s="14">
        <is>
          <t xml:space="preserve">Calculation</t>
        </is>
      </c>
      <c r="B332">
        <f>IF(IF(EXACT("Per audit — high",'Model inputs'!O111)="",FALSE,EXACT("Per audit — high",'Model inputs'!O111)),IF('Model inputs'!N16="","",'Model inputs'!N16),"")</f>
      </c>
    </row>
    <row r="333">
      <c r="A333" t="inlineStr" s="14">
        <is>
          <t xml:space="preserve">Calculation</t>
        </is>
      </c>
      <c r="B333">
        <f>IF(IF(EXACT("Per audit — low",'Model inputs'!O111)="",FALSE,EXACT("Per audit — low",'Model inputs'!O111)),IF('Model inputs'!N17="","",'Model inputs'!N17),"")</f>
      </c>
    </row>
    <row r="334">
      <c r="A334" t="inlineStr" s="14">
        <is>
          <t xml:space="preserve">Calculation</t>
        </is>
      </c>
      <c r="B334">
        <f>IF(IF(EXACT("Annual deal-team",'Model inputs'!O111)="",FALSE,EXACT("Annual deal-team",'Model inputs'!O111)),IF('Model inputs'!C58="","",'Model inputs'!C58),"")</f>
      </c>
    </row>
    <row r="335">
      <c r="A335" t="inlineStr" s="14">
        <is>
          <t xml:space="preserve">Calculation</t>
        </is>
      </c>
      <c r="B335">
        <f>IF(IF(EXACT("Hybrid",'Model inputs'!O111)="",FALSE,EXACT("Hybrid",'Model inputs'!O111)),IF('Model inputs'!C59="","",'Model inputs'!C59),"")</f>
      </c>
    </row>
    <row r="336">
      <c r="A336" t="inlineStr" s="14">
        <is>
          <t xml:space="preserve">Calculation</t>
        </is>
      </c>
      <c r="B336">
        <f>IF(IF(EXACT("Per audit — base",'Model inputs'!O111)="",FALSE,EXACT("Per audit — base",'Model inputs'!O111)),IF('Model inputs'!C60="","",'Model inputs'!C60),"")</f>
      </c>
    </row>
    <row r="337">
      <c r="A337" t="inlineStr" s="14">
        <is>
          <t xml:space="preserve">Calculation</t>
        </is>
      </c>
      <c r="B337">
        <f>IF(IF(EXACT("Per audit — high",'Model inputs'!O111)="",FALSE,EXACT("Per audit — high",'Model inputs'!O111)),IF('Model inputs'!C61="","",'Model inputs'!C61),"")</f>
      </c>
    </row>
    <row r="338">
      <c r="A338" t="inlineStr" s="14">
        <is>
          <t xml:space="preserve">Calculation</t>
        </is>
      </c>
      <c r="B338">
        <f>IF(IF(EXACT("Per audit — low",'Model inputs'!O111)="",FALSE,EXACT("Per audit — low",'Model inputs'!O111)),IF('Model inputs'!C62="","",'Model inputs'!C62),"")</f>
      </c>
    </row>
    <row r="339">
      <c r="A339" t="inlineStr" s="14">
        <is>
          <t xml:space="preserve">Calculation</t>
        </is>
      </c>
      <c r="B339">
        <f>IF(IF(EXACT("Annual deal-team",'Model inputs'!O111)="",FALSE,EXACT("Annual deal-team",'Model inputs'!O111)),IF('Model inputs'!D58="","",'Model inputs'!D58),"")</f>
      </c>
    </row>
    <row r="340">
      <c r="A340" t="inlineStr" s="14">
        <is>
          <t xml:space="preserve">Calculation</t>
        </is>
      </c>
      <c r="B340">
        <f>IF(IF(EXACT("Hybrid",'Model inputs'!O111)="",FALSE,EXACT("Hybrid",'Model inputs'!O111)),IF('Model inputs'!D59="","",'Model inputs'!D59),"")</f>
      </c>
    </row>
    <row r="341">
      <c r="A341" t="inlineStr" s="14">
        <is>
          <t xml:space="preserve">Calculation</t>
        </is>
      </c>
      <c r="B341">
        <f>IF(IF(EXACT("Per audit — base",'Model inputs'!O111)="",FALSE,EXACT("Per audit — base",'Model inputs'!O111)),IF('Model inputs'!D60="","",'Model inputs'!D60),"")</f>
      </c>
    </row>
    <row r="342">
      <c r="A342" t="inlineStr" s="14">
        <is>
          <t xml:space="preserve">Calculation</t>
        </is>
      </c>
      <c r="B342">
        <f>IF(IF(EXACT("Per audit — high",'Model inputs'!O111)="",FALSE,EXACT("Per audit — high",'Model inputs'!O111)),IF('Model inputs'!D61="","",'Model inputs'!D61),"")</f>
      </c>
    </row>
    <row r="343">
      <c r="A343" t="inlineStr" s="14">
        <is>
          <t xml:space="preserve">Calculation</t>
        </is>
      </c>
      <c r="B343">
        <f>IF(IF(EXACT("Per audit — low",'Model inputs'!O111)="",FALSE,EXACT("Per audit — low",'Model inputs'!O111)),IF('Model inputs'!D62="","",'Model inputs'!D62),"")</f>
      </c>
    </row>
    <row r="344">
      <c r="A344" t="inlineStr" s="14">
        <is>
          <t xml:space="preserve">Calculation</t>
        </is>
      </c>
      <c r="B344">
        <f>IF(IF(EXACT("Annual deal-team",'Model inputs'!O111)="",FALSE,EXACT("Annual deal-team",'Model inputs'!O111)),IF('Model inputs'!E58="","",'Model inputs'!E58),"")</f>
      </c>
    </row>
    <row r="345">
      <c r="A345" t="inlineStr" s="14">
        <is>
          <t xml:space="preserve">Calculation</t>
        </is>
      </c>
      <c r="B345">
        <f>IF(IF(EXACT("Hybrid",'Model inputs'!O111)="",FALSE,EXACT("Hybrid",'Model inputs'!O111)),IF('Model inputs'!E59="","",'Model inputs'!E59),"")</f>
      </c>
    </row>
    <row r="346">
      <c r="A346" t="inlineStr" s="14">
        <is>
          <t xml:space="preserve">Calculation</t>
        </is>
      </c>
      <c r="B346">
        <f>IF(IF(EXACT("Per audit — base",'Model inputs'!O111)="",FALSE,EXACT("Per audit — base",'Model inputs'!O111)),IF('Model inputs'!E60="","",'Model inputs'!E60),"")</f>
      </c>
    </row>
    <row r="347">
      <c r="A347" t="inlineStr" s="14">
        <is>
          <t xml:space="preserve">Calculation</t>
        </is>
      </c>
      <c r="B347">
        <f>IF(IF(EXACT("Per audit — high",'Model inputs'!O111)="",FALSE,EXACT("Per audit — high",'Model inputs'!O111)),IF('Model inputs'!E61="","",'Model inputs'!E61),"")</f>
      </c>
    </row>
    <row r="348">
      <c r="A348" t="inlineStr" s="14">
        <is>
          <t xml:space="preserve">Calculation</t>
        </is>
      </c>
      <c r="B348">
        <f>IF(IF(EXACT("Per audit — low",'Model inputs'!O111)="",FALSE,EXACT("Per audit — low",'Model inputs'!O111)),IF('Model inputs'!E62="","",'Model inputs'!E62),"")</f>
      </c>
    </row>
    <row r="349">
      <c r="A349" t="inlineStr" s="14">
        <is>
          <t xml:space="preserve">Calculation</t>
        </is>
      </c>
      <c r="B349">
        <f>IF(IF(EXACT("Annual deal-team",'Model inputs'!O111)="",FALSE,EXACT("Annual deal-team",'Model inputs'!O111)),IF('Model inputs'!F58="","",'Model inputs'!F58),"")</f>
      </c>
    </row>
    <row r="350">
      <c r="A350" t="inlineStr" s="14">
        <is>
          <t xml:space="preserve">Calculation</t>
        </is>
      </c>
      <c r="B350">
        <f>IF(IF(EXACT("Hybrid",'Model inputs'!O111)="",FALSE,EXACT("Hybrid",'Model inputs'!O111)),IF('Model inputs'!F59="","",'Model inputs'!F59),"")</f>
      </c>
    </row>
    <row r="351">
      <c r="A351" t="inlineStr" s="14">
        <is>
          <t xml:space="preserve">Calculation</t>
        </is>
      </c>
      <c r="B351">
        <f>IF(IF(EXACT("Per audit — base",'Model inputs'!O111)="",FALSE,EXACT("Per audit — base",'Model inputs'!O111)),IF('Model inputs'!F60="","",'Model inputs'!F60),"")</f>
      </c>
    </row>
    <row r="352">
      <c r="A352" t="inlineStr" s="14">
        <is>
          <t xml:space="preserve">Calculation</t>
        </is>
      </c>
      <c r="B352">
        <f>IF(IF(EXACT("Per audit — high",'Model inputs'!O111)="",FALSE,EXACT("Per audit — high",'Model inputs'!O111)),IF('Model inputs'!F61="","",'Model inputs'!F61),"")</f>
      </c>
    </row>
    <row r="353">
      <c r="A353" t="inlineStr" s="14">
        <is>
          <t xml:space="preserve">Calculation</t>
        </is>
      </c>
      <c r="B353">
        <f>IF(IF(EXACT("Per audit — low",'Model inputs'!O111)="",FALSE,EXACT("Per audit — low",'Model inputs'!O111)),IF('Model inputs'!F62="","",'Model inputs'!F62),"")</f>
      </c>
    </row>
    <row r="354">
      <c r="A354" t="inlineStr" s="14">
        <is>
          <t xml:space="preserve">Calculation</t>
        </is>
      </c>
      <c r="B354">
        <f>IF(IF(EXACT("Annual deal-team",'Model inputs'!O111)="",FALSE,EXACT("Annual deal-team",'Model inputs'!O111)),IF('Model inputs'!G58="","",'Model inputs'!G58),"")</f>
      </c>
    </row>
    <row r="355">
      <c r="A355" t="inlineStr" s="14">
        <is>
          <t xml:space="preserve">Calculation</t>
        </is>
      </c>
      <c r="B355">
        <f>IF(IF(EXACT("Hybrid",'Model inputs'!O111)="",FALSE,EXACT("Hybrid",'Model inputs'!O111)),IF('Model inputs'!G59="","",'Model inputs'!G59),"")</f>
      </c>
    </row>
    <row r="356">
      <c r="A356" t="inlineStr" s="14">
        <is>
          <t xml:space="preserve">Calculation</t>
        </is>
      </c>
      <c r="B356">
        <f>IF(IF(EXACT("Per audit — base",'Model inputs'!O111)="",FALSE,EXACT("Per audit — base",'Model inputs'!O111)),IF('Model inputs'!G60="","",'Model inputs'!G60),"")</f>
      </c>
    </row>
    <row r="357">
      <c r="A357" t="inlineStr" s="14">
        <is>
          <t xml:space="preserve">Calculation</t>
        </is>
      </c>
      <c r="B357">
        <f>IF(IF(EXACT("Per audit — high",'Model inputs'!O111)="",FALSE,EXACT("Per audit — high",'Model inputs'!O111)),IF('Model inputs'!G61="","",'Model inputs'!G61),"")</f>
      </c>
    </row>
    <row r="358">
      <c r="A358" t="inlineStr" s="14">
        <is>
          <t xml:space="preserve">Calculation</t>
        </is>
      </c>
      <c r="B358">
        <f>IF(IF(EXACT("Per audit — low",'Model inputs'!O111)="",FALSE,EXACT("Per audit — low",'Model inputs'!O111)),IF('Model inputs'!G62="","",'Model inputs'!G62),"")</f>
      </c>
    </row>
    <row r="359">
      <c r="A359" t="inlineStr" s="14">
        <is>
          <t xml:space="preserve">Calculation</t>
        </is>
      </c>
      <c r="B359">
        <f>IF(IF(EXACT("Annual deal-team",'Model inputs'!O111)="",FALSE,EXACT("Annual deal-team",'Model inputs'!O111)),IF('Model inputs'!H58="","",'Model inputs'!H58),"")</f>
      </c>
    </row>
    <row r="360">
      <c r="A360" t="inlineStr" s="14">
        <is>
          <t xml:space="preserve">Calculation</t>
        </is>
      </c>
      <c r="B360">
        <f>IF(IF(EXACT("Hybrid",'Model inputs'!O111)="",FALSE,EXACT("Hybrid",'Model inputs'!O111)),IF('Model inputs'!H59="","",'Model inputs'!H59),"")</f>
      </c>
    </row>
    <row r="361">
      <c r="A361" t="inlineStr" s="14">
        <is>
          <t xml:space="preserve">Calculation</t>
        </is>
      </c>
      <c r="B361">
        <f>IF(IF(EXACT("Per audit — base",'Model inputs'!O111)="",FALSE,EXACT("Per audit — base",'Model inputs'!O111)),IF('Model inputs'!H60="","",'Model inputs'!H60),"")</f>
      </c>
    </row>
    <row r="362">
      <c r="A362" t="inlineStr" s="14">
        <is>
          <t xml:space="preserve">Calculation</t>
        </is>
      </c>
      <c r="B362">
        <f>IF(IF(EXACT("Per audit — high",'Model inputs'!O111)="",FALSE,EXACT("Per audit — high",'Model inputs'!O111)),IF('Model inputs'!H61="","",'Model inputs'!H61),"")</f>
      </c>
    </row>
    <row r="363">
      <c r="A363" t="inlineStr" s="14">
        <is>
          <t xml:space="preserve">Calculation</t>
        </is>
      </c>
      <c r="B363">
        <f>IF(IF(EXACT("Per audit — low",'Model inputs'!O111)="",FALSE,EXACT("Per audit — low",'Model inputs'!O111)),IF('Model inputs'!H62="","",'Model inputs'!H62),"")</f>
      </c>
    </row>
    <row r="364">
      <c r="A364" t="inlineStr" s="14">
        <is>
          <t xml:space="preserve">Calculation</t>
        </is>
      </c>
      <c r="B364">
        <f>IF(IF(EXACT("Annual deal-team",'Model inputs'!O111)="",FALSE,EXACT("Annual deal-team",'Model inputs'!O111)),IF('Model inputs'!I58="","",'Model inputs'!I58),"")</f>
      </c>
    </row>
    <row r="365">
      <c r="A365" t="inlineStr" s="14">
        <is>
          <t xml:space="preserve">Calculation</t>
        </is>
      </c>
      <c r="B365">
        <f>IF(IF(EXACT("Hybrid",'Model inputs'!O111)="",FALSE,EXACT("Hybrid",'Model inputs'!O111)),IF('Model inputs'!I59="","",'Model inputs'!I59),"")</f>
      </c>
    </row>
    <row r="366">
      <c r="A366" t="inlineStr" s="14">
        <is>
          <t xml:space="preserve">Calculation</t>
        </is>
      </c>
      <c r="B366">
        <f>IF(IF(EXACT("Per audit — base",'Model inputs'!O111)="",FALSE,EXACT("Per audit — base",'Model inputs'!O111)),IF('Model inputs'!I60="","",'Model inputs'!I60),"")</f>
      </c>
    </row>
    <row r="367">
      <c r="A367" t="inlineStr" s="14">
        <is>
          <t xml:space="preserve">Calculation</t>
        </is>
      </c>
      <c r="B367">
        <f>IF(IF(EXACT("Per audit — high",'Model inputs'!O111)="",FALSE,EXACT("Per audit — high",'Model inputs'!O111)),IF('Model inputs'!I61="","",'Model inputs'!I61),"")</f>
      </c>
    </row>
    <row r="368">
      <c r="A368" t="inlineStr" s="14">
        <is>
          <t xml:space="preserve">Calculation</t>
        </is>
      </c>
      <c r="B368">
        <f>IF(IF(EXACT("Per audit — low",'Model inputs'!O111)="",FALSE,EXACT("Per audit — low",'Model inputs'!O111)),IF('Model inputs'!I62="","",'Model inputs'!I62),"")</f>
      </c>
    </row>
    <row r="369">
      <c r="A369" t="inlineStr" s="14">
        <is>
          <t xml:space="preserve">Calculation</t>
        </is>
      </c>
      <c r="B369">
        <f>IF(IF(EXACT("Annual deal-team",'Model inputs'!O111)="",FALSE,EXACT("Annual deal-team",'Model inputs'!O111)),IF('Model inputs'!J58="","",'Model inputs'!J58),"")</f>
      </c>
    </row>
    <row r="370">
      <c r="A370" t="inlineStr" s="14">
        <is>
          <t xml:space="preserve">Calculation</t>
        </is>
      </c>
      <c r="B370">
        <f>IF(IF(EXACT("Hybrid",'Model inputs'!O111)="",FALSE,EXACT("Hybrid",'Model inputs'!O111)),IF('Model inputs'!J59="","",'Model inputs'!J59),"")</f>
      </c>
    </row>
    <row r="371">
      <c r="A371" t="inlineStr" s="14">
        <is>
          <t xml:space="preserve">Calculation</t>
        </is>
      </c>
      <c r="B371">
        <f>IF(IF(EXACT("Per audit — base",'Model inputs'!O111)="",FALSE,EXACT("Per audit — base",'Model inputs'!O111)),IF('Model inputs'!J60="","",'Model inputs'!J60),"")</f>
      </c>
    </row>
    <row r="372">
      <c r="A372" t="inlineStr" s="14">
        <is>
          <t xml:space="preserve">Calculation</t>
        </is>
      </c>
      <c r="B372">
        <f>IF(IF(EXACT("Per audit — high",'Model inputs'!O111)="",FALSE,EXACT("Per audit — high",'Model inputs'!O111)),IF('Model inputs'!J61="","",'Model inputs'!J61),"")</f>
      </c>
    </row>
    <row r="373">
      <c r="A373" t="inlineStr" s="14">
        <is>
          <t xml:space="preserve">Calculation</t>
        </is>
      </c>
      <c r="B373">
        <f>IF(IF(EXACT("Per audit — low",'Model inputs'!O111)="",FALSE,EXACT("Per audit — low",'Model inputs'!O111)),IF('Model inputs'!J62="","",'Model inputs'!J62),"")</f>
      </c>
    </row>
    <row r="374">
      <c r="A374" t="inlineStr" s="14">
        <is>
          <t xml:space="preserve">Calculation</t>
        </is>
      </c>
      <c r="B374">
        <f>IF(IF(EXACT("Annual deal-team",'Model inputs'!O111)="",FALSE,EXACT("Annual deal-team",'Model inputs'!O111)),IF('Model inputs'!K58="","",'Model inputs'!K58),"")</f>
      </c>
    </row>
    <row r="375">
      <c r="A375" t="inlineStr" s="14">
        <is>
          <t xml:space="preserve">Calculation</t>
        </is>
      </c>
      <c r="B375">
        <f>IF(IF(EXACT("Hybrid",'Model inputs'!O111)="",FALSE,EXACT("Hybrid",'Model inputs'!O111)),IF('Model inputs'!K59="","",'Model inputs'!K59),"")</f>
      </c>
    </row>
    <row r="376">
      <c r="A376" t="inlineStr" s="14">
        <is>
          <t xml:space="preserve">Calculation</t>
        </is>
      </c>
      <c r="B376">
        <f>IF(IF(EXACT("Per audit — base",'Model inputs'!O111)="",FALSE,EXACT("Per audit — base",'Model inputs'!O111)),IF('Model inputs'!K60="","",'Model inputs'!K60),"")</f>
      </c>
    </row>
    <row r="377">
      <c r="A377" t="inlineStr" s="14">
        <is>
          <t xml:space="preserve">Calculation</t>
        </is>
      </c>
      <c r="B377">
        <f>IF(IF(EXACT("Per audit — high",'Model inputs'!O111)="",FALSE,EXACT("Per audit — high",'Model inputs'!O111)),IF('Model inputs'!K61="","",'Model inputs'!K61),"")</f>
      </c>
    </row>
    <row r="378">
      <c r="A378" t="inlineStr" s="14">
        <is>
          <t xml:space="preserve">Calculation</t>
        </is>
      </c>
      <c r="B378">
        <f>IF(IF(EXACT("Per audit — low",'Model inputs'!O111)="",FALSE,EXACT("Per audit — low",'Model inputs'!O111)),IF('Model inputs'!K62="","",'Model inputs'!K62),"")</f>
      </c>
    </row>
    <row r="379">
      <c r="A379" t="inlineStr" s="14">
        <is>
          <t xml:space="preserve">Calculation</t>
        </is>
      </c>
      <c r="B379">
        <f>IF(IF(EXACT("Annual deal-team",'Model inputs'!O111)="",FALSE,EXACT("Annual deal-team",'Model inputs'!O111)),IF('Model inputs'!L58="","",'Model inputs'!L58),"")</f>
      </c>
    </row>
    <row r="380">
      <c r="A380" t="inlineStr" s="14">
        <is>
          <t xml:space="preserve">Calculation</t>
        </is>
      </c>
      <c r="B380">
        <f>IF(IF(EXACT("Hybrid",'Model inputs'!O111)="",FALSE,EXACT("Hybrid",'Model inputs'!O111)),IF('Model inputs'!L59="","",'Model inputs'!L59),"")</f>
      </c>
    </row>
    <row r="381">
      <c r="A381" t="inlineStr" s="14">
        <is>
          <t xml:space="preserve">Calculation</t>
        </is>
      </c>
      <c r="B381">
        <f>IF(IF(EXACT("Per audit — base",'Model inputs'!O111)="",FALSE,EXACT("Per audit — base",'Model inputs'!O111)),IF('Model inputs'!L60="","",'Model inputs'!L60),"")</f>
      </c>
    </row>
    <row r="382">
      <c r="A382" t="inlineStr" s="14">
        <is>
          <t xml:space="preserve">Calculation</t>
        </is>
      </c>
      <c r="B382">
        <f>IF(IF(EXACT("Per audit — high",'Model inputs'!O111)="",FALSE,EXACT("Per audit — high",'Model inputs'!O111)),IF('Model inputs'!L61="","",'Model inputs'!L61),"")</f>
      </c>
    </row>
    <row r="383">
      <c r="A383" t="inlineStr" s="14">
        <is>
          <t xml:space="preserve">Calculation</t>
        </is>
      </c>
      <c r="B383">
        <f>IF(IF(EXACT("Per audit — low",'Model inputs'!O111)="",FALSE,EXACT("Per audit — low",'Model inputs'!O111)),IF('Model inputs'!L62="","",'Model inputs'!L62),"")</f>
      </c>
    </row>
    <row r="384">
      <c r="A384" t="inlineStr" s="14">
        <is>
          <t xml:space="preserve">Calculation</t>
        </is>
      </c>
      <c r="B384">
        <f>IF(IF(EXACT("Annual deal-team",'Model inputs'!O111)="",FALSE,EXACT("Annual deal-team",'Model inputs'!O111)),IF('Model inputs'!M58="","",'Model inputs'!M58),"")</f>
      </c>
    </row>
    <row r="385">
      <c r="A385" t="inlineStr" s="14">
        <is>
          <t xml:space="preserve">Calculation</t>
        </is>
      </c>
      <c r="B385">
        <f>IF(IF(EXACT("Hybrid",'Model inputs'!O111)="",FALSE,EXACT("Hybrid",'Model inputs'!O111)),IF('Model inputs'!M59="","",'Model inputs'!M59),"")</f>
      </c>
    </row>
    <row r="386">
      <c r="A386" t="inlineStr" s="14">
        <is>
          <t xml:space="preserve">Calculation</t>
        </is>
      </c>
      <c r="B386">
        <f>IF(IF(EXACT("Per audit — base",'Model inputs'!O111)="",FALSE,EXACT("Per audit — base",'Model inputs'!O111)),IF('Model inputs'!M60="","",'Model inputs'!M60),"")</f>
      </c>
    </row>
    <row r="387">
      <c r="A387" t="inlineStr" s="14">
        <is>
          <t xml:space="preserve">Calculation</t>
        </is>
      </c>
      <c r="B387">
        <f>IF(IF(EXACT("Per audit — high",'Model inputs'!O111)="",FALSE,EXACT("Per audit — high",'Model inputs'!O111)),IF('Model inputs'!M61="","",'Model inputs'!M61),"")</f>
      </c>
    </row>
    <row r="388">
      <c r="A388" t="inlineStr" s="14">
        <is>
          <t xml:space="preserve">Calculation</t>
        </is>
      </c>
      <c r="B388">
        <f>IF(IF(EXACT("Per audit — low",'Model inputs'!O111)="",FALSE,EXACT("Per audit — low",'Model inputs'!O111)),IF('Model inputs'!M62="","",'Model inputs'!M62),"")</f>
      </c>
    </row>
    <row r="389">
      <c r="A389" t="inlineStr" s="14">
        <is>
          <t xml:space="preserve">Calculation</t>
        </is>
      </c>
      <c r="B389">
        <f>IF(IF(EXACT("Annual deal-team",'Model inputs'!O111)="",FALSE,EXACT("Annual deal-team",'Model inputs'!O111)),IF('Model inputs'!N58="","",'Model inputs'!N58),"")</f>
      </c>
    </row>
    <row r="390">
      <c r="A390" t="inlineStr" s="14">
        <is>
          <t xml:space="preserve">Calculation</t>
        </is>
      </c>
      <c r="B390">
        <f>IF(IF(EXACT("Hybrid",'Model inputs'!O111)="",FALSE,EXACT("Hybrid",'Model inputs'!O111)),IF('Model inputs'!N59="","",'Model inputs'!N59),"")</f>
      </c>
    </row>
    <row r="391">
      <c r="A391" t="inlineStr" s="14">
        <is>
          <t xml:space="preserve">Calculation</t>
        </is>
      </c>
      <c r="B391">
        <f>IF(IF(EXACT("Per audit — base",'Model inputs'!O111)="",FALSE,EXACT("Per audit — base",'Model inputs'!O111)),IF('Model inputs'!N60="","",'Model inputs'!N60),"")</f>
      </c>
    </row>
    <row r="392">
      <c r="A392" t="inlineStr" s="14">
        <is>
          <t xml:space="preserve">Calculation</t>
        </is>
      </c>
      <c r="B392">
        <f>IF(IF(EXACT("Per audit — high",'Model inputs'!O111)="",FALSE,EXACT("Per audit — high",'Model inputs'!O111)),IF('Model inputs'!N61="","",'Model inputs'!N61),"")</f>
      </c>
    </row>
    <row r="393">
      <c r="A393" t="inlineStr" s="14">
        <is>
          <t xml:space="preserve">Calculation</t>
        </is>
      </c>
      <c r="B393">
        <f>IF(IF(EXACT("Per audit — low",'Model inputs'!O111)="",FALSE,EXACT("Per audit — low",'Model inputs'!O111)),IF('Model inputs'!N62="","",'Model inputs'!N62),"")</f>
      </c>
    </row>
    <row r="394">
      <c r="A394" t="inlineStr" s="14">
        <is>
          <t xml:space="preserve">Calculation</t>
        </is>
      </c>
      <c r="B394">
        <f>IF(IF(EXACT("Annual deal-team",'Model inputs'!O111)="",FALSE,EXACT("Annual deal-team",'Model inputs'!O111)),IF('Model inputs'!C51="","",'Model inputs'!C51),"")</f>
      </c>
    </row>
    <row r="395">
      <c r="A395" t="inlineStr" s="14">
        <is>
          <t xml:space="preserve">Calculation</t>
        </is>
      </c>
      <c r="B395">
        <f>IF(IF(EXACT("Hybrid",'Model inputs'!O111)="",FALSE,EXACT("Hybrid",'Model inputs'!O111)),IF('Model inputs'!C52="","",'Model inputs'!C52),"")</f>
      </c>
    </row>
    <row r="396">
      <c r="A396" t="inlineStr" s="14">
        <is>
          <t xml:space="preserve">Calculation</t>
        </is>
      </c>
      <c r="B396">
        <f>IF(IF(EXACT("Per audit — base",'Model inputs'!O111)="",FALSE,EXACT("Per audit — base",'Model inputs'!O111)),IF('Model inputs'!C53="","",'Model inputs'!C53),"")</f>
      </c>
    </row>
    <row r="397">
      <c r="A397" t="inlineStr" s="14">
        <is>
          <t xml:space="preserve">Calculation</t>
        </is>
      </c>
      <c r="B397">
        <f>IF(IF(EXACT("Per audit — high",'Model inputs'!O111)="",FALSE,EXACT("Per audit — high",'Model inputs'!O111)),IF('Model inputs'!C54="","",'Model inputs'!C54),"")</f>
      </c>
    </row>
    <row r="398">
      <c r="A398" t="inlineStr" s="14">
        <is>
          <t xml:space="preserve">Calculation</t>
        </is>
      </c>
      <c r="B398">
        <f>IF(IF(EXACT("Per audit — low",'Model inputs'!O111)="",FALSE,EXACT("Per audit — low",'Model inputs'!O111)),IF('Model inputs'!C55="","",'Model inputs'!C55),"")</f>
      </c>
    </row>
    <row r="399">
      <c r="A399" t="inlineStr" s="14">
        <is>
          <t xml:space="preserve">Calculation</t>
        </is>
      </c>
      <c r="B399">
        <f>IF(IF(EXACT("Annual deal-team",'Model inputs'!O111)="",FALSE,EXACT("Annual deal-team",'Model inputs'!O111)),IF('Model inputs'!D51="","",'Model inputs'!D51),"")</f>
      </c>
    </row>
    <row r="400">
      <c r="A400" t="inlineStr" s="14">
        <is>
          <t xml:space="preserve">Calculation</t>
        </is>
      </c>
      <c r="B400">
        <f>IF(IF(EXACT("Hybrid",'Model inputs'!O111)="",FALSE,EXACT("Hybrid",'Model inputs'!O111)),IF('Model inputs'!D52="","",'Model inputs'!D52),"")</f>
      </c>
    </row>
    <row r="401">
      <c r="A401" t="inlineStr" s="14">
        <is>
          <t xml:space="preserve">Calculation</t>
        </is>
      </c>
      <c r="B401">
        <f>IF(IF(EXACT("Per audit — base",'Model inputs'!O111)="",FALSE,EXACT("Per audit — base",'Model inputs'!O111)),IF('Model inputs'!D53="","",'Model inputs'!D53),"")</f>
      </c>
    </row>
    <row r="402">
      <c r="A402" t="inlineStr" s="14">
        <is>
          <t xml:space="preserve">Calculation</t>
        </is>
      </c>
      <c r="B402">
        <f>IF(IF(EXACT("Per audit — high",'Model inputs'!O111)="",FALSE,EXACT("Per audit — high",'Model inputs'!O111)),IF('Model inputs'!D54="","",'Model inputs'!D54),"")</f>
      </c>
    </row>
    <row r="403">
      <c r="A403" t="inlineStr" s="14">
        <is>
          <t xml:space="preserve">Calculation</t>
        </is>
      </c>
      <c r="B403">
        <f>IF(IF(EXACT("Per audit — low",'Model inputs'!O111)="",FALSE,EXACT("Per audit — low",'Model inputs'!O111)),IF('Model inputs'!D55="","",'Model inputs'!D55),"")</f>
      </c>
    </row>
    <row r="404">
      <c r="A404" t="inlineStr" s="14">
        <is>
          <t xml:space="preserve">Calculation</t>
        </is>
      </c>
      <c r="B404">
        <f>IF(IF(EXACT("Annual deal-team",'Model inputs'!O111)="",FALSE,EXACT("Annual deal-team",'Model inputs'!O111)),IF('Model inputs'!E51="","",'Model inputs'!E51),"")</f>
      </c>
    </row>
    <row r="405">
      <c r="A405" t="inlineStr" s="14">
        <is>
          <t xml:space="preserve">Calculation</t>
        </is>
      </c>
      <c r="B405">
        <f>IF(IF(EXACT("Hybrid",'Model inputs'!O111)="",FALSE,EXACT("Hybrid",'Model inputs'!O111)),IF('Model inputs'!E52="","",'Model inputs'!E52),"")</f>
      </c>
    </row>
    <row r="406">
      <c r="A406" t="inlineStr" s="14">
        <is>
          <t xml:space="preserve">Calculation</t>
        </is>
      </c>
      <c r="B406">
        <f>IF(IF(EXACT("Per audit — base",'Model inputs'!O111)="",FALSE,EXACT("Per audit — base",'Model inputs'!O111)),IF('Model inputs'!E53="","",'Model inputs'!E53),"")</f>
      </c>
    </row>
    <row r="407">
      <c r="A407" t="inlineStr" s="14">
        <is>
          <t xml:space="preserve">Calculation</t>
        </is>
      </c>
      <c r="B407">
        <f>IF(IF(EXACT("Per audit — high",'Model inputs'!O111)="",FALSE,EXACT("Per audit — high",'Model inputs'!O111)),IF('Model inputs'!E54="","",'Model inputs'!E54),"")</f>
      </c>
    </row>
    <row r="408">
      <c r="A408" t="inlineStr" s="14">
        <is>
          <t xml:space="preserve">Calculation</t>
        </is>
      </c>
      <c r="B408">
        <f>IF(IF(EXACT("Per audit — low",'Model inputs'!O111)="",FALSE,EXACT("Per audit — low",'Model inputs'!O111)),IF('Model inputs'!E55="","",'Model inputs'!E55),"")</f>
      </c>
    </row>
    <row r="409">
      <c r="A409" t="inlineStr" s="14">
        <is>
          <t xml:space="preserve">Calculation</t>
        </is>
      </c>
      <c r="B409">
        <f>IF(IF(EXACT("Annual deal-team",'Model inputs'!O111)="",FALSE,EXACT("Annual deal-team",'Model inputs'!O111)),IF('Model inputs'!F51="","",'Model inputs'!F51),"")</f>
      </c>
    </row>
    <row r="410">
      <c r="A410" t="inlineStr" s="14">
        <is>
          <t xml:space="preserve">Calculation</t>
        </is>
      </c>
      <c r="B410">
        <f>IF(IF(EXACT("Hybrid",'Model inputs'!O111)="",FALSE,EXACT("Hybrid",'Model inputs'!O111)),IF('Model inputs'!F52="","",'Model inputs'!F52),"")</f>
      </c>
    </row>
    <row r="411">
      <c r="A411" t="inlineStr" s="14">
        <is>
          <t xml:space="preserve">Calculation</t>
        </is>
      </c>
      <c r="B411">
        <f>IF(IF(EXACT("Per audit — base",'Model inputs'!O111)="",FALSE,EXACT("Per audit — base",'Model inputs'!O111)),IF('Model inputs'!F53="","",'Model inputs'!F53),"")</f>
      </c>
    </row>
    <row r="412">
      <c r="A412" t="inlineStr" s="14">
        <is>
          <t xml:space="preserve">Calculation</t>
        </is>
      </c>
      <c r="B412">
        <f>IF(IF(EXACT("Per audit — high",'Model inputs'!O111)="",FALSE,EXACT("Per audit — high",'Model inputs'!O111)),IF('Model inputs'!F54="","",'Model inputs'!F54),"")</f>
      </c>
    </row>
    <row r="413">
      <c r="A413" t="inlineStr" s="14">
        <is>
          <t xml:space="preserve">Calculation</t>
        </is>
      </c>
      <c r="B413">
        <f>IF(IF(EXACT("Per audit — low",'Model inputs'!O111)="",FALSE,EXACT("Per audit — low",'Model inputs'!O111)),IF('Model inputs'!F55="","",'Model inputs'!F55),"")</f>
      </c>
    </row>
    <row r="414">
      <c r="A414" t="inlineStr" s="14">
        <is>
          <t xml:space="preserve">Calculation</t>
        </is>
      </c>
      <c r="B414">
        <f>IF(IF(EXACT("Annual deal-team",'Model inputs'!O111)="",FALSE,EXACT("Annual deal-team",'Model inputs'!O111)),IF('Model inputs'!G51="","",'Model inputs'!G51),"")</f>
      </c>
    </row>
    <row r="415">
      <c r="A415" t="inlineStr" s="14">
        <is>
          <t xml:space="preserve">Calculation</t>
        </is>
      </c>
      <c r="B415">
        <f>IF(IF(EXACT("Hybrid",'Model inputs'!O111)="",FALSE,EXACT("Hybrid",'Model inputs'!O111)),IF('Model inputs'!G52="","",'Model inputs'!G52),"")</f>
      </c>
    </row>
    <row r="416">
      <c r="A416" t="inlineStr" s="14">
        <is>
          <t xml:space="preserve">Calculation</t>
        </is>
      </c>
      <c r="B416">
        <f>IF(IF(EXACT("Per audit — base",'Model inputs'!O111)="",FALSE,EXACT("Per audit — base",'Model inputs'!O111)),IF('Model inputs'!G53="","",'Model inputs'!G53),"")</f>
      </c>
    </row>
    <row r="417">
      <c r="A417" t="inlineStr" s="14">
        <is>
          <t xml:space="preserve">Calculation</t>
        </is>
      </c>
      <c r="B417">
        <f>IF(IF(EXACT("Per audit — high",'Model inputs'!O111)="",FALSE,EXACT("Per audit — high",'Model inputs'!O111)),IF('Model inputs'!G54="","",'Model inputs'!G54),"")</f>
      </c>
    </row>
    <row r="418">
      <c r="A418" t="inlineStr" s="14">
        <is>
          <t xml:space="preserve">Calculation</t>
        </is>
      </c>
      <c r="B418">
        <f>IF(IF(EXACT("Per audit — low",'Model inputs'!O111)="",FALSE,EXACT("Per audit — low",'Model inputs'!O111)),IF('Model inputs'!G55="","",'Model inputs'!G55),"")</f>
      </c>
    </row>
    <row r="419">
      <c r="A419" t="inlineStr" s="14">
        <is>
          <t xml:space="preserve">Calculation</t>
        </is>
      </c>
      <c r="B419">
        <f>IF(IF(EXACT("Annual deal-team",'Model inputs'!O111)="",FALSE,EXACT("Annual deal-team",'Model inputs'!O111)),IF('Model inputs'!H51="","",'Model inputs'!H51),"")</f>
      </c>
    </row>
    <row r="420">
      <c r="A420" t="inlineStr" s="14">
        <is>
          <t xml:space="preserve">Calculation</t>
        </is>
      </c>
      <c r="B420">
        <f>IF(IF(EXACT("Hybrid",'Model inputs'!O111)="",FALSE,EXACT("Hybrid",'Model inputs'!O111)),IF('Model inputs'!H52="","",'Model inputs'!H52),"")</f>
      </c>
    </row>
    <row r="421">
      <c r="A421" t="inlineStr" s="14">
        <is>
          <t xml:space="preserve">Calculation</t>
        </is>
      </c>
      <c r="B421">
        <f>IF(IF(EXACT("Per audit — base",'Model inputs'!O111)="",FALSE,EXACT("Per audit — base",'Model inputs'!O111)),IF('Model inputs'!H53="","",'Model inputs'!H53),"")</f>
      </c>
    </row>
    <row r="422">
      <c r="A422" t="inlineStr" s="14">
        <is>
          <t xml:space="preserve">Calculation</t>
        </is>
      </c>
      <c r="B422">
        <f>IF(IF(EXACT("Per audit — high",'Model inputs'!O111)="",FALSE,EXACT("Per audit — high",'Model inputs'!O111)),IF('Model inputs'!H54="","",'Model inputs'!H54),"")</f>
      </c>
    </row>
    <row r="423">
      <c r="A423" t="inlineStr" s="14">
        <is>
          <t xml:space="preserve">Calculation</t>
        </is>
      </c>
      <c r="B423">
        <f>IF(IF(EXACT("Per audit — low",'Model inputs'!O111)="",FALSE,EXACT("Per audit — low",'Model inputs'!O111)),IF('Model inputs'!H55="","",'Model inputs'!H55),"")</f>
      </c>
    </row>
    <row r="424">
      <c r="A424" t="inlineStr" s="14">
        <is>
          <t xml:space="preserve">Calculation</t>
        </is>
      </c>
      <c r="B424">
        <f>IF(IF(EXACT("Annual deal-team",'Model inputs'!O111)="",FALSE,EXACT("Annual deal-team",'Model inputs'!O111)),IF('Model inputs'!I51="","",'Model inputs'!I51),"")</f>
      </c>
    </row>
    <row r="425">
      <c r="A425" t="inlineStr" s="14">
        <is>
          <t xml:space="preserve">Calculation</t>
        </is>
      </c>
      <c r="B425">
        <f>IF(IF(EXACT("Hybrid",'Model inputs'!O111)="",FALSE,EXACT("Hybrid",'Model inputs'!O111)),IF('Model inputs'!I52="","",'Model inputs'!I52),"")</f>
      </c>
    </row>
    <row r="426">
      <c r="A426" t="inlineStr" s="14">
        <is>
          <t xml:space="preserve">Calculation</t>
        </is>
      </c>
      <c r="B426">
        <f>IF(IF(EXACT("Per audit — base",'Model inputs'!O111)="",FALSE,EXACT("Per audit — base",'Model inputs'!O111)),IF('Model inputs'!I53="","",'Model inputs'!I53),"")</f>
      </c>
    </row>
    <row r="427">
      <c r="A427" t="inlineStr" s="14">
        <is>
          <t xml:space="preserve">Calculation</t>
        </is>
      </c>
      <c r="B427">
        <f>IF(IF(EXACT("Per audit — high",'Model inputs'!O111)="",FALSE,EXACT("Per audit — high",'Model inputs'!O111)),IF('Model inputs'!I54="","",'Model inputs'!I54),"")</f>
      </c>
    </row>
    <row r="428">
      <c r="A428" t="inlineStr" s="14">
        <is>
          <t xml:space="preserve">Calculation</t>
        </is>
      </c>
      <c r="B428">
        <f>IF(IF(EXACT("Per audit — low",'Model inputs'!O111)="",FALSE,EXACT("Per audit — low",'Model inputs'!O111)),IF('Model inputs'!I55="","",'Model inputs'!I55),"")</f>
      </c>
    </row>
    <row r="429">
      <c r="A429" t="inlineStr" s="14">
        <is>
          <t xml:space="preserve">Calculation</t>
        </is>
      </c>
      <c r="B429">
        <f>IF(IF(EXACT("Annual deal-team",'Model inputs'!O111)="",FALSE,EXACT("Annual deal-team",'Model inputs'!O111)),IF('Model inputs'!J51="","",'Model inputs'!J51),"")</f>
      </c>
    </row>
    <row r="430">
      <c r="A430" t="inlineStr" s="14">
        <is>
          <t xml:space="preserve">Calculation</t>
        </is>
      </c>
      <c r="B430">
        <f>IF(IF(EXACT("Hybrid",'Model inputs'!O111)="",FALSE,EXACT("Hybrid",'Model inputs'!O111)),IF('Model inputs'!J52="","",'Model inputs'!J52),"")</f>
      </c>
    </row>
    <row r="431">
      <c r="A431" t="inlineStr" s="14">
        <is>
          <t xml:space="preserve">Calculation</t>
        </is>
      </c>
      <c r="B431">
        <f>IF(IF(EXACT("Per audit — base",'Model inputs'!O111)="",FALSE,EXACT("Per audit — base",'Model inputs'!O111)),IF('Model inputs'!J53="","",'Model inputs'!J53),"")</f>
      </c>
    </row>
    <row r="432">
      <c r="A432" t="inlineStr" s="14">
        <is>
          <t xml:space="preserve">Calculation</t>
        </is>
      </c>
      <c r="B432">
        <f>IF(IF(EXACT("Per audit — high",'Model inputs'!O111)="",FALSE,EXACT("Per audit — high",'Model inputs'!O111)),IF('Model inputs'!J54="","",'Model inputs'!J54),"")</f>
      </c>
    </row>
    <row r="433">
      <c r="A433" t="inlineStr" s="14">
        <is>
          <t xml:space="preserve">Calculation</t>
        </is>
      </c>
      <c r="B433">
        <f>IF(IF(EXACT("Per audit — low",'Model inputs'!O111)="",FALSE,EXACT("Per audit — low",'Model inputs'!O111)),IF('Model inputs'!J55="","",'Model inputs'!J55),"")</f>
      </c>
    </row>
    <row r="434">
      <c r="A434" t="inlineStr" s="14">
        <is>
          <t xml:space="preserve">Calculation</t>
        </is>
      </c>
      <c r="B434">
        <f>IF(IF(EXACT("Annual deal-team",'Model inputs'!O111)="",FALSE,EXACT("Annual deal-team",'Model inputs'!O111)),IF('Model inputs'!K51="","",'Model inputs'!K51),"")</f>
      </c>
    </row>
    <row r="435">
      <c r="A435" t="inlineStr" s="14">
        <is>
          <t xml:space="preserve">Calculation</t>
        </is>
      </c>
      <c r="B435">
        <f>IF(IF(EXACT("Hybrid",'Model inputs'!O111)="",FALSE,EXACT("Hybrid",'Model inputs'!O111)),IF('Model inputs'!K52="","",'Model inputs'!K52),"")</f>
      </c>
    </row>
    <row r="436">
      <c r="A436" t="inlineStr" s="14">
        <is>
          <t xml:space="preserve">Calculation</t>
        </is>
      </c>
      <c r="B436">
        <f>IF(IF(EXACT("Per audit — base",'Model inputs'!O111)="",FALSE,EXACT("Per audit — base",'Model inputs'!O111)),IF('Model inputs'!K53="","",'Model inputs'!K53),"")</f>
      </c>
    </row>
    <row r="437">
      <c r="A437" t="inlineStr" s="14">
        <is>
          <t xml:space="preserve">Calculation</t>
        </is>
      </c>
      <c r="B437">
        <f>IF(IF(EXACT("Per audit — high",'Model inputs'!O111)="",FALSE,EXACT("Per audit — high",'Model inputs'!O111)),IF('Model inputs'!K54="","",'Model inputs'!K54),"")</f>
      </c>
    </row>
    <row r="438">
      <c r="A438" t="inlineStr" s="14">
        <is>
          <t xml:space="preserve">Calculation</t>
        </is>
      </c>
      <c r="B438">
        <f>IF(IF(EXACT("Per audit — low",'Model inputs'!O111)="",FALSE,EXACT("Per audit — low",'Model inputs'!O111)),IF('Model inputs'!K55="","",'Model inputs'!K55),"")</f>
      </c>
    </row>
    <row r="439">
      <c r="A439" t="inlineStr" s="14">
        <is>
          <t xml:space="preserve">Calculation</t>
        </is>
      </c>
      <c r="B439">
        <f>IF(IF(EXACT("Annual deal-team",'Model inputs'!O111)="",FALSE,EXACT("Annual deal-team",'Model inputs'!O111)),IF('Model inputs'!L51="","",'Model inputs'!L51),"")</f>
      </c>
    </row>
    <row r="440">
      <c r="A440" t="inlineStr" s="14">
        <is>
          <t xml:space="preserve">Calculation</t>
        </is>
      </c>
      <c r="B440">
        <f>IF(IF(EXACT("Hybrid",'Model inputs'!O111)="",FALSE,EXACT("Hybrid",'Model inputs'!O111)),IF('Model inputs'!L52="","",'Model inputs'!L52),"")</f>
      </c>
    </row>
    <row r="441">
      <c r="A441" t="inlineStr" s="14">
        <is>
          <t xml:space="preserve">Calculation</t>
        </is>
      </c>
      <c r="B441">
        <f>IF(IF(EXACT("Per audit — base",'Model inputs'!O111)="",FALSE,EXACT("Per audit — base",'Model inputs'!O111)),IF('Model inputs'!L53="","",'Model inputs'!L53),"")</f>
      </c>
    </row>
    <row r="442">
      <c r="A442" t="inlineStr" s="14">
        <is>
          <t xml:space="preserve">Calculation</t>
        </is>
      </c>
      <c r="B442">
        <f>IF(IF(EXACT("Per audit — high",'Model inputs'!O111)="",FALSE,EXACT("Per audit — high",'Model inputs'!O111)),IF('Model inputs'!L54="","",'Model inputs'!L54),"")</f>
      </c>
    </row>
    <row r="443">
      <c r="A443" t="inlineStr" s="14">
        <is>
          <t xml:space="preserve">Calculation</t>
        </is>
      </c>
      <c r="B443">
        <f>IF(IF(EXACT("Per audit — low",'Model inputs'!O111)="",FALSE,EXACT("Per audit — low",'Model inputs'!O111)),IF('Model inputs'!L55="","",'Model inputs'!L55),"")</f>
      </c>
    </row>
    <row r="444">
      <c r="A444" t="inlineStr" s="14">
        <is>
          <t xml:space="preserve">Calculation</t>
        </is>
      </c>
      <c r="B444">
        <f>IF(IF(EXACT("Annual deal-team",'Model inputs'!O111)="",FALSE,EXACT("Annual deal-team",'Model inputs'!O111)),IF('Model inputs'!M51="","",'Model inputs'!M51),"")</f>
      </c>
    </row>
    <row r="445">
      <c r="A445" t="inlineStr" s="14">
        <is>
          <t xml:space="preserve">Calculation</t>
        </is>
      </c>
      <c r="B445">
        <f>IF(IF(EXACT("Hybrid",'Model inputs'!O111)="",FALSE,EXACT("Hybrid",'Model inputs'!O111)),IF('Model inputs'!M52="","",'Model inputs'!M52),"")</f>
      </c>
    </row>
    <row r="446">
      <c r="A446" t="inlineStr" s="14">
        <is>
          <t xml:space="preserve">Calculation</t>
        </is>
      </c>
      <c r="B446">
        <f>IF(IF(EXACT("Per audit — base",'Model inputs'!O111)="",FALSE,EXACT("Per audit — base",'Model inputs'!O111)),IF('Model inputs'!M53="","",'Model inputs'!M53),"")</f>
      </c>
    </row>
    <row r="447">
      <c r="A447" t="inlineStr" s="14">
        <is>
          <t xml:space="preserve">Calculation</t>
        </is>
      </c>
      <c r="B447">
        <f>IF(IF(EXACT("Per audit — high",'Model inputs'!O111)="",FALSE,EXACT("Per audit — high",'Model inputs'!O111)),IF('Model inputs'!M54="","",'Model inputs'!M54),"")</f>
      </c>
    </row>
    <row r="448">
      <c r="A448" t="inlineStr" s="14">
        <is>
          <t xml:space="preserve">Calculation</t>
        </is>
      </c>
      <c r="B448">
        <f>IF(IF(EXACT("Per audit — low",'Model inputs'!O111)="",FALSE,EXACT("Per audit — low",'Model inputs'!O111)),IF('Model inputs'!M55="","",'Model inputs'!M55),"")</f>
      </c>
    </row>
    <row r="449">
      <c r="A449" t="inlineStr" s="14">
        <is>
          <t xml:space="preserve">Calculation</t>
        </is>
      </c>
      <c r="B449">
        <f>IF(IF(EXACT("Annual deal-team",'Model inputs'!O111)="",FALSE,EXACT("Annual deal-team",'Model inputs'!O111)),IF('Model inputs'!N51="","",'Model inputs'!N51),"")</f>
      </c>
    </row>
    <row r="450">
      <c r="A450" t="inlineStr" s="14">
        <is>
          <t xml:space="preserve">Calculation</t>
        </is>
      </c>
      <c r="B450">
        <f>IF(IF(EXACT("Hybrid",'Model inputs'!O111)="",FALSE,EXACT("Hybrid",'Model inputs'!O111)),IF('Model inputs'!N52="","",'Model inputs'!N52),"")</f>
      </c>
    </row>
    <row r="451">
      <c r="A451" t="inlineStr" s="14">
        <is>
          <t xml:space="preserve">Calculation</t>
        </is>
      </c>
      <c r="B451">
        <f>IF(IF(EXACT("Per audit — base",'Model inputs'!O111)="",FALSE,EXACT("Per audit — base",'Model inputs'!O111)),IF('Model inputs'!N53="","",'Model inputs'!N53),"")</f>
      </c>
    </row>
    <row r="452">
      <c r="A452" t="inlineStr" s="14">
        <is>
          <t xml:space="preserve">Calculation</t>
        </is>
      </c>
      <c r="B452">
        <f>IF(IF(EXACT("Per audit — high",'Model inputs'!O111)="",FALSE,EXACT("Per audit — high",'Model inputs'!O111)),IF('Model inputs'!N54="","",'Model inputs'!N54),"")</f>
      </c>
    </row>
    <row r="453">
      <c r="A453" t="inlineStr" s="14">
        <is>
          <t xml:space="preserve">Calculation</t>
        </is>
      </c>
      <c r="B453">
        <f>IF(IF(EXACT("Per audit — low",'Model inputs'!O111)="",FALSE,EXACT("Per audit — low",'Model inputs'!O111)),IF('Model inputs'!N55="","",'Model inputs'!N55),"")</f>
      </c>
    </row>
    <row r="454">
      <c r="A454" t="inlineStr" s="14">
        <is>
          <t xml:space="preserve">Calculation</t>
        </is>
      </c>
      <c r="B454">
        <f>IF(IF(EXACT("Annual deal-team",'Model inputs'!O111)="",FALSE,EXACT("Annual deal-team",'Model inputs'!O111)),IF('Model inputs'!C74="","",'Model inputs'!C74),"")</f>
      </c>
    </row>
    <row r="455">
      <c r="A455" t="inlineStr" s="14">
        <is>
          <t xml:space="preserve">Calculation</t>
        </is>
      </c>
      <c r="B455">
        <f>IF(IF(EXACT("Hybrid",'Model inputs'!O111)="",FALSE,EXACT("Hybrid",'Model inputs'!O111)),IF('Model inputs'!C75="","",'Model inputs'!C75),"")</f>
      </c>
    </row>
    <row r="456">
      <c r="A456" t="inlineStr" s="14">
        <is>
          <t xml:space="preserve">Calculation</t>
        </is>
      </c>
      <c r="B456">
        <f>IF(IF(EXACT("Per audit — base",'Model inputs'!O111)="",FALSE,EXACT("Per audit — base",'Model inputs'!O111)),IF('Model inputs'!C76="","",'Model inputs'!C76),"")</f>
      </c>
    </row>
    <row r="457">
      <c r="A457" t="inlineStr" s="14">
        <is>
          <t xml:space="preserve">Calculation</t>
        </is>
      </c>
      <c r="B457">
        <f>IF(IF(EXACT("Per audit — high",'Model inputs'!O111)="",FALSE,EXACT("Per audit — high",'Model inputs'!O111)),IF('Model inputs'!C77="","",'Model inputs'!C77),"")</f>
      </c>
    </row>
    <row r="458">
      <c r="A458" t="inlineStr" s="14">
        <is>
          <t xml:space="preserve">Calculation</t>
        </is>
      </c>
      <c r="B458">
        <f>IF(IF(EXACT("Per audit — low",'Model inputs'!O111)="",FALSE,EXACT("Per audit — low",'Model inputs'!O111)),IF('Model inputs'!C78="","",'Model inputs'!C78),"")</f>
      </c>
    </row>
    <row r="459">
      <c r="A459" t="inlineStr" s="14">
        <is>
          <t xml:space="preserve">Calculation</t>
        </is>
      </c>
      <c r="B459">
        <f>IF(IF(EXACT("Annual deal-team",'Model inputs'!O111)="",FALSE,EXACT("Annual deal-team",'Model inputs'!O111)),IF('Model inputs'!D74="","",'Model inputs'!D74),"")</f>
      </c>
    </row>
    <row r="460">
      <c r="A460" t="inlineStr" s="14">
        <is>
          <t xml:space="preserve">Calculation</t>
        </is>
      </c>
      <c r="B460">
        <f>IF(IF(EXACT("Hybrid",'Model inputs'!O111)="",FALSE,EXACT("Hybrid",'Model inputs'!O111)),IF('Model inputs'!D75="","",'Model inputs'!D75),"")</f>
      </c>
    </row>
    <row r="461">
      <c r="A461" t="inlineStr" s="14">
        <is>
          <t xml:space="preserve">Calculation</t>
        </is>
      </c>
      <c r="B461">
        <f>IF(IF(EXACT("Per audit — base",'Model inputs'!O111)="",FALSE,EXACT("Per audit — base",'Model inputs'!O111)),IF('Model inputs'!D76="","",'Model inputs'!D76),"")</f>
      </c>
    </row>
    <row r="462">
      <c r="A462" t="inlineStr" s="14">
        <is>
          <t xml:space="preserve">Calculation</t>
        </is>
      </c>
      <c r="B462">
        <f>IF(IF(EXACT("Per audit — high",'Model inputs'!O111)="",FALSE,EXACT("Per audit — high",'Model inputs'!O111)),IF('Model inputs'!D77="","",'Model inputs'!D77),"")</f>
      </c>
    </row>
    <row r="463">
      <c r="A463" t="inlineStr" s="14">
        <is>
          <t xml:space="preserve">Calculation</t>
        </is>
      </c>
      <c r="B463">
        <f>IF(IF(EXACT("Per audit — low",'Model inputs'!O111)="",FALSE,EXACT("Per audit — low",'Model inputs'!O111)),IF('Model inputs'!D78="","",'Model inputs'!D78),"")</f>
      </c>
    </row>
    <row r="464">
      <c r="A464" t="inlineStr" s="14">
        <is>
          <t xml:space="preserve">Calculation</t>
        </is>
      </c>
      <c r="B464">
        <f>IF(IF(EXACT("Annual deal-team",'Model inputs'!O111)="",FALSE,EXACT("Annual deal-team",'Model inputs'!O111)),IF('Model inputs'!E74="","",'Model inputs'!E74),"")</f>
      </c>
    </row>
    <row r="465">
      <c r="A465" t="inlineStr" s="14">
        <is>
          <t xml:space="preserve">Calculation</t>
        </is>
      </c>
      <c r="B465">
        <f>IF(IF(EXACT("Hybrid",'Model inputs'!O111)="",FALSE,EXACT("Hybrid",'Model inputs'!O111)),IF('Model inputs'!E75="","",'Model inputs'!E75),"")</f>
      </c>
    </row>
    <row r="466">
      <c r="A466" t="inlineStr" s="14">
        <is>
          <t xml:space="preserve">Calculation</t>
        </is>
      </c>
      <c r="B466">
        <f>IF(IF(EXACT("Per audit — base",'Model inputs'!O111)="",FALSE,EXACT("Per audit — base",'Model inputs'!O111)),IF('Model inputs'!E76="","",'Model inputs'!E76),"")</f>
      </c>
    </row>
    <row r="467">
      <c r="A467" t="inlineStr" s="14">
        <is>
          <t xml:space="preserve">Calculation</t>
        </is>
      </c>
      <c r="B467">
        <f>IF(IF(EXACT("Per audit — high",'Model inputs'!O111)="",FALSE,EXACT("Per audit — high",'Model inputs'!O111)),IF('Model inputs'!E77="","",'Model inputs'!E77),"")</f>
      </c>
    </row>
    <row r="468">
      <c r="A468" t="inlineStr" s="14">
        <is>
          <t xml:space="preserve">Calculation</t>
        </is>
      </c>
      <c r="B468">
        <f>IF(IF(EXACT("Per audit — low",'Model inputs'!O111)="",FALSE,EXACT("Per audit — low",'Model inputs'!O111)),IF('Model inputs'!E78="","",'Model inputs'!E78),"")</f>
      </c>
    </row>
    <row r="469">
      <c r="A469" t="inlineStr" s="14">
        <is>
          <t xml:space="preserve">Calculation</t>
        </is>
      </c>
      <c r="B469">
        <f>IF(IF(EXACT("Annual deal-team",'Model inputs'!O111)="",FALSE,EXACT("Annual deal-team",'Model inputs'!O111)),IF('Model inputs'!F74="","",'Model inputs'!F74),"")</f>
      </c>
    </row>
    <row r="470">
      <c r="A470" t="inlineStr" s="14">
        <is>
          <t xml:space="preserve">Calculation</t>
        </is>
      </c>
      <c r="B470">
        <f>IF(IF(EXACT("Hybrid",'Model inputs'!O111)="",FALSE,EXACT("Hybrid",'Model inputs'!O111)),IF('Model inputs'!F75="","",'Model inputs'!F75),"")</f>
      </c>
    </row>
    <row r="471">
      <c r="A471" t="inlineStr" s="14">
        <is>
          <t xml:space="preserve">Calculation</t>
        </is>
      </c>
      <c r="B471">
        <f>IF(IF(EXACT("Per audit — base",'Model inputs'!O111)="",FALSE,EXACT("Per audit — base",'Model inputs'!O111)),IF('Model inputs'!F76="","",'Model inputs'!F76),"")</f>
      </c>
    </row>
    <row r="472">
      <c r="A472" t="inlineStr" s="14">
        <is>
          <t xml:space="preserve">Calculation</t>
        </is>
      </c>
      <c r="B472">
        <f>IF(IF(EXACT("Per audit — high",'Model inputs'!O111)="",FALSE,EXACT("Per audit — high",'Model inputs'!O111)),IF('Model inputs'!F77="","",'Model inputs'!F77),"")</f>
      </c>
    </row>
    <row r="473">
      <c r="A473" t="inlineStr" s="14">
        <is>
          <t xml:space="preserve">Calculation</t>
        </is>
      </c>
      <c r="B473">
        <f>IF(IF(EXACT("Per audit — low",'Model inputs'!O111)="",FALSE,EXACT("Per audit — low",'Model inputs'!O111)),IF('Model inputs'!F78="","",'Model inputs'!F78),"")</f>
      </c>
    </row>
    <row r="474">
      <c r="A474" t="inlineStr" s="14">
        <is>
          <t xml:space="preserve">Calculation</t>
        </is>
      </c>
      <c r="B474">
        <f>IF(IF(EXACT("Annual deal-team",'Model inputs'!O111)="",FALSE,EXACT("Annual deal-team",'Model inputs'!O111)),IF('Model inputs'!G74="","",'Model inputs'!G74),"")</f>
      </c>
    </row>
    <row r="475">
      <c r="A475" t="inlineStr" s="14">
        <is>
          <t xml:space="preserve">Calculation</t>
        </is>
      </c>
      <c r="B475">
        <f>IF(IF(EXACT("Hybrid",'Model inputs'!O111)="",FALSE,EXACT("Hybrid",'Model inputs'!O111)),IF('Model inputs'!G75="","",'Model inputs'!G75),"")</f>
      </c>
    </row>
    <row r="476">
      <c r="A476" t="inlineStr" s="14">
        <is>
          <t xml:space="preserve">Calculation</t>
        </is>
      </c>
      <c r="B476">
        <f>IF(IF(EXACT("Per audit — base",'Model inputs'!O111)="",FALSE,EXACT("Per audit — base",'Model inputs'!O111)),IF('Model inputs'!G76="","",'Model inputs'!G76),"")</f>
      </c>
    </row>
    <row r="477">
      <c r="A477" t="inlineStr" s="14">
        <is>
          <t xml:space="preserve">Calculation</t>
        </is>
      </c>
      <c r="B477">
        <f>IF(IF(EXACT("Per audit — high",'Model inputs'!O111)="",FALSE,EXACT("Per audit — high",'Model inputs'!O111)),IF('Model inputs'!G77="","",'Model inputs'!G77),"")</f>
      </c>
    </row>
    <row r="478">
      <c r="A478" t="inlineStr" s="14">
        <is>
          <t xml:space="preserve">Calculation</t>
        </is>
      </c>
      <c r="B478">
        <f>IF(IF(EXACT("Per audit — low",'Model inputs'!O111)="",FALSE,EXACT("Per audit — low",'Model inputs'!O111)),IF('Model inputs'!G78="","",'Model inputs'!G78),"")</f>
      </c>
    </row>
    <row r="479">
      <c r="A479" t="inlineStr" s="14">
        <is>
          <t xml:space="preserve">Calculation</t>
        </is>
      </c>
      <c r="B479">
        <f>IF(IF(EXACT("Annual deal-team",'Model inputs'!O111)="",FALSE,EXACT("Annual deal-team",'Model inputs'!O111)),IF('Model inputs'!H74="","",'Model inputs'!H74),"")</f>
      </c>
    </row>
    <row r="480">
      <c r="A480" t="inlineStr" s="14">
        <is>
          <t xml:space="preserve">Calculation</t>
        </is>
      </c>
      <c r="B480">
        <f>IF(IF(EXACT("Hybrid",'Model inputs'!O111)="",FALSE,EXACT("Hybrid",'Model inputs'!O111)),IF('Model inputs'!H75="","",'Model inputs'!H75),"")</f>
      </c>
    </row>
    <row r="481">
      <c r="A481" t="inlineStr" s="14">
        <is>
          <t xml:space="preserve">Calculation</t>
        </is>
      </c>
      <c r="B481">
        <f>IF(IF(EXACT("Per audit — base",'Model inputs'!O111)="",FALSE,EXACT("Per audit — base",'Model inputs'!O111)),IF('Model inputs'!H76="","",'Model inputs'!H76),"")</f>
      </c>
    </row>
    <row r="482">
      <c r="A482" t="inlineStr" s="14">
        <is>
          <t xml:space="preserve">Calculation</t>
        </is>
      </c>
      <c r="B482">
        <f>IF(IF(EXACT("Per audit — high",'Model inputs'!O111)="",FALSE,EXACT("Per audit — high",'Model inputs'!O111)),IF('Model inputs'!H77="","",'Model inputs'!H77),"")</f>
      </c>
    </row>
    <row r="483">
      <c r="A483" t="inlineStr" s="14">
        <is>
          <t xml:space="preserve">Calculation</t>
        </is>
      </c>
      <c r="B483">
        <f>IF(IF(EXACT("Per audit — low",'Model inputs'!O111)="",FALSE,EXACT("Per audit — low",'Model inputs'!O111)),IF('Model inputs'!H78="","",'Model inputs'!H78),"")</f>
      </c>
    </row>
    <row r="484">
      <c r="A484" t="inlineStr" s="14">
        <is>
          <t xml:space="preserve">Calculation</t>
        </is>
      </c>
      <c r="B484">
        <f>IF(IF(EXACT("Annual deal-team",'Model inputs'!O111)="",FALSE,EXACT("Annual deal-team",'Model inputs'!O111)),IF('Model inputs'!I74="","",'Model inputs'!I74),"")</f>
      </c>
    </row>
    <row r="485">
      <c r="A485" t="inlineStr" s="14">
        <is>
          <t xml:space="preserve">Calculation</t>
        </is>
      </c>
      <c r="B485">
        <f>IF(IF(EXACT("Hybrid",'Model inputs'!O111)="",FALSE,EXACT("Hybrid",'Model inputs'!O111)),IF('Model inputs'!I75="","",'Model inputs'!I75),"")</f>
      </c>
    </row>
    <row r="486">
      <c r="A486" t="inlineStr" s="14">
        <is>
          <t xml:space="preserve">Calculation</t>
        </is>
      </c>
      <c r="B486">
        <f>IF(IF(EXACT("Per audit — base",'Model inputs'!O111)="",FALSE,EXACT("Per audit — base",'Model inputs'!O111)),IF('Model inputs'!I76="","",'Model inputs'!I76),"")</f>
      </c>
    </row>
    <row r="487">
      <c r="A487" t="inlineStr" s="14">
        <is>
          <t xml:space="preserve">Calculation</t>
        </is>
      </c>
      <c r="B487">
        <f>IF(IF(EXACT("Per audit — high",'Model inputs'!O111)="",FALSE,EXACT("Per audit — high",'Model inputs'!O111)),IF('Model inputs'!I77="","",'Model inputs'!I77),"")</f>
      </c>
    </row>
    <row r="488">
      <c r="A488" t="inlineStr" s="14">
        <is>
          <t xml:space="preserve">Calculation</t>
        </is>
      </c>
      <c r="B488">
        <f>IF(IF(EXACT("Per audit — low",'Model inputs'!O111)="",FALSE,EXACT("Per audit — low",'Model inputs'!O111)),IF('Model inputs'!I78="","",'Model inputs'!I78),"")</f>
      </c>
    </row>
    <row r="489">
      <c r="A489" t="inlineStr" s="14">
        <is>
          <t xml:space="preserve">Calculation</t>
        </is>
      </c>
      <c r="B489">
        <f>IF(IF(EXACT("Annual deal-team",'Model inputs'!O111)="",FALSE,EXACT("Annual deal-team",'Model inputs'!O111)),IF('Model inputs'!J74="","",'Model inputs'!J74),"")</f>
      </c>
    </row>
    <row r="490">
      <c r="A490" t="inlineStr" s="14">
        <is>
          <t xml:space="preserve">Calculation</t>
        </is>
      </c>
      <c r="B490">
        <f>IF(IF(EXACT("Hybrid",'Model inputs'!O111)="",FALSE,EXACT("Hybrid",'Model inputs'!O111)),IF('Model inputs'!J75="","",'Model inputs'!J75),"")</f>
      </c>
    </row>
    <row r="491">
      <c r="A491" t="inlineStr" s="14">
        <is>
          <t xml:space="preserve">Calculation</t>
        </is>
      </c>
      <c r="B491">
        <f>IF(IF(EXACT("Per audit — base",'Model inputs'!O111)="",FALSE,EXACT("Per audit — base",'Model inputs'!O111)),IF('Model inputs'!J76="","",'Model inputs'!J76),"")</f>
      </c>
    </row>
    <row r="492">
      <c r="A492" t="inlineStr" s="14">
        <is>
          <t xml:space="preserve">Calculation</t>
        </is>
      </c>
      <c r="B492">
        <f>IF(IF(EXACT("Per audit — high",'Model inputs'!O111)="",FALSE,EXACT("Per audit — high",'Model inputs'!O111)),IF('Model inputs'!J77="","",'Model inputs'!J77),"")</f>
      </c>
    </row>
    <row r="493">
      <c r="A493" t="inlineStr" s="14">
        <is>
          <t xml:space="preserve">Calculation</t>
        </is>
      </c>
      <c r="B493">
        <f>IF(IF(EXACT("Per audit — low",'Model inputs'!O111)="",FALSE,EXACT("Per audit — low",'Model inputs'!O111)),IF('Model inputs'!J78="","",'Model inputs'!J78),"")</f>
      </c>
    </row>
    <row r="494">
      <c r="A494" t="inlineStr" s="14">
        <is>
          <t xml:space="preserve">Calculation</t>
        </is>
      </c>
      <c r="B494">
        <f>IF(IF(EXACT("Annual deal-team",'Model inputs'!O111)="",FALSE,EXACT("Annual deal-team",'Model inputs'!O111)),IF('Model inputs'!K74="","",'Model inputs'!K74),"")</f>
      </c>
    </row>
    <row r="495">
      <c r="A495" t="inlineStr" s="14">
        <is>
          <t xml:space="preserve">Calculation</t>
        </is>
      </c>
      <c r="B495">
        <f>IF(IF(EXACT("Hybrid",'Model inputs'!O111)="",FALSE,EXACT("Hybrid",'Model inputs'!O111)),IF('Model inputs'!K75="","",'Model inputs'!K75),"")</f>
      </c>
    </row>
    <row r="496">
      <c r="A496" t="inlineStr" s="14">
        <is>
          <t xml:space="preserve">Calculation</t>
        </is>
      </c>
      <c r="B496">
        <f>IF(IF(EXACT("Per audit — base",'Model inputs'!O111)="",FALSE,EXACT("Per audit — base",'Model inputs'!O111)),IF('Model inputs'!K76="","",'Model inputs'!K76),"")</f>
      </c>
    </row>
    <row r="497">
      <c r="A497" t="inlineStr" s="14">
        <is>
          <t xml:space="preserve">Calculation</t>
        </is>
      </c>
      <c r="B497">
        <f>IF(IF(EXACT("Per audit — high",'Model inputs'!O111)="",FALSE,EXACT("Per audit — high",'Model inputs'!O111)),IF('Model inputs'!K77="","",'Model inputs'!K77),"")</f>
      </c>
    </row>
    <row r="498">
      <c r="A498" t="inlineStr" s="14">
        <is>
          <t xml:space="preserve">Calculation</t>
        </is>
      </c>
      <c r="B498">
        <f>IF(IF(EXACT("Per audit — low",'Model inputs'!O111)="",FALSE,EXACT("Per audit — low",'Model inputs'!O111)),IF('Model inputs'!K78="","",'Model inputs'!K78),"")</f>
      </c>
    </row>
    <row r="499">
      <c r="A499" t="inlineStr" s="14">
        <is>
          <t xml:space="preserve">Calculation</t>
        </is>
      </c>
      <c r="B499">
        <f>IF(IF(EXACT("Annual deal-team",'Model inputs'!O111)="",FALSE,EXACT("Annual deal-team",'Model inputs'!O111)),IF('Model inputs'!L74="","",'Model inputs'!L74),"")</f>
      </c>
    </row>
    <row r="500">
      <c r="A500" t="inlineStr" s="14">
        <is>
          <t xml:space="preserve">Calculation</t>
        </is>
      </c>
      <c r="B500">
        <f>IF(IF(EXACT("Hybrid",'Model inputs'!O111)="",FALSE,EXACT("Hybrid",'Model inputs'!O111)),IF('Model inputs'!L75="","",'Model inputs'!L75),"")</f>
      </c>
    </row>
    <row r="501">
      <c r="A501" t="inlineStr" s="14">
        <is>
          <t xml:space="preserve">Calculation</t>
        </is>
      </c>
      <c r="B501">
        <f>IF(IF(EXACT("Per audit — base",'Model inputs'!O111)="",FALSE,EXACT("Per audit — base",'Model inputs'!O111)),IF('Model inputs'!L76="","",'Model inputs'!L76),"")</f>
      </c>
    </row>
    <row r="502">
      <c r="A502" t="inlineStr" s="14">
        <is>
          <t xml:space="preserve">Calculation</t>
        </is>
      </c>
      <c r="B502">
        <f>IF(IF(EXACT("Per audit — high",'Model inputs'!O111)="",FALSE,EXACT("Per audit — high",'Model inputs'!O111)),IF('Model inputs'!L77="","",'Model inputs'!L77),"")</f>
      </c>
    </row>
    <row r="503">
      <c r="A503" t="inlineStr" s="14">
        <is>
          <t xml:space="preserve">Calculation</t>
        </is>
      </c>
      <c r="B503">
        <f>IF(IF(EXACT("Per audit — low",'Model inputs'!O111)="",FALSE,EXACT("Per audit — low",'Model inputs'!O111)),IF('Model inputs'!L78="","",'Model inputs'!L78),"")</f>
      </c>
    </row>
    <row r="504">
      <c r="A504" t="inlineStr" s="14">
        <is>
          <t xml:space="preserve">Calculation</t>
        </is>
      </c>
      <c r="B504">
        <f>IF(IF(EXACT("Annual deal-team",'Model inputs'!O111)="",FALSE,EXACT("Annual deal-team",'Model inputs'!O111)),IF('Model inputs'!M74="","",'Model inputs'!M74),"")</f>
      </c>
    </row>
    <row r="505">
      <c r="A505" t="inlineStr" s="14">
        <is>
          <t xml:space="preserve">Calculation</t>
        </is>
      </c>
      <c r="B505">
        <f>IF(IF(EXACT("Hybrid",'Model inputs'!O111)="",FALSE,EXACT("Hybrid",'Model inputs'!O111)),IF('Model inputs'!M75="","",'Model inputs'!M75),"")</f>
      </c>
    </row>
    <row r="506">
      <c r="A506" t="inlineStr" s="14">
        <is>
          <t xml:space="preserve">Calculation</t>
        </is>
      </c>
      <c r="B506">
        <f>IF(IF(EXACT("Per audit — base",'Model inputs'!O111)="",FALSE,EXACT("Per audit — base",'Model inputs'!O111)),IF('Model inputs'!M76="","",'Model inputs'!M76),"")</f>
      </c>
    </row>
    <row r="507">
      <c r="A507" t="inlineStr" s="14">
        <is>
          <t xml:space="preserve">Calculation</t>
        </is>
      </c>
      <c r="B507">
        <f>IF(IF(EXACT("Per audit — high",'Model inputs'!O111)="",FALSE,EXACT("Per audit — high",'Model inputs'!O111)),IF('Model inputs'!M77="","",'Model inputs'!M77),"")</f>
      </c>
    </row>
    <row r="508">
      <c r="A508" t="inlineStr" s="14">
        <is>
          <t xml:space="preserve">Calculation</t>
        </is>
      </c>
      <c r="B508">
        <f>IF(IF(EXACT("Per audit — low",'Model inputs'!O111)="",FALSE,EXACT("Per audit — low",'Model inputs'!O111)),IF('Model inputs'!M78="","",'Model inputs'!M78),"")</f>
      </c>
    </row>
    <row r="509">
      <c r="A509" t="inlineStr" s="14">
        <is>
          <t xml:space="preserve">Calculation</t>
        </is>
      </c>
      <c r="B509">
        <f>IF(IF(EXACT("Annual deal-team",'Model inputs'!O111)="",FALSE,EXACT("Annual deal-team",'Model inputs'!O111)),IF('Model inputs'!N74="","",'Model inputs'!N74),"")</f>
      </c>
    </row>
    <row r="510">
      <c r="A510" t="inlineStr" s="14">
        <is>
          <t xml:space="preserve">Calculation</t>
        </is>
      </c>
      <c r="B510">
        <f>IF(IF(EXACT("Hybrid",'Model inputs'!O111)="",FALSE,EXACT("Hybrid",'Model inputs'!O111)),IF('Model inputs'!N75="","",'Model inputs'!N75),"")</f>
      </c>
    </row>
    <row r="511">
      <c r="A511" t="inlineStr" s="14">
        <is>
          <t xml:space="preserve">Calculation</t>
        </is>
      </c>
      <c r="B511">
        <f>IF(IF(EXACT("Per audit — base",'Model inputs'!O111)="",FALSE,EXACT("Per audit — base",'Model inputs'!O111)),IF('Model inputs'!N76="","",'Model inputs'!N76),"")</f>
      </c>
    </row>
    <row r="512">
      <c r="A512" t="inlineStr" s="14">
        <is>
          <t xml:space="preserve">Calculation</t>
        </is>
      </c>
      <c r="B512">
        <f>IF(IF(EXACT("Per audit — high",'Model inputs'!O111)="",FALSE,EXACT("Per audit — high",'Model inputs'!O111)),IF('Model inputs'!N77="","",'Model inputs'!N77),"")</f>
      </c>
    </row>
    <row r="513">
      <c r="A513" t="inlineStr" s="14">
        <is>
          <t xml:space="preserve">Calculation</t>
        </is>
      </c>
      <c r="B513">
        <f>IF(IF(EXACT("Per audit — low",'Model inputs'!O111)="",FALSE,EXACT("Per audit — low",'Model inputs'!O111)),IF('Model inputs'!N78="","",'Model inputs'!N78),"")</f>
      </c>
    </row>
    <row r="514">
      <c r="A514" t="inlineStr" s="14">
        <is>
          <t xml:space="preserve">Calculation</t>
        </is>
      </c>
      <c r="B514">
        <f>IF(IF(EXACT("Annual deal-team",'Model inputs'!O111)="",FALSE,EXACT("Annual deal-team",'Model inputs'!O111)),IF('Model inputs'!C68="","",'Model inputs'!C68),"")</f>
      </c>
    </row>
    <row r="515">
      <c r="A515" t="inlineStr" s="14">
        <is>
          <t xml:space="preserve">Calculation</t>
        </is>
      </c>
      <c r="B515">
        <f>IF(IF(EXACT("Hybrid",'Model inputs'!O111)="",FALSE,EXACT("Hybrid",'Model inputs'!O111)),IF('Model inputs'!C69="","",'Model inputs'!C69),"")</f>
      </c>
    </row>
    <row r="516">
      <c r="A516" t="inlineStr" s="14">
        <is>
          <t xml:space="preserve">Calculation</t>
        </is>
      </c>
      <c r="B516">
        <f>IF(IF(EXACT("Per audit — base",'Model inputs'!O111)="",FALSE,EXACT("Per audit — base",'Model inputs'!O111)),IF('Model inputs'!C70="","",'Model inputs'!C70),"")</f>
      </c>
    </row>
    <row r="517">
      <c r="A517" t="inlineStr" s="14">
        <is>
          <t xml:space="preserve">Calculation</t>
        </is>
      </c>
      <c r="B517">
        <f>IF(IF(EXACT("Per audit — high",'Model inputs'!O111)="",FALSE,EXACT("Per audit — high",'Model inputs'!O111)),IF('Model inputs'!C71="","",'Model inputs'!C71),"")</f>
      </c>
    </row>
    <row r="518">
      <c r="A518" t="inlineStr" s="14">
        <is>
          <t xml:space="preserve">Calculation</t>
        </is>
      </c>
      <c r="B518">
        <f>IF(IF(EXACT("Per audit — low",'Model inputs'!O111)="",FALSE,EXACT("Per audit — low",'Model inputs'!O111)),IF('Model inputs'!C72="","",'Model inputs'!C72),"")</f>
      </c>
    </row>
    <row r="519">
      <c r="A519" t="inlineStr" s="14">
        <is>
          <t xml:space="preserve">Calculation</t>
        </is>
      </c>
      <c r="B519">
        <f>IF(IF(EXACT("Annual deal-team",'Model inputs'!O111)="",FALSE,EXACT("Annual deal-team",'Model inputs'!O111)),IF('Model inputs'!D68="","",'Model inputs'!D68),"")</f>
      </c>
    </row>
    <row r="520">
      <c r="A520" t="inlineStr" s="14">
        <is>
          <t xml:space="preserve">Calculation</t>
        </is>
      </c>
      <c r="B520">
        <f>IF(IF(EXACT("Hybrid",'Model inputs'!O111)="",FALSE,EXACT("Hybrid",'Model inputs'!O111)),IF('Model inputs'!D69="","",'Model inputs'!D69),"")</f>
      </c>
    </row>
    <row r="521">
      <c r="A521" t="inlineStr" s="14">
        <is>
          <t xml:space="preserve">Calculation</t>
        </is>
      </c>
      <c r="B521">
        <f>IF(IF(EXACT("Per audit — base",'Model inputs'!O111)="",FALSE,EXACT("Per audit — base",'Model inputs'!O111)),IF('Model inputs'!D70="","",'Model inputs'!D70),"")</f>
      </c>
    </row>
    <row r="522">
      <c r="A522" t="inlineStr" s="14">
        <is>
          <t xml:space="preserve">Calculation</t>
        </is>
      </c>
      <c r="B522">
        <f>IF(IF(EXACT("Per audit — high",'Model inputs'!O111)="",FALSE,EXACT("Per audit — high",'Model inputs'!O111)),IF('Model inputs'!D71="","",'Model inputs'!D71),"")</f>
      </c>
    </row>
    <row r="523">
      <c r="A523" t="inlineStr" s="14">
        <is>
          <t xml:space="preserve">Calculation</t>
        </is>
      </c>
      <c r="B523">
        <f>IF(IF(EXACT("Per audit — low",'Model inputs'!O111)="",FALSE,EXACT("Per audit — low",'Model inputs'!O111)),IF('Model inputs'!D72="","",'Model inputs'!D72),"")</f>
      </c>
    </row>
    <row r="524">
      <c r="A524" t="inlineStr" s="14">
        <is>
          <t xml:space="preserve">Calculation</t>
        </is>
      </c>
      <c r="B524">
        <f>IF(IF(EXACT("Annual deal-team",'Model inputs'!O111)="",FALSE,EXACT("Annual deal-team",'Model inputs'!O111)),IF('Model inputs'!E68="","",'Model inputs'!E68),"")</f>
      </c>
    </row>
    <row r="525">
      <c r="A525" t="inlineStr" s="14">
        <is>
          <t xml:space="preserve">Calculation</t>
        </is>
      </c>
      <c r="B525">
        <f>IF(IF(EXACT("Hybrid",'Model inputs'!O111)="",FALSE,EXACT("Hybrid",'Model inputs'!O111)),IF('Model inputs'!E69="","",'Model inputs'!E69),"")</f>
      </c>
    </row>
    <row r="526">
      <c r="A526" t="inlineStr" s="14">
        <is>
          <t xml:space="preserve">Calculation</t>
        </is>
      </c>
      <c r="B526">
        <f>IF(IF(EXACT("Per audit — base",'Model inputs'!O111)="",FALSE,EXACT("Per audit — base",'Model inputs'!O111)),IF('Model inputs'!E70="","",'Model inputs'!E70),"")</f>
      </c>
    </row>
    <row r="527">
      <c r="A527" t="inlineStr" s="14">
        <is>
          <t xml:space="preserve">Calculation</t>
        </is>
      </c>
      <c r="B527">
        <f>IF(IF(EXACT("Per audit — high",'Model inputs'!O111)="",FALSE,EXACT("Per audit — high",'Model inputs'!O111)),IF('Model inputs'!E71="","",'Model inputs'!E71),"")</f>
      </c>
    </row>
    <row r="528">
      <c r="A528" t="inlineStr" s="14">
        <is>
          <t xml:space="preserve">Calculation</t>
        </is>
      </c>
      <c r="B528">
        <f>IF(IF(EXACT("Per audit — low",'Model inputs'!O111)="",FALSE,EXACT("Per audit — low",'Model inputs'!O111)),IF('Model inputs'!E72="","",'Model inputs'!E72),"")</f>
      </c>
    </row>
    <row r="529">
      <c r="A529" t="inlineStr" s="14">
        <is>
          <t xml:space="preserve">Calculation</t>
        </is>
      </c>
      <c r="B529">
        <f>IF(IF(EXACT("Annual deal-team",'Model inputs'!O111)="",FALSE,EXACT("Annual deal-team",'Model inputs'!O111)),IF('Model inputs'!F68="","",'Model inputs'!F68),"")</f>
      </c>
    </row>
    <row r="530">
      <c r="A530" t="inlineStr" s="14">
        <is>
          <t xml:space="preserve">Calculation</t>
        </is>
      </c>
      <c r="B530">
        <f>IF(IF(EXACT("Hybrid",'Model inputs'!O111)="",FALSE,EXACT("Hybrid",'Model inputs'!O111)),IF('Model inputs'!F69="","",'Model inputs'!F69),"")</f>
      </c>
    </row>
    <row r="531">
      <c r="A531" t="inlineStr" s="14">
        <is>
          <t xml:space="preserve">Calculation</t>
        </is>
      </c>
      <c r="B531">
        <f>IF(IF(EXACT("Per audit — base",'Model inputs'!O111)="",FALSE,EXACT("Per audit — base",'Model inputs'!O111)),IF('Model inputs'!F70="","",'Model inputs'!F70),"")</f>
      </c>
    </row>
    <row r="532">
      <c r="A532" t="inlineStr" s="14">
        <is>
          <t xml:space="preserve">Calculation</t>
        </is>
      </c>
      <c r="B532">
        <f>IF(IF(EXACT("Per audit — high",'Model inputs'!O111)="",FALSE,EXACT("Per audit — high",'Model inputs'!O111)),IF('Model inputs'!F71="","",'Model inputs'!F71),"")</f>
      </c>
    </row>
    <row r="533">
      <c r="A533" t="inlineStr" s="14">
        <is>
          <t xml:space="preserve">Calculation</t>
        </is>
      </c>
      <c r="B533">
        <f>IF(IF(EXACT("Per audit — low",'Model inputs'!O111)="",FALSE,EXACT("Per audit — low",'Model inputs'!O111)),IF('Model inputs'!F72="","",'Model inputs'!F72),"")</f>
      </c>
    </row>
    <row r="534">
      <c r="A534" t="inlineStr" s="14">
        <is>
          <t xml:space="preserve">Calculation</t>
        </is>
      </c>
      <c r="B534">
        <f>IF(IF(EXACT("Annual deal-team",'Model inputs'!O111)="",FALSE,EXACT("Annual deal-team",'Model inputs'!O111)),IF('Model inputs'!G68="","",'Model inputs'!G68),"")</f>
      </c>
    </row>
    <row r="535">
      <c r="A535" t="inlineStr" s="14">
        <is>
          <t xml:space="preserve">Calculation</t>
        </is>
      </c>
      <c r="B535">
        <f>IF(IF(EXACT("Hybrid",'Model inputs'!O111)="",FALSE,EXACT("Hybrid",'Model inputs'!O111)),IF('Model inputs'!G69="","",'Model inputs'!G69),"")</f>
      </c>
    </row>
    <row r="536">
      <c r="A536" t="inlineStr" s="14">
        <is>
          <t xml:space="preserve">Calculation</t>
        </is>
      </c>
      <c r="B536">
        <f>IF(IF(EXACT("Per audit — base",'Model inputs'!O111)="",FALSE,EXACT("Per audit — base",'Model inputs'!O111)),IF('Model inputs'!G70="","",'Model inputs'!G70),"")</f>
      </c>
    </row>
    <row r="537">
      <c r="A537" t="inlineStr" s="14">
        <is>
          <t xml:space="preserve">Calculation</t>
        </is>
      </c>
      <c r="B537">
        <f>IF(IF(EXACT("Per audit — high",'Model inputs'!O111)="",FALSE,EXACT("Per audit — high",'Model inputs'!O111)),IF('Model inputs'!G71="","",'Model inputs'!G71),"")</f>
      </c>
    </row>
    <row r="538">
      <c r="A538" t="inlineStr" s="14">
        <is>
          <t xml:space="preserve">Calculation</t>
        </is>
      </c>
      <c r="B538">
        <f>IF(IF(EXACT("Per audit — low",'Model inputs'!O111)="",FALSE,EXACT("Per audit — low",'Model inputs'!O111)),IF('Model inputs'!G72="","",'Model inputs'!G72),"")</f>
      </c>
    </row>
    <row r="539">
      <c r="A539" t="inlineStr" s="14">
        <is>
          <t xml:space="preserve">Calculation</t>
        </is>
      </c>
      <c r="B539">
        <f>IF(IF(EXACT("Annual deal-team",'Model inputs'!O111)="",FALSE,EXACT("Annual deal-team",'Model inputs'!O111)),IF('Model inputs'!H68="","",'Model inputs'!H68),"")</f>
      </c>
    </row>
    <row r="540">
      <c r="A540" t="inlineStr" s="14">
        <is>
          <t xml:space="preserve">Calculation</t>
        </is>
      </c>
      <c r="B540">
        <f>IF(IF(EXACT("Hybrid",'Model inputs'!O111)="",FALSE,EXACT("Hybrid",'Model inputs'!O111)),IF('Model inputs'!H69="","",'Model inputs'!H69),"")</f>
      </c>
    </row>
    <row r="541">
      <c r="A541" t="inlineStr" s="14">
        <is>
          <t xml:space="preserve">Calculation</t>
        </is>
      </c>
      <c r="B541">
        <f>IF(IF(EXACT("Per audit — base",'Model inputs'!O111)="",FALSE,EXACT("Per audit — base",'Model inputs'!O111)),IF('Model inputs'!H70="","",'Model inputs'!H70),"")</f>
      </c>
    </row>
    <row r="542">
      <c r="A542" t="inlineStr" s="14">
        <is>
          <t xml:space="preserve">Calculation</t>
        </is>
      </c>
      <c r="B542">
        <f>IF(IF(EXACT("Per audit — high",'Model inputs'!O111)="",FALSE,EXACT("Per audit — high",'Model inputs'!O111)),IF('Model inputs'!H71="","",'Model inputs'!H71),"")</f>
      </c>
    </row>
    <row r="543">
      <c r="A543" t="inlineStr" s="14">
        <is>
          <t xml:space="preserve">Calculation</t>
        </is>
      </c>
      <c r="B543">
        <f>IF(IF(EXACT("Per audit — low",'Model inputs'!O111)="",FALSE,EXACT("Per audit — low",'Model inputs'!O111)),IF('Model inputs'!H72="","",'Model inputs'!H72),"")</f>
      </c>
    </row>
    <row r="544">
      <c r="A544" t="inlineStr" s="14">
        <is>
          <t xml:space="preserve">Calculation</t>
        </is>
      </c>
      <c r="B544">
        <f>IF(IF(EXACT("Annual deal-team",'Model inputs'!O111)="",FALSE,EXACT("Annual deal-team",'Model inputs'!O111)),IF('Model inputs'!I68="","",'Model inputs'!I68),"")</f>
      </c>
    </row>
    <row r="545">
      <c r="A545" t="inlineStr" s="14">
        <is>
          <t xml:space="preserve">Calculation</t>
        </is>
      </c>
      <c r="B545">
        <f>IF(IF(EXACT("Hybrid",'Model inputs'!O111)="",FALSE,EXACT("Hybrid",'Model inputs'!O111)),IF('Model inputs'!I69="","",'Model inputs'!I69),"")</f>
      </c>
    </row>
    <row r="546">
      <c r="A546" t="inlineStr" s="14">
        <is>
          <t xml:space="preserve">Calculation</t>
        </is>
      </c>
      <c r="B546">
        <f>IF(IF(EXACT("Per audit — base",'Model inputs'!O111)="",FALSE,EXACT("Per audit — base",'Model inputs'!O111)),IF('Model inputs'!I70="","",'Model inputs'!I70),"")</f>
      </c>
    </row>
    <row r="547">
      <c r="A547" t="inlineStr" s="14">
        <is>
          <t xml:space="preserve">Calculation</t>
        </is>
      </c>
      <c r="B547">
        <f>IF(IF(EXACT("Per audit — high",'Model inputs'!O111)="",FALSE,EXACT("Per audit — high",'Model inputs'!O111)),IF('Model inputs'!I71="","",'Model inputs'!I71),"")</f>
      </c>
    </row>
    <row r="548">
      <c r="A548" t="inlineStr" s="14">
        <is>
          <t xml:space="preserve">Calculation</t>
        </is>
      </c>
      <c r="B548">
        <f>IF(IF(EXACT("Per audit — low",'Model inputs'!O111)="",FALSE,EXACT("Per audit — low",'Model inputs'!O111)),IF('Model inputs'!I72="","",'Model inputs'!I72),"")</f>
      </c>
    </row>
    <row r="549">
      <c r="A549" t="inlineStr" s="14">
        <is>
          <t xml:space="preserve">Calculation</t>
        </is>
      </c>
      <c r="B549">
        <f>IF(IF(EXACT("Annual deal-team",'Model inputs'!O111)="",FALSE,EXACT("Annual deal-team",'Model inputs'!O111)),IF('Model inputs'!J68="","",'Model inputs'!J68),"")</f>
      </c>
    </row>
    <row r="550">
      <c r="A550" t="inlineStr" s="14">
        <is>
          <t xml:space="preserve">Calculation</t>
        </is>
      </c>
      <c r="B550">
        <f>IF(IF(EXACT("Hybrid",'Model inputs'!O111)="",FALSE,EXACT("Hybrid",'Model inputs'!O111)),IF('Model inputs'!J69="","",'Model inputs'!J69),"")</f>
      </c>
    </row>
    <row r="551">
      <c r="A551" t="inlineStr" s="14">
        <is>
          <t xml:space="preserve">Calculation</t>
        </is>
      </c>
      <c r="B551">
        <f>IF(IF(EXACT("Per audit — base",'Model inputs'!O111)="",FALSE,EXACT("Per audit — base",'Model inputs'!O111)),IF('Model inputs'!J70="","",'Model inputs'!J70),"")</f>
      </c>
    </row>
    <row r="552">
      <c r="A552" t="inlineStr" s="14">
        <is>
          <t xml:space="preserve">Calculation</t>
        </is>
      </c>
      <c r="B552">
        <f>IF(IF(EXACT("Per audit — high",'Model inputs'!O111)="",FALSE,EXACT("Per audit — high",'Model inputs'!O111)),IF('Model inputs'!J71="","",'Model inputs'!J71),"")</f>
      </c>
    </row>
    <row r="553">
      <c r="A553" t="inlineStr" s="14">
        <is>
          <t xml:space="preserve">Calculation</t>
        </is>
      </c>
      <c r="B553">
        <f>IF(IF(EXACT("Per audit — low",'Model inputs'!O111)="",FALSE,EXACT("Per audit — low",'Model inputs'!O111)),IF('Model inputs'!J72="","",'Model inputs'!J72),"")</f>
      </c>
    </row>
    <row r="554">
      <c r="A554" t="inlineStr" s="14">
        <is>
          <t xml:space="preserve">Calculation</t>
        </is>
      </c>
      <c r="B554">
        <f>IF(IF(EXACT("Annual deal-team",'Model inputs'!O111)="",FALSE,EXACT("Annual deal-team",'Model inputs'!O111)),IF('Model inputs'!K68="","",'Model inputs'!K68),"")</f>
      </c>
    </row>
    <row r="555">
      <c r="A555" t="inlineStr" s="14">
        <is>
          <t xml:space="preserve">Calculation</t>
        </is>
      </c>
      <c r="B555">
        <f>IF(IF(EXACT("Hybrid",'Model inputs'!O111)="",FALSE,EXACT("Hybrid",'Model inputs'!O111)),IF('Model inputs'!K69="","",'Model inputs'!K69),"")</f>
      </c>
    </row>
    <row r="556">
      <c r="A556" t="inlineStr" s="14">
        <is>
          <t xml:space="preserve">Calculation</t>
        </is>
      </c>
      <c r="B556">
        <f>IF(IF(EXACT("Per audit — base",'Model inputs'!O111)="",FALSE,EXACT("Per audit — base",'Model inputs'!O111)),IF('Model inputs'!K70="","",'Model inputs'!K70),"")</f>
      </c>
    </row>
    <row r="557">
      <c r="A557" t="inlineStr" s="14">
        <is>
          <t xml:space="preserve">Calculation</t>
        </is>
      </c>
      <c r="B557">
        <f>IF(IF(EXACT("Per audit — high",'Model inputs'!O111)="",FALSE,EXACT("Per audit — high",'Model inputs'!O111)),IF('Model inputs'!K71="","",'Model inputs'!K71),"")</f>
      </c>
    </row>
    <row r="558">
      <c r="A558" t="inlineStr" s="14">
        <is>
          <t xml:space="preserve">Calculation</t>
        </is>
      </c>
      <c r="B558">
        <f>IF(IF(EXACT("Per audit — low",'Model inputs'!O111)="",FALSE,EXACT("Per audit — low",'Model inputs'!O111)),IF('Model inputs'!K72="","",'Model inputs'!K72),"")</f>
      </c>
    </row>
    <row r="559">
      <c r="A559" t="inlineStr" s="14">
        <is>
          <t xml:space="preserve">Calculation</t>
        </is>
      </c>
      <c r="B559">
        <f>IF(IF(EXACT("Annual deal-team",'Model inputs'!O111)="",FALSE,EXACT("Annual deal-team",'Model inputs'!O111)),IF('Model inputs'!L68="","",'Model inputs'!L68),"")</f>
      </c>
    </row>
    <row r="560">
      <c r="A560" t="inlineStr" s="14">
        <is>
          <t xml:space="preserve">Calculation</t>
        </is>
      </c>
      <c r="B560">
        <f>IF(IF(EXACT("Hybrid",'Model inputs'!O111)="",FALSE,EXACT("Hybrid",'Model inputs'!O111)),IF('Model inputs'!L69="","",'Model inputs'!L69),"")</f>
      </c>
    </row>
    <row r="561">
      <c r="A561" t="inlineStr" s="14">
        <is>
          <t xml:space="preserve">Calculation</t>
        </is>
      </c>
      <c r="B561">
        <f>IF(IF(EXACT("Per audit — base",'Model inputs'!O111)="",FALSE,EXACT("Per audit — base",'Model inputs'!O111)),IF('Model inputs'!L70="","",'Model inputs'!L70),"")</f>
      </c>
    </row>
    <row r="562">
      <c r="A562" t="inlineStr" s="14">
        <is>
          <t xml:space="preserve">Calculation</t>
        </is>
      </c>
      <c r="B562">
        <f>IF(IF(EXACT("Per audit — high",'Model inputs'!O111)="",FALSE,EXACT("Per audit — high",'Model inputs'!O111)),IF('Model inputs'!L71="","",'Model inputs'!L71),"")</f>
      </c>
    </row>
    <row r="563">
      <c r="A563" t="inlineStr" s="14">
        <is>
          <t xml:space="preserve">Calculation</t>
        </is>
      </c>
      <c r="B563">
        <f>IF(IF(EXACT("Per audit — low",'Model inputs'!O111)="",FALSE,EXACT("Per audit — low",'Model inputs'!O111)),IF('Model inputs'!L72="","",'Model inputs'!L72),"")</f>
      </c>
    </row>
    <row r="564">
      <c r="A564" t="inlineStr" s="14">
        <is>
          <t xml:space="preserve">Calculation</t>
        </is>
      </c>
      <c r="B564">
        <f>IF(IF(EXACT("Annual deal-team",'Model inputs'!O111)="",FALSE,EXACT("Annual deal-team",'Model inputs'!O111)),IF('Model inputs'!M68="","",'Model inputs'!M68),"")</f>
      </c>
    </row>
    <row r="565">
      <c r="A565" t="inlineStr" s="14">
        <is>
          <t xml:space="preserve">Calculation</t>
        </is>
      </c>
      <c r="B565">
        <f>IF(IF(EXACT("Hybrid",'Model inputs'!O111)="",FALSE,EXACT("Hybrid",'Model inputs'!O111)),IF('Model inputs'!M69="","",'Model inputs'!M69),"")</f>
      </c>
    </row>
    <row r="566">
      <c r="A566" t="inlineStr" s="14">
        <is>
          <t xml:space="preserve">Calculation</t>
        </is>
      </c>
      <c r="B566">
        <f>IF(IF(EXACT("Per audit — base",'Model inputs'!O111)="",FALSE,EXACT("Per audit — base",'Model inputs'!O111)),IF('Model inputs'!M70="","",'Model inputs'!M70),"")</f>
      </c>
    </row>
    <row r="567">
      <c r="A567" t="inlineStr" s="14">
        <is>
          <t xml:space="preserve">Calculation</t>
        </is>
      </c>
      <c r="B567">
        <f>IF(IF(EXACT("Per audit — high",'Model inputs'!O111)="",FALSE,EXACT("Per audit — high",'Model inputs'!O111)),IF('Model inputs'!M71="","",'Model inputs'!M71),"")</f>
      </c>
    </row>
    <row r="568">
      <c r="A568" t="inlineStr" s="14">
        <is>
          <t xml:space="preserve">Calculation</t>
        </is>
      </c>
      <c r="B568">
        <f>IF(IF(EXACT("Per audit — low",'Model inputs'!O111)="",FALSE,EXACT("Per audit — low",'Model inputs'!O111)),IF('Model inputs'!M72="","",'Model inputs'!M72),"")</f>
      </c>
    </row>
    <row r="569">
      <c r="A569" t="inlineStr" s="14">
        <is>
          <t xml:space="preserve">Calculation</t>
        </is>
      </c>
      <c r="B569">
        <f>IF(IF(EXACT("Annual deal-team",'Model inputs'!O111)="",FALSE,EXACT("Annual deal-team",'Model inputs'!O111)),IF('Model inputs'!N68="","",'Model inputs'!N68),"")</f>
      </c>
    </row>
    <row r="570">
      <c r="A570" t="inlineStr" s="14">
        <is>
          <t xml:space="preserve">Calculation</t>
        </is>
      </c>
      <c r="B570">
        <f>IF(IF(EXACT("Hybrid",'Model inputs'!O111)="",FALSE,EXACT("Hybrid",'Model inputs'!O111)),IF('Model inputs'!N69="","",'Model inputs'!N69),"")</f>
      </c>
    </row>
    <row r="571">
      <c r="A571" t="inlineStr" s="14">
        <is>
          <t xml:space="preserve">Calculation</t>
        </is>
      </c>
      <c r="B571">
        <f>IF(IF(EXACT("Per audit — base",'Model inputs'!O111)="",FALSE,EXACT("Per audit — base",'Model inputs'!O111)),IF('Model inputs'!N70="","",'Model inputs'!N70),"")</f>
      </c>
    </row>
    <row r="572">
      <c r="A572" t="inlineStr" s="14">
        <is>
          <t xml:space="preserve">Calculation</t>
        </is>
      </c>
      <c r="B572">
        <f>IF(IF(EXACT("Per audit — high",'Model inputs'!O111)="",FALSE,EXACT("Per audit — high",'Model inputs'!O111)),IF('Model inputs'!N71="","",'Model inputs'!N71),"")</f>
      </c>
    </row>
    <row r="573">
      <c r="A573" t="inlineStr" s="14">
        <is>
          <t xml:space="preserve">Calculation</t>
        </is>
      </c>
      <c r="B573">
        <f>IF(IF(EXACT("Per audit — low",'Model inputs'!O111)="",FALSE,EXACT("Per audit — low",'Model inputs'!O111)),IF('Model inputs'!N72="","",'Model inputs'!N72),"")</f>
      </c>
    </row>
    <row r="574">
      <c r="A574" t="inlineStr" s="14">
        <is>
          <t xml:space="preserve">Calculation</t>
        </is>
      </c>
      <c r="B574">
        <f>IF(IF(EXACT("Annual deal-team",'Model inputs'!O111)="",FALSE,EXACT("Annual deal-team",'Model inputs'!O111)),IF('Model inputs'!C7="","",'Model inputs'!C7),"")</f>
      </c>
    </row>
    <row r="575">
      <c r="A575" t="inlineStr" s="14">
        <is>
          <t xml:space="preserve">Calculation</t>
        </is>
      </c>
      <c r="B575">
        <f>IF(IF(EXACT("Hybrid",'Model inputs'!O111)="",FALSE,EXACT("Hybrid",'Model inputs'!O111)),IF('Model inputs'!C8="","",'Model inputs'!C8),"")</f>
      </c>
    </row>
    <row r="576">
      <c r="A576" t="inlineStr" s="14">
        <is>
          <t xml:space="preserve">Calculation</t>
        </is>
      </c>
      <c r="B576">
        <f>IF(IF(EXACT("Per audit — base",'Model inputs'!O111)="",FALSE,EXACT("Per audit — base",'Model inputs'!O111)),IF('Model inputs'!C9="","",'Model inputs'!C9),"")</f>
      </c>
    </row>
    <row r="577">
      <c r="A577" t="inlineStr" s="14">
        <is>
          <t xml:space="preserve">Calculation</t>
        </is>
      </c>
      <c r="B577">
        <f>IF(IF(EXACT("Per audit — high",'Model inputs'!O111)="",FALSE,EXACT("Per audit — high",'Model inputs'!O111)),IF('Model inputs'!C10="","",'Model inputs'!C10),"")</f>
      </c>
    </row>
    <row r="578">
      <c r="A578" t="inlineStr" s="14">
        <is>
          <t xml:space="preserve">Calculation</t>
        </is>
      </c>
      <c r="B578">
        <f>IF(IF(EXACT("Per audit — low",'Model inputs'!O111)="",FALSE,EXACT("Per audit — low",'Model inputs'!O111)),IF('Model inputs'!C11="","",'Model inputs'!C11),"")</f>
      </c>
    </row>
    <row r="579">
      <c r="A579" t="inlineStr" s="14">
        <is>
          <t xml:space="preserve">Calculation</t>
        </is>
      </c>
      <c r="B579">
        <f>IF(IF(EXACT("Annual deal-team",'Model inputs'!O111)="",FALSE,EXACT("Annual deal-team",'Model inputs'!O111)),IF('Model inputs'!D7="","",'Model inputs'!D7),"")</f>
      </c>
    </row>
    <row r="580">
      <c r="A580" t="inlineStr" s="14">
        <is>
          <t xml:space="preserve">Calculation</t>
        </is>
      </c>
      <c r="B580">
        <f>IF(IF(EXACT("Hybrid",'Model inputs'!O111)="",FALSE,EXACT("Hybrid",'Model inputs'!O111)),IF('Model inputs'!D8="","",'Model inputs'!D8),"")</f>
      </c>
    </row>
    <row r="581">
      <c r="A581" t="inlineStr" s="14">
        <is>
          <t xml:space="preserve">Calculation</t>
        </is>
      </c>
      <c r="B581">
        <f>IF(IF(EXACT("Per audit — base",'Model inputs'!O111)="",FALSE,EXACT("Per audit — base",'Model inputs'!O111)),IF('Model inputs'!D9="","",'Model inputs'!D9),"")</f>
      </c>
    </row>
    <row r="582">
      <c r="A582" t="inlineStr" s="14">
        <is>
          <t xml:space="preserve">Calculation</t>
        </is>
      </c>
      <c r="B582">
        <f>IF(IF(EXACT("Per audit — high",'Model inputs'!O111)="",FALSE,EXACT("Per audit — high",'Model inputs'!O111)),IF('Model inputs'!D10="","",'Model inputs'!D10),"")</f>
      </c>
    </row>
    <row r="583">
      <c r="A583" t="inlineStr" s="14">
        <is>
          <t xml:space="preserve">Calculation</t>
        </is>
      </c>
      <c r="B583">
        <f>IF(IF(EXACT("Per audit — low",'Model inputs'!O111)="",FALSE,EXACT("Per audit — low",'Model inputs'!O111)),IF('Model inputs'!D11="","",'Model inputs'!D11),"")</f>
      </c>
    </row>
    <row r="584">
      <c r="A584" t="inlineStr" s="14">
        <is>
          <t xml:space="preserve">Calculation</t>
        </is>
      </c>
      <c r="B584">
        <f>IF(IF(EXACT("Annual deal-team",'Model inputs'!O111)="",FALSE,EXACT("Annual deal-team",'Model inputs'!O111)),IF('Model inputs'!E7="","",'Model inputs'!E7),"")</f>
      </c>
    </row>
    <row r="585">
      <c r="A585" t="inlineStr" s="14">
        <is>
          <t xml:space="preserve">Calculation</t>
        </is>
      </c>
      <c r="B585">
        <f>IF(IF(EXACT("Hybrid",'Model inputs'!O111)="",FALSE,EXACT("Hybrid",'Model inputs'!O111)),IF('Model inputs'!E8="","",'Model inputs'!E8),"")</f>
      </c>
    </row>
    <row r="586">
      <c r="A586" t="inlineStr" s="14">
        <is>
          <t xml:space="preserve">Calculation</t>
        </is>
      </c>
      <c r="B586">
        <f>IF(IF(EXACT("Per audit — base",'Model inputs'!O111)="",FALSE,EXACT("Per audit — base",'Model inputs'!O111)),IF('Model inputs'!E9="","",'Model inputs'!E9),"")</f>
      </c>
    </row>
    <row r="587">
      <c r="A587" t="inlineStr" s="14">
        <is>
          <t xml:space="preserve">Calculation</t>
        </is>
      </c>
      <c r="B587">
        <f>IF(IF(EXACT("Per audit — high",'Model inputs'!O111)="",FALSE,EXACT("Per audit — high",'Model inputs'!O111)),IF('Model inputs'!E10="","",'Model inputs'!E10),"")</f>
      </c>
    </row>
    <row r="588">
      <c r="A588" t="inlineStr" s="14">
        <is>
          <t xml:space="preserve">Calculation</t>
        </is>
      </c>
      <c r="B588">
        <f>IF(IF(EXACT("Per audit — low",'Model inputs'!O111)="",FALSE,EXACT("Per audit — low",'Model inputs'!O111)),IF('Model inputs'!E11="","",'Model inputs'!E11),"")</f>
      </c>
    </row>
    <row r="589">
      <c r="A589" t="inlineStr" s="14">
        <is>
          <t xml:space="preserve">Calculation</t>
        </is>
      </c>
      <c r="B589">
        <f>IF(IF(EXACT("Annual deal-team",'Model inputs'!O111)="",FALSE,EXACT("Annual deal-team",'Model inputs'!O111)),IF('Model inputs'!F7="","",'Model inputs'!F7),"")</f>
      </c>
    </row>
    <row r="590">
      <c r="A590" t="inlineStr" s="14">
        <is>
          <t xml:space="preserve">Calculation</t>
        </is>
      </c>
      <c r="B590">
        <f>IF(IF(EXACT("Hybrid",'Model inputs'!O111)="",FALSE,EXACT("Hybrid",'Model inputs'!O111)),IF('Model inputs'!F8="","",'Model inputs'!F8),"")</f>
      </c>
    </row>
    <row r="591">
      <c r="A591" t="inlineStr" s="14">
        <is>
          <t xml:space="preserve">Calculation</t>
        </is>
      </c>
      <c r="B591">
        <f>IF(IF(EXACT("Per audit — base",'Model inputs'!O111)="",FALSE,EXACT("Per audit — base",'Model inputs'!O111)),IF('Model inputs'!F9="","",'Model inputs'!F9),"")</f>
      </c>
    </row>
    <row r="592">
      <c r="A592" t="inlineStr" s="14">
        <is>
          <t xml:space="preserve">Calculation</t>
        </is>
      </c>
      <c r="B592">
        <f>IF(IF(EXACT("Per audit — high",'Model inputs'!O111)="",FALSE,EXACT("Per audit — high",'Model inputs'!O111)),IF('Model inputs'!F10="","",'Model inputs'!F10),"")</f>
      </c>
    </row>
    <row r="593">
      <c r="A593" t="inlineStr" s="14">
        <is>
          <t xml:space="preserve">Calculation</t>
        </is>
      </c>
      <c r="B593">
        <f>IF(IF(EXACT("Per audit — low",'Model inputs'!O111)="",FALSE,EXACT("Per audit — low",'Model inputs'!O111)),IF('Model inputs'!F11="","",'Model inputs'!F11),"")</f>
      </c>
    </row>
    <row r="594">
      <c r="A594" t="inlineStr" s="14">
        <is>
          <t xml:space="preserve">Calculation</t>
        </is>
      </c>
      <c r="B594">
        <f>IF(IF(EXACT("Annual deal-team",'Model inputs'!O111)="",FALSE,EXACT("Annual deal-team",'Model inputs'!O111)),IF('Model inputs'!G7="","",'Model inputs'!G7),"")</f>
      </c>
    </row>
    <row r="595">
      <c r="A595" t="inlineStr" s="14">
        <is>
          <t xml:space="preserve">Calculation</t>
        </is>
      </c>
      <c r="B595">
        <f>IF(IF(EXACT("Hybrid",'Model inputs'!O111)="",FALSE,EXACT("Hybrid",'Model inputs'!O111)),IF('Model inputs'!G8="","",'Model inputs'!G8),"")</f>
      </c>
    </row>
    <row r="596">
      <c r="A596" t="inlineStr" s="14">
        <is>
          <t xml:space="preserve">Calculation</t>
        </is>
      </c>
      <c r="B596">
        <f>IF(IF(EXACT("Per audit — base",'Model inputs'!O111)="",FALSE,EXACT("Per audit — base",'Model inputs'!O111)),IF('Model inputs'!G9="","",'Model inputs'!G9),"")</f>
      </c>
    </row>
    <row r="597">
      <c r="A597" t="inlineStr" s="14">
        <is>
          <t xml:space="preserve">Calculation</t>
        </is>
      </c>
      <c r="B597">
        <f>IF(IF(EXACT("Per audit — high",'Model inputs'!O111)="",FALSE,EXACT("Per audit — high",'Model inputs'!O111)),IF('Model inputs'!G10="","",'Model inputs'!G10),"")</f>
      </c>
    </row>
    <row r="598">
      <c r="A598" t="inlineStr" s="14">
        <is>
          <t xml:space="preserve">Calculation</t>
        </is>
      </c>
      <c r="B598">
        <f>IF(IF(EXACT("Per audit — low",'Model inputs'!O111)="",FALSE,EXACT("Per audit — low",'Model inputs'!O111)),IF('Model inputs'!G11="","",'Model inputs'!G11),"")</f>
      </c>
    </row>
    <row r="599">
      <c r="A599" t="inlineStr" s="14">
        <is>
          <t xml:space="preserve">Calculation</t>
        </is>
      </c>
      <c r="B599">
        <f>IF(IF(EXACT("Annual deal-team",'Model inputs'!O111)="",FALSE,EXACT("Annual deal-team",'Model inputs'!O111)),IF('Model inputs'!H7="","",'Model inputs'!H7),"")</f>
      </c>
    </row>
    <row r="600">
      <c r="A600" t="inlineStr" s="14">
        <is>
          <t xml:space="preserve">Calculation</t>
        </is>
      </c>
      <c r="B600">
        <f>IF(IF(EXACT("Hybrid",'Model inputs'!O111)="",FALSE,EXACT("Hybrid",'Model inputs'!O111)),IF('Model inputs'!H8="","",'Model inputs'!H8),"")</f>
      </c>
    </row>
    <row r="601">
      <c r="A601" t="inlineStr" s="14">
        <is>
          <t xml:space="preserve">Calculation</t>
        </is>
      </c>
      <c r="B601">
        <f>IF(IF(EXACT("Per audit — base",'Model inputs'!O111)="",FALSE,EXACT("Per audit — base",'Model inputs'!O111)),IF('Model inputs'!H9="","",'Model inputs'!H9),"")</f>
      </c>
    </row>
    <row r="602">
      <c r="A602" t="inlineStr" s="14">
        <is>
          <t xml:space="preserve">Calculation</t>
        </is>
      </c>
      <c r="B602">
        <f>IF(IF(EXACT("Per audit — high",'Model inputs'!O111)="",FALSE,EXACT("Per audit — high",'Model inputs'!O111)),IF('Model inputs'!H10="","",'Model inputs'!H10),"")</f>
      </c>
    </row>
    <row r="603">
      <c r="A603" t="inlineStr" s="14">
        <is>
          <t xml:space="preserve">Calculation</t>
        </is>
      </c>
      <c r="B603">
        <f>IF(IF(EXACT("Per audit — low",'Model inputs'!O111)="",FALSE,EXACT("Per audit — low",'Model inputs'!O111)),IF('Model inputs'!H11="","",'Model inputs'!H11),"")</f>
      </c>
    </row>
    <row r="604">
      <c r="A604" t="inlineStr" s="14">
        <is>
          <t xml:space="preserve">Calculation</t>
        </is>
      </c>
      <c r="B604">
        <f>IF(IF(EXACT("Annual deal-team",'Model inputs'!O111)="",FALSE,EXACT("Annual deal-team",'Model inputs'!O111)),IF('Model inputs'!I7="","",'Model inputs'!I7),"")</f>
      </c>
    </row>
    <row r="605">
      <c r="A605" t="inlineStr" s="14">
        <is>
          <t xml:space="preserve">Calculation</t>
        </is>
      </c>
      <c r="B605">
        <f>IF(IF(EXACT("Hybrid",'Model inputs'!O111)="",FALSE,EXACT("Hybrid",'Model inputs'!O111)),IF('Model inputs'!I8="","",'Model inputs'!I8),"")</f>
      </c>
    </row>
    <row r="606">
      <c r="A606" t="inlineStr" s="14">
        <is>
          <t xml:space="preserve">Calculation</t>
        </is>
      </c>
      <c r="B606">
        <f>IF(IF(EXACT("Per audit — base",'Model inputs'!O111)="",FALSE,EXACT("Per audit — base",'Model inputs'!O111)),IF('Model inputs'!I9="","",'Model inputs'!I9),"")</f>
      </c>
    </row>
    <row r="607">
      <c r="A607" t="inlineStr" s="14">
        <is>
          <t xml:space="preserve">Calculation</t>
        </is>
      </c>
      <c r="B607">
        <f>IF(IF(EXACT("Per audit — high",'Model inputs'!O111)="",FALSE,EXACT("Per audit — high",'Model inputs'!O111)),IF('Model inputs'!I10="","",'Model inputs'!I10),"")</f>
      </c>
    </row>
    <row r="608">
      <c r="A608" t="inlineStr" s="14">
        <is>
          <t xml:space="preserve">Calculation</t>
        </is>
      </c>
      <c r="B608">
        <f>IF(IF(EXACT("Per audit — low",'Model inputs'!O111)="",FALSE,EXACT("Per audit — low",'Model inputs'!O111)),IF('Model inputs'!I11="","",'Model inputs'!I11),"")</f>
      </c>
    </row>
    <row r="609">
      <c r="A609" t="inlineStr" s="14">
        <is>
          <t xml:space="preserve">Calculation</t>
        </is>
      </c>
      <c r="B609">
        <f>IF(IF(EXACT("Annual deal-team",'Model inputs'!O111)="",FALSE,EXACT("Annual deal-team",'Model inputs'!O111)),IF('Model inputs'!J7="","",'Model inputs'!J7),"")</f>
      </c>
    </row>
    <row r="610">
      <c r="A610" t="inlineStr" s="14">
        <is>
          <t xml:space="preserve">Calculation</t>
        </is>
      </c>
      <c r="B610">
        <f>IF(IF(EXACT("Hybrid",'Model inputs'!O111)="",FALSE,EXACT("Hybrid",'Model inputs'!O111)),IF('Model inputs'!J8="","",'Model inputs'!J8),"")</f>
      </c>
    </row>
    <row r="611">
      <c r="A611" t="inlineStr" s="14">
        <is>
          <t xml:space="preserve">Calculation</t>
        </is>
      </c>
      <c r="B611">
        <f>IF(IF(EXACT("Per audit — base",'Model inputs'!O111)="",FALSE,EXACT("Per audit — base",'Model inputs'!O111)),IF('Model inputs'!J9="","",'Model inputs'!J9),"")</f>
      </c>
    </row>
    <row r="612">
      <c r="A612" t="inlineStr" s="14">
        <is>
          <t xml:space="preserve">Calculation</t>
        </is>
      </c>
      <c r="B612">
        <f>IF(IF(EXACT("Per audit — high",'Model inputs'!O111)="",FALSE,EXACT("Per audit — high",'Model inputs'!O111)),IF('Model inputs'!J10="","",'Model inputs'!J10),"")</f>
      </c>
    </row>
    <row r="613">
      <c r="A613" t="inlineStr" s="14">
        <is>
          <t xml:space="preserve">Calculation</t>
        </is>
      </c>
      <c r="B613">
        <f>IF(IF(EXACT("Per audit — low",'Model inputs'!O111)="",FALSE,EXACT("Per audit — low",'Model inputs'!O111)),IF('Model inputs'!J11="","",'Model inputs'!J11),"")</f>
      </c>
    </row>
    <row r="614">
      <c r="A614" t="inlineStr" s="14">
        <is>
          <t xml:space="preserve">Calculation</t>
        </is>
      </c>
      <c r="B614">
        <f>IF(IF(EXACT("Annual deal-team",'Model inputs'!O111)="",FALSE,EXACT("Annual deal-team",'Model inputs'!O111)),IF('Model inputs'!K7="","",'Model inputs'!K7),"")</f>
      </c>
    </row>
    <row r="615">
      <c r="A615" t="inlineStr" s="14">
        <is>
          <t xml:space="preserve">Calculation</t>
        </is>
      </c>
      <c r="B615">
        <f>IF(IF(EXACT("Hybrid",'Model inputs'!O111)="",FALSE,EXACT("Hybrid",'Model inputs'!O111)),IF('Model inputs'!K8="","",'Model inputs'!K8),"")</f>
      </c>
    </row>
    <row r="616">
      <c r="A616" t="inlineStr" s="14">
        <is>
          <t xml:space="preserve">Calculation</t>
        </is>
      </c>
      <c r="B616">
        <f>IF(IF(EXACT("Per audit — base",'Model inputs'!O111)="",FALSE,EXACT("Per audit — base",'Model inputs'!O111)),IF('Model inputs'!K9="","",'Model inputs'!K9),"")</f>
      </c>
    </row>
    <row r="617">
      <c r="A617" t="inlineStr" s="14">
        <is>
          <t xml:space="preserve">Calculation</t>
        </is>
      </c>
      <c r="B617">
        <f>IF(IF(EXACT("Per audit — high",'Model inputs'!O111)="",FALSE,EXACT("Per audit — high",'Model inputs'!O111)),IF('Model inputs'!K10="","",'Model inputs'!K10),"")</f>
      </c>
    </row>
    <row r="618">
      <c r="A618" t="inlineStr" s="14">
        <is>
          <t xml:space="preserve">Calculation</t>
        </is>
      </c>
      <c r="B618">
        <f>IF(IF(EXACT("Per audit — low",'Model inputs'!O111)="",FALSE,EXACT("Per audit — low",'Model inputs'!O111)),IF('Model inputs'!K11="","",'Model inputs'!K11),"")</f>
      </c>
    </row>
    <row r="619">
      <c r="A619" t="inlineStr" s="14">
        <is>
          <t xml:space="preserve">Calculation</t>
        </is>
      </c>
      <c r="B619">
        <f>IF(IF(EXACT("Annual deal-team",'Model inputs'!O111)="",FALSE,EXACT("Annual deal-team",'Model inputs'!O111)),IF('Model inputs'!L7="","",'Model inputs'!L7),"")</f>
      </c>
    </row>
    <row r="620">
      <c r="A620" t="inlineStr" s="14">
        <is>
          <t xml:space="preserve">Calculation</t>
        </is>
      </c>
      <c r="B620">
        <f>IF(IF(EXACT("Hybrid",'Model inputs'!O111)="",FALSE,EXACT("Hybrid",'Model inputs'!O111)),IF('Model inputs'!L8="","",'Model inputs'!L8),"")</f>
      </c>
    </row>
    <row r="621">
      <c r="A621" t="inlineStr" s="14">
        <is>
          <t xml:space="preserve">Calculation</t>
        </is>
      </c>
      <c r="B621">
        <f>IF(IF(EXACT("Per audit — base",'Model inputs'!O111)="",FALSE,EXACT("Per audit — base",'Model inputs'!O111)),IF('Model inputs'!L9="","",'Model inputs'!L9),"")</f>
      </c>
    </row>
    <row r="622">
      <c r="A622" t="inlineStr" s="14">
        <is>
          <t xml:space="preserve">Calculation</t>
        </is>
      </c>
      <c r="B622">
        <f>IF(IF(EXACT("Per audit — high",'Model inputs'!O111)="",FALSE,EXACT("Per audit — high",'Model inputs'!O111)),IF('Model inputs'!L10="","",'Model inputs'!L10),"")</f>
      </c>
    </row>
    <row r="623">
      <c r="A623" t="inlineStr" s="14">
        <is>
          <t xml:space="preserve">Calculation</t>
        </is>
      </c>
      <c r="B623">
        <f>IF(IF(EXACT("Per audit — low",'Model inputs'!O111)="",FALSE,EXACT("Per audit — low",'Model inputs'!O111)),IF('Model inputs'!L11="","",'Model inputs'!L11),"")</f>
      </c>
    </row>
    <row r="624">
      <c r="A624" t="inlineStr" s="14">
        <is>
          <t xml:space="preserve">Calculation</t>
        </is>
      </c>
      <c r="B624">
        <f>IF(IF(EXACT("Annual deal-team",'Model inputs'!O111)="",FALSE,EXACT("Annual deal-team",'Model inputs'!O111)),IF('Model inputs'!M7="","",'Model inputs'!M7),"")</f>
      </c>
    </row>
    <row r="625">
      <c r="A625" t="inlineStr" s="14">
        <is>
          <t xml:space="preserve">Calculation</t>
        </is>
      </c>
      <c r="B625">
        <f>IF(IF(EXACT("Hybrid",'Model inputs'!O111)="",FALSE,EXACT("Hybrid",'Model inputs'!O111)),IF('Model inputs'!M8="","",'Model inputs'!M8),"")</f>
      </c>
    </row>
    <row r="626">
      <c r="A626" t="inlineStr" s="14">
        <is>
          <t xml:space="preserve">Calculation</t>
        </is>
      </c>
      <c r="B626">
        <f>IF(IF(EXACT("Per audit — base",'Model inputs'!O111)="",FALSE,EXACT("Per audit — base",'Model inputs'!O111)),IF('Model inputs'!M9="","",'Model inputs'!M9),"")</f>
      </c>
    </row>
    <row r="627">
      <c r="A627" t="inlineStr" s="14">
        <is>
          <t xml:space="preserve">Calculation</t>
        </is>
      </c>
      <c r="B627">
        <f>IF(IF(EXACT("Per audit — high",'Model inputs'!O111)="",FALSE,EXACT("Per audit — high",'Model inputs'!O111)),IF('Model inputs'!M10="","",'Model inputs'!M10),"")</f>
      </c>
    </row>
    <row r="628">
      <c r="A628" t="inlineStr" s="14">
        <is>
          <t xml:space="preserve">Calculation</t>
        </is>
      </c>
      <c r="B628">
        <f>IF(IF(EXACT("Per audit — low",'Model inputs'!O111)="",FALSE,EXACT("Per audit — low",'Model inputs'!O111)),IF('Model inputs'!M11="","",'Model inputs'!M11),"")</f>
      </c>
    </row>
    <row r="629">
      <c r="A629" t="inlineStr" s="14">
        <is>
          <t xml:space="preserve">Calculation</t>
        </is>
      </c>
      <c r="B629">
        <f>IF(IF(EXACT("Annual deal-team",'Model inputs'!O111)="",FALSE,EXACT("Annual deal-team",'Model inputs'!O111)),IF('Model inputs'!N7="","",'Model inputs'!N7),"")</f>
      </c>
    </row>
    <row r="630">
      <c r="A630" t="inlineStr" s="14">
        <is>
          <t xml:space="preserve">Calculation</t>
        </is>
      </c>
      <c r="B630">
        <f>IF(IF(EXACT("Hybrid",'Model inputs'!O111)="",FALSE,EXACT("Hybrid",'Model inputs'!O111)),IF('Model inputs'!N8="","",'Model inputs'!N8),"")</f>
      </c>
    </row>
    <row r="631">
      <c r="A631" t="inlineStr" s="14">
        <is>
          <t xml:space="preserve">Calculation</t>
        </is>
      </c>
      <c r="B631">
        <f>IF(IF(EXACT("Per audit — base",'Model inputs'!O111)="",FALSE,EXACT("Per audit — base",'Model inputs'!O111)),IF('Model inputs'!N9="","",'Model inputs'!N9),"")</f>
      </c>
    </row>
    <row r="632">
      <c r="A632" t="inlineStr" s="14">
        <is>
          <t xml:space="preserve">Calculation</t>
        </is>
      </c>
      <c r="B632">
        <f>IF(IF(EXACT("Per audit — high",'Model inputs'!O111)="",FALSE,EXACT("Per audit — high",'Model inputs'!O111)),IF('Model inputs'!N10="","",'Model inputs'!N10),"")</f>
      </c>
    </row>
    <row r="633">
      <c r="A633" t="inlineStr" s="14">
        <is>
          <t xml:space="preserve">Calculation</t>
        </is>
      </c>
      <c r="B633">
        <f>IF(IF(EXACT("Per audit — low",'Model inputs'!O111)="",FALSE,EXACT("Per audit — low",'Model inputs'!O111)),IF('Model inputs'!N11="","",'Model inputs'!N11),"")</f>
      </c>
    </row>
    <row r="634">
      <c r="A634" t="inlineStr" s="14">
        <is>
          <t xml:space="preserve">Calculation</t>
        </is>
      </c>
      <c r="B634">
        <f>IF(IF(EXACT("Annual deal-team",'Model inputs'!O111)="",FALSE,EXACT("Annual deal-team",'Model inputs'!O111)),IF('Model inputs'!C39="","",'Model inputs'!C39),"")</f>
      </c>
    </row>
    <row r="635">
      <c r="A635" t="inlineStr" s="14">
        <is>
          <t xml:space="preserve">Calculation</t>
        </is>
      </c>
      <c r="B635">
        <f>IF(IF(EXACT("Hybrid",'Model inputs'!O111)="",FALSE,EXACT("Hybrid",'Model inputs'!O111)),IF('Model inputs'!C40="","",'Model inputs'!C40),"")</f>
      </c>
    </row>
    <row r="636">
      <c r="A636" t="inlineStr" s="14">
        <is>
          <t xml:space="preserve">Calculation</t>
        </is>
      </c>
      <c r="B636">
        <f>IF(IF(EXACT("Per audit — base",'Model inputs'!O111)="",FALSE,EXACT("Per audit — base",'Model inputs'!O111)),IF('Model inputs'!C41="","",'Model inputs'!C41),"")</f>
      </c>
    </row>
    <row r="637">
      <c r="A637" t="inlineStr" s="14">
        <is>
          <t xml:space="preserve">Calculation</t>
        </is>
      </c>
      <c r="B637">
        <f>IF(IF(EXACT("Per audit — high",'Model inputs'!O111)="",FALSE,EXACT("Per audit — high",'Model inputs'!O111)),IF('Model inputs'!C42="","",'Model inputs'!C42),"")</f>
      </c>
    </row>
    <row r="638">
      <c r="A638" t="inlineStr" s="14">
        <is>
          <t xml:space="preserve">Calculation</t>
        </is>
      </c>
      <c r="B638">
        <f>IF(IF(EXACT("Per audit — low",'Model inputs'!O111)="",FALSE,EXACT("Per audit — low",'Model inputs'!O111)),IF('Model inputs'!C43="","",'Model inputs'!C43),"")</f>
      </c>
    </row>
    <row r="639">
      <c r="A639" t="inlineStr" s="14">
        <is>
          <t xml:space="preserve">Calculation</t>
        </is>
      </c>
      <c r="B639">
        <f>IF(IF(EXACT("Annual deal-team",'Model inputs'!O111)="",FALSE,EXACT("Annual deal-team",'Model inputs'!O111)),IF('Model inputs'!D39="","",'Model inputs'!D39),"")</f>
      </c>
    </row>
    <row r="640">
      <c r="A640" t="inlineStr" s="14">
        <is>
          <t xml:space="preserve">Calculation</t>
        </is>
      </c>
      <c r="B640">
        <f>IF(IF(EXACT("Hybrid",'Model inputs'!O111)="",FALSE,EXACT("Hybrid",'Model inputs'!O111)),IF('Model inputs'!D40="","",'Model inputs'!D40),"")</f>
      </c>
    </row>
    <row r="641">
      <c r="A641" t="inlineStr" s="14">
        <is>
          <t xml:space="preserve">Calculation</t>
        </is>
      </c>
      <c r="B641">
        <f>IF(IF(EXACT("Per audit — base",'Model inputs'!O111)="",FALSE,EXACT("Per audit — base",'Model inputs'!O111)),IF('Model inputs'!D41="","",'Model inputs'!D41),"")</f>
      </c>
    </row>
    <row r="642">
      <c r="A642" t="inlineStr" s="14">
        <is>
          <t xml:space="preserve">Calculation</t>
        </is>
      </c>
      <c r="B642">
        <f>IF(IF(EXACT("Per audit — high",'Model inputs'!O111)="",FALSE,EXACT("Per audit — high",'Model inputs'!O111)),IF('Model inputs'!D42="","",'Model inputs'!D42),"")</f>
      </c>
    </row>
    <row r="643">
      <c r="A643" t="inlineStr" s="14">
        <is>
          <t xml:space="preserve">Calculation</t>
        </is>
      </c>
      <c r="B643">
        <f>IF(IF(EXACT("Per audit — low",'Model inputs'!O111)="",FALSE,EXACT("Per audit — low",'Model inputs'!O111)),IF('Model inputs'!D43="","",'Model inputs'!D43),"")</f>
      </c>
    </row>
    <row r="644">
      <c r="A644" t="inlineStr" s="14">
        <is>
          <t xml:space="preserve">Calculation</t>
        </is>
      </c>
      <c r="B644">
        <f>IF(IF(EXACT("Annual deal-team",'Model inputs'!O111)="",FALSE,EXACT("Annual deal-team",'Model inputs'!O111)),IF('Model inputs'!E39="","",'Model inputs'!E39),"")</f>
      </c>
    </row>
    <row r="645">
      <c r="A645" t="inlineStr" s="14">
        <is>
          <t xml:space="preserve">Calculation</t>
        </is>
      </c>
      <c r="B645">
        <f>IF(IF(EXACT("Hybrid",'Model inputs'!O111)="",FALSE,EXACT("Hybrid",'Model inputs'!O111)),IF('Model inputs'!E40="","",'Model inputs'!E40),"")</f>
      </c>
    </row>
    <row r="646">
      <c r="A646" t="inlineStr" s="14">
        <is>
          <t xml:space="preserve">Calculation</t>
        </is>
      </c>
      <c r="B646">
        <f>IF(IF(EXACT("Per audit — base",'Model inputs'!O111)="",FALSE,EXACT("Per audit — base",'Model inputs'!O111)),IF('Model inputs'!E41="","",'Model inputs'!E41),"")</f>
      </c>
    </row>
    <row r="647">
      <c r="A647" t="inlineStr" s="14">
        <is>
          <t xml:space="preserve">Calculation</t>
        </is>
      </c>
      <c r="B647">
        <f>IF(IF(EXACT("Per audit — high",'Model inputs'!O111)="",FALSE,EXACT("Per audit — high",'Model inputs'!O111)),IF('Model inputs'!E42="","",'Model inputs'!E42),"")</f>
      </c>
    </row>
    <row r="648">
      <c r="A648" t="inlineStr" s="14">
        <is>
          <t xml:space="preserve">Calculation</t>
        </is>
      </c>
      <c r="B648">
        <f>IF(IF(EXACT("Per audit — low",'Model inputs'!O111)="",FALSE,EXACT("Per audit — low",'Model inputs'!O111)),IF('Model inputs'!E43="","",'Model inputs'!E43),"")</f>
      </c>
    </row>
    <row r="649">
      <c r="A649" t="inlineStr" s="14">
        <is>
          <t xml:space="preserve">Calculation</t>
        </is>
      </c>
      <c r="B649">
        <f>IF(IF(EXACT("Annual deal-team",'Model inputs'!O111)="",FALSE,EXACT("Annual deal-team",'Model inputs'!O111)),IF('Model inputs'!F39="","",'Model inputs'!F39),"")</f>
      </c>
    </row>
    <row r="650">
      <c r="A650" t="inlineStr" s="14">
        <is>
          <t xml:space="preserve">Calculation</t>
        </is>
      </c>
      <c r="B650">
        <f>IF(IF(EXACT("Hybrid",'Model inputs'!O111)="",FALSE,EXACT("Hybrid",'Model inputs'!O111)),IF('Model inputs'!F40="","",'Model inputs'!F40),"")</f>
      </c>
    </row>
    <row r="651">
      <c r="A651" t="inlineStr" s="14">
        <is>
          <t xml:space="preserve">Calculation</t>
        </is>
      </c>
      <c r="B651">
        <f>IF(IF(EXACT("Per audit — base",'Model inputs'!O111)="",FALSE,EXACT("Per audit — base",'Model inputs'!O111)),IF('Model inputs'!F41="","",'Model inputs'!F41),"")</f>
      </c>
    </row>
    <row r="652">
      <c r="A652" t="inlineStr" s="14">
        <is>
          <t xml:space="preserve">Calculation</t>
        </is>
      </c>
      <c r="B652">
        <f>IF(IF(EXACT("Per audit — high",'Model inputs'!O111)="",FALSE,EXACT("Per audit — high",'Model inputs'!O111)),IF('Model inputs'!F42="","",'Model inputs'!F42),"")</f>
      </c>
    </row>
    <row r="653">
      <c r="A653" t="inlineStr" s="14">
        <is>
          <t xml:space="preserve">Calculation</t>
        </is>
      </c>
      <c r="B653">
        <f>IF(IF(EXACT("Per audit — low",'Model inputs'!O111)="",FALSE,EXACT("Per audit — low",'Model inputs'!O111)),IF('Model inputs'!F43="","",'Model inputs'!F43),"")</f>
      </c>
    </row>
    <row r="654">
      <c r="A654" t="inlineStr" s="14">
        <is>
          <t xml:space="preserve">Calculation</t>
        </is>
      </c>
      <c r="B654">
        <f>IF(IF(EXACT("Annual deal-team",'Model inputs'!O111)="",FALSE,EXACT("Annual deal-team",'Model inputs'!O111)),IF('Model inputs'!G39="","",'Model inputs'!G39),"")</f>
      </c>
    </row>
    <row r="655">
      <c r="A655" t="inlineStr" s="14">
        <is>
          <t xml:space="preserve">Calculation</t>
        </is>
      </c>
      <c r="B655">
        <f>IF(IF(EXACT("Hybrid",'Model inputs'!O111)="",FALSE,EXACT("Hybrid",'Model inputs'!O111)),IF('Model inputs'!G40="","",'Model inputs'!G40),"")</f>
      </c>
    </row>
    <row r="656">
      <c r="A656" t="inlineStr" s="14">
        <is>
          <t xml:space="preserve">Calculation</t>
        </is>
      </c>
      <c r="B656">
        <f>IF(IF(EXACT("Per audit — base",'Model inputs'!O111)="",FALSE,EXACT("Per audit — base",'Model inputs'!O111)),IF('Model inputs'!G41="","",'Model inputs'!G41),"")</f>
      </c>
    </row>
    <row r="657">
      <c r="A657" t="inlineStr" s="14">
        <is>
          <t xml:space="preserve">Calculation</t>
        </is>
      </c>
      <c r="B657">
        <f>IF(IF(EXACT("Per audit — high",'Model inputs'!O111)="",FALSE,EXACT("Per audit — high",'Model inputs'!O111)),IF('Model inputs'!G42="","",'Model inputs'!G42),"")</f>
      </c>
    </row>
    <row r="658">
      <c r="A658" t="inlineStr" s="14">
        <is>
          <t xml:space="preserve">Calculation</t>
        </is>
      </c>
      <c r="B658">
        <f>IF(IF(EXACT("Per audit — low",'Model inputs'!O111)="",FALSE,EXACT("Per audit — low",'Model inputs'!O111)),IF('Model inputs'!G43="","",'Model inputs'!G43),"")</f>
      </c>
    </row>
    <row r="659">
      <c r="A659" t="inlineStr" s="14">
        <is>
          <t xml:space="preserve">Calculation</t>
        </is>
      </c>
      <c r="B659">
        <f>IF(IF(EXACT("Annual deal-team",'Model inputs'!O111)="",FALSE,EXACT("Annual deal-team",'Model inputs'!O111)),IF('Model inputs'!H39="","",'Model inputs'!H39),"")</f>
      </c>
    </row>
    <row r="660">
      <c r="A660" t="inlineStr" s="14">
        <is>
          <t xml:space="preserve">Calculation</t>
        </is>
      </c>
      <c r="B660">
        <f>IF(IF(EXACT("Hybrid",'Model inputs'!O111)="",FALSE,EXACT("Hybrid",'Model inputs'!O111)),IF('Model inputs'!H40="","",'Model inputs'!H40),"")</f>
      </c>
    </row>
    <row r="661">
      <c r="A661" t="inlineStr" s="14">
        <is>
          <t xml:space="preserve">Calculation</t>
        </is>
      </c>
      <c r="B661">
        <f>IF(IF(EXACT("Per audit — base",'Model inputs'!O111)="",FALSE,EXACT("Per audit — base",'Model inputs'!O111)),IF('Model inputs'!H41="","",'Model inputs'!H41),"")</f>
      </c>
    </row>
    <row r="662">
      <c r="A662" t="inlineStr" s="14">
        <is>
          <t xml:space="preserve">Calculation</t>
        </is>
      </c>
      <c r="B662">
        <f>IF(IF(EXACT("Per audit — high",'Model inputs'!O111)="",FALSE,EXACT("Per audit — high",'Model inputs'!O111)),IF('Model inputs'!H42="","",'Model inputs'!H42),"")</f>
      </c>
    </row>
    <row r="663">
      <c r="A663" t="inlineStr" s="14">
        <is>
          <t xml:space="preserve">Calculation</t>
        </is>
      </c>
      <c r="B663">
        <f>IF(IF(EXACT("Per audit — low",'Model inputs'!O111)="",FALSE,EXACT("Per audit — low",'Model inputs'!O111)),IF('Model inputs'!H43="","",'Model inputs'!H43),"")</f>
      </c>
    </row>
    <row r="664">
      <c r="A664" t="inlineStr" s="14">
        <is>
          <t xml:space="preserve">Calculation</t>
        </is>
      </c>
      <c r="B664">
        <f>IF(IF(EXACT("Annual deal-team",'Model inputs'!O111)="",FALSE,EXACT("Annual deal-team",'Model inputs'!O111)),IF('Model inputs'!I39="","",'Model inputs'!I39),"")</f>
      </c>
    </row>
    <row r="665">
      <c r="A665" t="inlineStr" s="14">
        <is>
          <t xml:space="preserve">Calculation</t>
        </is>
      </c>
      <c r="B665">
        <f>IF(IF(EXACT("Hybrid",'Model inputs'!O111)="",FALSE,EXACT("Hybrid",'Model inputs'!O111)),IF('Model inputs'!I40="","",'Model inputs'!I40),"")</f>
      </c>
    </row>
    <row r="666">
      <c r="A666" t="inlineStr" s="14">
        <is>
          <t xml:space="preserve">Calculation</t>
        </is>
      </c>
      <c r="B666">
        <f>IF(IF(EXACT("Per audit — base",'Model inputs'!O111)="",FALSE,EXACT("Per audit — base",'Model inputs'!O111)),IF('Model inputs'!I41="","",'Model inputs'!I41),"")</f>
      </c>
    </row>
    <row r="667">
      <c r="A667" t="inlineStr" s="14">
        <is>
          <t xml:space="preserve">Calculation</t>
        </is>
      </c>
      <c r="B667">
        <f>IF(IF(EXACT("Per audit — high",'Model inputs'!O111)="",FALSE,EXACT("Per audit — high",'Model inputs'!O111)),IF('Model inputs'!I42="","",'Model inputs'!I42),"")</f>
      </c>
    </row>
    <row r="668">
      <c r="A668" t="inlineStr" s="14">
        <is>
          <t xml:space="preserve">Calculation</t>
        </is>
      </c>
      <c r="B668">
        <f>IF(IF(EXACT("Per audit — low",'Model inputs'!O111)="",FALSE,EXACT("Per audit — low",'Model inputs'!O111)),IF('Model inputs'!I43="","",'Model inputs'!I43),"")</f>
      </c>
    </row>
    <row r="669">
      <c r="A669" t="inlineStr" s="14">
        <is>
          <t xml:space="preserve">Calculation</t>
        </is>
      </c>
      <c r="B669">
        <f>IF(IF(EXACT("Annual deal-team",'Model inputs'!O111)="",FALSE,EXACT("Annual deal-team",'Model inputs'!O111)),IF('Model inputs'!J39="","",'Model inputs'!J39),"")</f>
      </c>
    </row>
    <row r="670">
      <c r="A670" t="inlineStr" s="14">
        <is>
          <t xml:space="preserve">Calculation</t>
        </is>
      </c>
      <c r="B670">
        <f>IF(IF(EXACT("Hybrid",'Model inputs'!O111)="",FALSE,EXACT("Hybrid",'Model inputs'!O111)),IF('Model inputs'!J40="","",'Model inputs'!J40),"")</f>
      </c>
    </row>
    <row r="671">
      <c r="A671" t="inlineStr" s="14">
        <is>
          <t xml:space="preserve">Calculation</t>
        </is>
      </c>
      <c r="B671">
        <f>IF(IF(EXACT("Per audit — base",'Model inputs'!O111)="",FALSE,EXACT("Per audit — base",'Model inputs'!O111)),IF('Model inputs'!J41="","",'Model inputs'!J41),"")</f>
      </c>
    </row>
    <row r="672">
      <c r="A672" t="inlineStr" s="14">
        <is>
          <t xml:space="preserve">Calculation</t>
        </is>
      </c>
      <c r="B672">
        <f>IF(IF(EXACT("Per audit — high",'Model inputs'!O111)="",FALSE,EXACT("Per audit — high",'Model inputs'!O111)),IF('Model inputs'!J42="","",'Model inputs'!J42),"")</f>
      </c>
    </row>
    <row r="673">
      <c r="A673" t="inlineStr" s="14">
        <is>
          <t xml:space="preserve">Calculation</t>
        </is>
      </c>
      <c r="B673">
        <f>IF(IF(EXACT("Per audit — low",'Model inputs'!O111)="",FALSE,EXACT("Per audit — low",'Model inputs'!O111)),IF('Model inputs'!J43="","",'Model inputs'!J43),"")</f>
      </c>
    </row>
    <row r="674">
      <c r="A674" t="inlineStr" s="14">
        <is>
          <t xml:space="preserve">Calculation</t>
        </is>
      </c>
      <c r="B674">
        <f>IF(IF(EXACT("Annual deal-team",'Model inputs'!O111)="",FALSE,EXACT("Annual deal-team",'Model inputs'!O111)),IF('Model inputs'!K39="","",'Model inputs'!K39),"")</f>
      </c>
    </row>
    <row r="675">
      <c r="A675" t="inlineStr" s="14">
        <is>
          <t xml:space="preserve">Calculation</t>
        </is>
      </c>
      <c r="B675">
        <f>IF(IF(EXACT("Hybrid",'Model inputs'!O111)="",FALSE,EXACT("Hybrid",'Model inputs'!O111)),IF('Model inputs'!K40="","",'Model inputs'!K40),"")</f>
      </c>
    </row>
    <row r="676">
      <c r="A676" t="inlineStr" s="14">
        <is>
          <t xml:space="preserve">Calculation</t>
        </is>
      </c>
      <c r="B676">
        <f>IF(IF(EXACT("Per audit — base",'Model inputs'!O111)="",FALSE,EXACT("Per audit — base",'Model inputs'!O111)),IF('Model inputs'!K41="","",'Model inputs'!K41),"")</f>
      </c>
    </row>
    <row r="677">
      <c r="A677" t="inlineStr" s="14">
        <is>
          <t xml:space="preserve">Calculation</t>
        </is>
      </c>
      <c r="B677">
        <f>IF(IF(EXACT("Per audit — high",'Model inputs'!O111)="",FALSE,EXACT("Per audit — high",'Model inputs'!O111)),IF('Model inputs'!K42="","",'Model inputs'!K42),"")</f>
      </c>
    </row>
    <row r="678">
      <c r="A678" t="inlineStr" s="14">
        <is>
          <t xml:space="preserve">Calculation</t>
        </is>
      </c>
      <c r="B678">
        <f>IF(IF(EXACT("Per audit — low",'Model inputs'!O111)="",FALSE,EXACT("Per audit — low",'Model inputs'!O111)),IF('Model inputs'!K43="","",'Model inputs'!K43),"")</f>
      </c>
    </row>
    <row r="679">
      <c r="A679" t="inlineStr" s="14">
        <is>
          <t xml:space="preserve">Calculation</t>
        </is>
      </c>
      <c r="B679">
        <f>IF(IF(EXACT("Annual deal-team",'Model inputs'!O111)="",FALSE,EXACT("Annual deal-team",'Model inputs'!O111)),IF('Model inputs'!L39="","",'Model inputs'!L39),"")</f>
      </c>
    </row>
    <row r="680">
      <c r="A680" t="inlineStr" s="14">
        <is>
          <t xml:space="preserve">Calculation</t>
        </is>
      </c>
      <c r="B680">
        <f>IF(IF(EXACT("Hybrid",'Model inputs'!O111)="",FALSE,EXACT("Hybrid",'Model inputs'!O111)),IF('Model inputs'!L40="","",'Model inputs'!L40),"")</f>
      </c>
    </row>
    <row r="681">
      <c r="A681" t="inlineStr" s="14">
        <is>
          <t xml:space="preserve">Calculation</t>
        </is>
      </c>
      <c r="B681">
        <f>IF(IF(EXACT("Per audit — base",'Model inputs'!O111)="",FALSE,EXACT("Per audit — base",'Model inputs'!O111)),IF('Model inputs'!L41="","",'Model inputs'!L41),"")</f>
      </c>
    </row>
    <row r="682">
      <c r="A682" t="inlineStr" s="14">
        <is>
          <t xml:space="preserve">Calculation</t>
        </is>
      </c>
      <c r="B682">
        <f>IF(IF(EXACT("Per audit — high",'Model inputs'!O111)="",FALSE,EXACT("Per audit — high",'Model inputs'!O111)),IF('Model inputs'!L42="","",'Model inputs'!L42),"")</f>
      </c>
    </row>
    <row r="683">
      <c r="A683" t="inlineStr" s="14">
        <is>
          <t xml:space="preserve">Calculation</t>
        </is>
      </c>
      <c r="B683">
        <f>IF(IF(EXACT("Per audit — low",'Model inputs'!O111)="",FALSE,EXACT("Per audit — low",'Model inputs'!O111)),IF('Model inputs'!L43="","",'Model inputs'!L43),"")</f>
      </c>
    </row>
    <row r="684">
      <c r="A684" t="inlineStr" s="14">
        <is>
          <t xml:space="preserve">Calculation</t>
        </is>
      </c>
      <c r="B684">
        <f>IF(IF(EXACT("Annual deal-team",'Model inputs'!O111)="",FALSE,EXACT("Annual deal-team",'Model inputs'!O111)),IF('Model inputs'!M39="","",'Model inputs'!M39),"")</f>
      </c>
    </row>
    <row r="685">
      <c r="A685" t="inlineStr" s="14">
        <is>
          <t xml:space="preserve">Calculation</t>
        </is>
      </c>
      <c r="B685">
        <f>IF(IF(EXACT("Hybrid",'Model inputs'!O111)="",FALSE,EXACT("Hybrid",'Model inputs'!O111)),IF('Model inputs'!M40="","",'Model inputs'!M40),"")</f>
      </c>
    </row>
    <row r="686">
      <c r="A686" t="inlineStr" s="14">
        <is>
          <t xml:space="preserve">Calculation</t>
        </is>
      </c>
      <c r="B686">
        <f>IF(IF(EXACT("Per audit — base",'Model inputs'!O111)="",FALSE,EXACT("Per audit — base",'Model inputs'!O111)),IF('Model inputs'!M41="","",'Model inputs'!M41),"")</f>
      </c>
    </row>
    <row r="687">
      <c r="A687" t="inlineStr" s="14">
        <is>
          <t xml:space="preserve">Calculation</t>
        </is>
      </c>
      <c r="B687">
        <f>IF(IF(EXACT("Per audit — high",'Model inputs'!O111)="",FALSE,EXACT("Per audit — high",'Model inputs'!O111)),IF('Model inputs'!M42="","",'Model inputs'!M42),"")</f>
      </c>
    </row>
    <row r="688">
      <c r="A688" t="inlineStr" s="14">
        <is>
          <t xml:space="preserve">Calculation</t>
        </is>
      </c>
      <c r="B688">
        <f>IF(IF(EXACT("Per audit — low",'Model inputs'!O111)="",FALSE,EXACT("Per audit — low",'Model inputs'!O111)),IF('Model inputs'!M43="","",'Model inputs'!M43),"")</f>
      </c>
    </row>
    <row r="689">
      <c r="A689" t="inlineStr" s="14">
        <is>
          <t xml:space="preserve">Calculation</t>
        </is>
      </c>
      <c r="B689">
        <f>IF(IF(EXACT("Annual deal-team",'Model inputs'!O111)="",FALSE,EXACT("Annual deal-team",'Model inputs'!O111)),IF('Model inputs'!N39="","",'Model inputs'!N39),"")</f>
      </c>
    </row>
    <row r="690">
      <c r="A690" t="inlineStr" s="14">
        <is>
          <t xml:space="preserve">Calculation</t>
        </is>
      </c>
      <c r="B690">
        <f>IF(IF(EXACT("Hybrid",'Model inputs'!O111)="",FALSE,EXACT("Hybrid",'Model inputs'!O111)),IF('Model inputs'!N40="","",'Model inputs'!N40),"")</f>
      </c>
    </row>
    <row r="691">
      <c r="A691" t="inlineStr" s="14">
        <is>
          <t xml:space="preserve">Calculation</t>
        </is>
      </c>
      <c r="B691">
        <f>IF(IF(EXACT("Per audit — base",'Model inputs'!O111)="",FALSE,EXACT("Per audit — base",'Model inputs'!O111)),IF('Model inputs'!N41="","",'Model inputs'!N41),"")</f>
      </c>
    </row>
    <row r="692">
      <c r="A692" t="inlineStr" s="14">
        <is>
          <t xml:space="preserve">Calculation</t>
        </is>
      </c>
      <c r="B692">
        <f>IF(IF(EXACT("Per audit — high",'Model inputs'!O111)="",FALSE,EXACT("Per audit — high",'Model inputs'!O111)),IF('Model inputs'!N42="","",'Model inputs'!N42),"")</f>
      </c>
    </row>
    <row r="693">
      <c r="A693" t="inlineStr" s="14">
        <is>
          <t xml:space="preserve">Calculation</t>
        </is>
      </c>
      <c r="B693">
        <f>IF(IF(EXACT("Per audit — low",'Model inputs'!O111)="",FALSE,EXACT("Per audit — low",'Model inputs'!O111)),IF('Model inputs'!N43="","",'Model inputs'!N43),"")</f>
      </c>
    </row>
    <row r="694">
      <c r="A694" t="inlineStr" s="14">
        <is>
          <t xml:space="preserve">Calculation</t>
        </is>
      </c>
      <c r="B694">
        <f>IF(IF(EXACT("Annual deal-team",'Model inputs'!O111)="",FALSE,EXACT("Annual deal-team",'Model inputs'!O111)),IF('Model inputs'!C33="","",'Model inputs'!C33),"")</f>
      </c>
    </row>
    <row r="695">
      <c r="A695" t="inlineStr" s="14">
        <is>
          <t xml:space="preserve">Calculation</t>
        </is>
      </c>
      <c r="B695">
        <f>IF(IF(EXACT("Hybrid",'Model inputs'!O111)="",FALSE,EXACT("Hybrid",'Model inputs'!O111)),IF('Model inputs'!C34="","",'Model inputs'!C34),"")</f>
      </c>
    </row>
    <row r="696">
      <c r="A696" t="inlineStr" s="14">
        <is>
          <t xml:space="preserve">Calculation</t>
        </is>
      </c>
      <c r="B696">
        <f>IF(IF(EXACT("Per audit — base",'Model inputs'!O111)="",FALSE,EXACT("Per audit — base",'Model inputs'!O111)),IF('Model inputs'!C35="","",'Model inputs'!C35),"")</f>
      </c>
    </row>
    <row r="697">
      <c r="A697" t="inlineStr" s="14">
        <is>
          <t xml:space="preserve">Calculation</t>
        </is>
      </c>
      <c r="B697">
        <f>IF(IF(EXACT("Per audit — high",'Model inputs'!O111)="",FALSE,EXACT("Per audit — high",'Model inputs'!O111)),IF('Model inputs'!C36="","",'Model inputs'!C36),"")</f>
      </c>
    </row>
    <row r="698">
      <c r="A698" t="inlineStr" s="14">
        <is>
          <t xml:space="preserve">Calculation</t>
        </is>
      </c>
      <c r="B698">
        <f>IF(IF(EXACT("Per audit — low",'Model inputs'!O111)="",FALSE,EXACT("Per audit — low",'Model inputs'!O111)),IF('Model inputs'!C37="","",'Model inputs'!C37),"")</f>
      </c>
    </row>
    <row r="699">
      <c r="A699" t="inlineStr" s="14">
        <is>
          <t xml:space="preserve">Calculation</t>
        </is>
      </c>
      <c r="B699">
        <f>IF(IF(EXACT("Annual deal-team",'Model inputs'!O111)="",FALSE,EXACT("Annual deal-team",'Model inputs'!O111)),IF('Model inputs'!D33="","",'Model inputs'!D33),"")</f>
      </c>
    </row>
    <row r="700">
      <c r="A700" t="inlineStr" s="14">
        <is>
          <t xml:space="preserve">Calculation</t>
        </is>
      </c>
      <c r="B700">
        <f>IF(IF(EXACT("Hybrid",'Model inputs'!O111)="",FALSE,EXACT("Hybrid",'Model inputs'!O111)),IF('Model inputs'!D34="","",'Model inputs'!D34),"")</f>
      </c>
    </row>
    <row r="701">
      <c r="A701" t="inlineStr" s="14">
        <is>
          <t xml:space="preserve">Calculation</t>
        </is>
      </c>
      <c r="B701">
        <f>IF(IF(EXACT("Per audit — base",'Model inputs'!O111)="",FALSE,EXACT("Per audit — base",'Model inputs'!O111)),IF('Model inputs'!D35="","",'Model inputs'!D35),"")</f>
      </c>
    </row>
    <row r="702">
      <c r="A702" t="inlineStr" s="14">
        <is>
          <t xml:space="preserve">Calculation</t>
        </is>
      </c>
      <c r="B702">
        <f>IF(IF(EXACT("Per audit — high",'Model inputs'!O111)="",FALSE,EXACT("Per audit — high",'Model inputs'!O111)),IF('Model inputs'!D36="","",'Model inputs'!D36),"")</f>
      </c>
    </row>
    <row r="703">
      <c r="A703" t="inlineStr" s="14">
        <is>
          <t xml:space="preserve">Calculation</t>
        </is>
      </c>
      <c r="B703">
        <f>IF(IF(EXACT("Per audit — low",'Model inputs'!O111)="",FALSE,EXACT("Per audit — low",'Model inputs'!O111)),IF('Model inputs'!D37="","",'Model inputs'!D37),"")</f>
      </c>
    </row>
    <row r="704">
      <c r="A704" t="inlineStr" s="14">
        <is>
          <t xml:space="preserve">Calculation</t>
        </is>
      </c>
      <c r="B704">
        <f>IF(IF(EXACT("Annual deal-team",'Model inputs'!O111)="",FALSE,EXACT("Annual deal-team",'Model inputs'!O111)),IF('Model inputs'!E33="","",'Model inputs'!E33),"")</f>
      </c>
    </row>
    <row r="705">
      <c r="A705" t="inlineStr" s="14">
        <is>
          <t xml:space="preserve">Calculation</t>
        </is>
      </c>
      <c r="B705">
        <f>IF(IF(EXACT("Hybrid",'Model inputs'!O111)="",FALSE,EXACT("Hybrid",'Model inputs'!O111)),IF('Model inputs'!E34="","",'Model inputs'!E34),"")</f>
      </c>
    </row>
    <row r="706">
      <c r="A706" t="inlineStr" s="14">
        <is>
          <t xml:space="preserve">Calculation</t>
        </is>
      </c>
      <c r="B706">
        <f>IF(IF(EXACT("Per audit — base",'Model inputs'!O111)="",FALSE,EXACT("Per audit — base",'Model inputs'!O111)),IF('Model inputs'!E35="","",'Model inputs'!E35),"")</f>
      </c>
    </row>
    <row r="707">
      <c r="A707" t="inlineStr" s="14">
        <is>
          <t xml:space="preserve">Calculation</t>
        </is>
      </c>
      <c r="B707">
        <f>IF(IF(EXACT("Per audit — high",'Model inputs'!O111)="",FALSE,EXACT("Per audit — high",'Model inputs'!O111)),IF('Model inputs'!E36="","",'Model inputs'!E36),"")</f>
      </c>
    </row>
    <row r="708">
      <c r="A708" t="inlineStr" s="14">
        <is>
          <t xml:space="preserve">Calculation</t>
        </is>
      </c>
      <c r="B708">
        <f>IF(IF(EXACT("Per audit — low",'Model inputs'!O111)="",FALSE,EXACT("Per audit — low",'Model inputs'!O111)),IF('Model inputs'!E37="","",'Model inputs'!E37),"")</f>
      </c>
    </row>
    <row r="709">
      <c r="A709" t="inlineStr" s="14">
        <is>
          <t xml:space="preserve">Calculation</t>
        </is>
      </c>
      <c r="B709">
        <f>IF(IF(EXACT("Annual deal-team",'Model inputs'!O111)="",FALSE,EXACT("Annual deal-team",'Model inputs'!O111)),IF('Model inputs'!F33="","",'Model inputs'!F33),"")</f>
      </c>
    </row>
    <row r="710">
      <c r="A710" t="inlineStr" s="14">
        <is>
          <t xml:space="preserve">Calculation</t>
        </is>
      </c>
      <c r="B710">
        <f>IF(IF(EXACT("Hybrid",'Model inputs'!O111)="",FALSE,EXACT("Hybrid",'Model inputs'!O111)),IF('Model inputs'!F34="","",'Model inputs'!F34),"")</f>
      </c>
    </row>
    <row r="711">
      <c r="A711" t="inlineStr" s="14">
        <is>
          <t xml:space="preserve">Calculation</t>
        </is>
      </c>
      <c r="B711">
        <f>IF(IF(EXACT("Per audit — base",'Model inputs'!O111)="",FALSE,EXACT("Per audit — base",'Model inputs'!O111)),IF('Model inputs'!F35="","",'Model inputs'!F35),"")</f>
      </c>
    </row>
    <row r="712">
      <c r="A712" t="inlineStr" s="14">
        <is>
          <t xml:space="preserve">Calculation</t>
        </is>
      </c>
      <c r="B712">
        <f>IF(IF(EXACT("Per audit — high",'Model inputs'!O111)="",FALSE,EXACT("Per audit — high",'Model inputs'!O111)),IF('Model inputs'!F36="","",'Model inputs'!F36),"")</f>
      </c>
    </row>
    <row r="713">
      <c r="A713" t="inlineStr" s="14">
        <is>
          <t xml:space="preserve">Calculation</t>
        </is>
      </c>
      <c r="B713">
        <f>IF(IF(EXACT("Per audit — low",'Model inputs'!O111)="",FALSE,EXACT("Per audit — low",'Model inputs'!O111)),IF('Model inputs'!F37="","",'Model inputs'!F37),"")</f>
      </c>
    </row>
    <row r="714">
      <c r="A714" t="inlineStr" s="14">
        <is>
          <t xml:space="preserve">Calculation</t>
        </is>
      </c>
      <c r="B714">
        <f>IF(IF(EXACT("Annual deal-team",'Model inputs'!O111)="",FALSE,EXACT("Annual deal-team",'Model inputs'!O111)),IF('Model inputs'!G33="","",'Model inputs'!G33),"")</f>
      </c>
    </row>
    <row r="715">
      <c r="A715" t="inlineStr" s="14">
        <is>
          <t xml:space="preserve">Calculation</t>
        </is>
      </c>
      <c r="B715">
        <f>IF(IF(EXACT("Hybrid",'Model inputs'!O111)="",FALSE,EXACT("Hybrid",'Model inputs'!O111)),IF('Model inputs'!G34="","",'Model inputs'!G34),"")</f>
      </c>
    </row>
    <row r="716">
      <c r="A716" t="inlineStr" s="14">
        <is>
          <t xml:space="preserve">Calculation</t>
        </is>
      </c>
      <c r="B716">
        <f>IF(IF(EXACT("Per audit — base",'Model inputs'!O111)="",FALSE,EXACT("Per audit — base",'Model inputs'!O111)),IF('Model inputs'!G35="","",'Model inputs'!G35),"")</f>
      </c>
    </row>
    <row r="717">
      <c r="A717" t="inlineStr" s="14">
        <is>
          <t xml:space="preserve">Calculation</t>
        </is>
      </c>
      <c r="B717">
        <f>IF(IF(EXACT("Per audit — high",'Model inputs'!O111)="",FALSE,EXACT("Per audit — high",'Model inputs'!O111)),IF('Model inputs'!G36="","",'Model inputs'!G36),"")</f>
      </c>
    </row>
    <row r="718">
      <c r="A718" t="inlineStr" s="14">
        <is>
          <t xml:space="preserve">Calculation</t>
        </is>
      </c>
      <c r="B718">
        <f>IF(IF(EXACT("Per audit — low",'Model inputs'!O111)="",FALSE,EXACT("Per audit — low",'Model inputs'!O111)),IF('Model inputs'!G37="","",'Model inputs'!G37),"")</f>
      </c>
    </row>
    <row r="719">
      <c r="A719" t="inlineStr" s="14">
        <is>
          <t xml:space="preserve">Calculation</t>
        </is>
      </c>
      <c r="B719">
        <f>IF(IF(EXACT("Annual deal-team",'Model inputs'!O111)="",FALSE,EXACT("Annual deal-team",'Model inputs'!O111)),IF('Model inputs'!H33="","",'Model inputs'!H33),"")</f>
      </c>
    </row>
    <row r="720">
      <c r="A720" t="inlineStr" s="14">
        <is>
          <t xml:space="preserve">Calculation</t>
        </is>
      </c>
      <c r="B720">
        <f>IF(IF(EXACT("Hybrid",'Model inputs'!O111)="",FALSE,EXACT("Hybrid",'Model inputs'!O111)),IF('Model inputs'!H34="","",'Model inputs'!H34),"")</f>
      </c>
    </row>
    <row r="721">
      <c r="A721" t="inlineStr" s="14">
        <is>
          <t xml:space="preserve">Calculation</t>
        </is>
      </c>
      <c r="B721">
        <f>IF(IF(EXACT("Per audit — base",'Model inputs'!O111)="",FALSE,EXACT("Per audit — base",'Model inputs'!O111)),IF('Model inputs'!H35="","",'Model inputs'!H35),"")</f>
      </c>
    </row>
    <row r="722">
      <c r="A722" t="inlineStr" s="14">
        <is>
          <t xml:space="preserve">Calculation</t>
        </is>
      </c>
      <c r="B722">
        <f>IF(IF(EXACT("Per audit — high",'Model inputs'!O111)="",FALSE,EXACT("Per audit — high",'Model inputs'!O111)),IF('Model inputs'!H36="","",'Model inputs'!H36),"")</f>
      </c>
    </row>
    <row r="723">
      <c r="A723" t="inlineStr" s="14">
        <is>
          <t xml:space="preserve">Calculation</t>
        </is>
      </c>
      <c r="B723">
        <f>IF(IF(EXACT("Per audit — low",'Model inputs'!O111)="",FALSE,EXACT("Per audit — low",'Model inputs'!O111)),IF('Model inputs'!H37="","",'Model inputs'!H37),"")</f>
      </c>
    </row>
    <row r="724">
      <c r="A724" t="inlineStr" s="14">
        <is>
          <t xml:space="preserve">Calculation</t>
        </is>
      </c>
      <c r="B724">
        <f>IF(IF(EXACT("Annual deal-team",'Model inputs'!O111)="",FALSE,EXACT("Annual deal-team",'Model inputs'!O111)),IF('Model inputs'!I33="","",'Model inputs'!I33),"")</f>
      </c>
    </row>
    <row r="725">
      <c r="A725" t="inlineStr" s="14">
        <is>
          <t xml:space="preserve">Calculation</t>
        </is>
      </c>
      <c r="B725">
        <f>IF(IF(EXACT("Hybrid",'Model inputs'!O111)="",FALSE,EXACT("Hybrid",'Model inputs'!O111)),IF('Model inputs'!I34="","",'Model inputs'!I34),"")</f>
      </c>
    </row>
    <row r="726">
      <c r="A726" t="inlineStr" s="14">
        <is>
          <t xml:space="preserve">Calculation</t>
        </is>
      </c>
      <c r="B726">
        <f>IF(IF(EXACT("Per audit — base",'Model inputs'!O111)="",FALSE,EXACT("Per audit — base",'Model inputs'!O111)),IF('Model inputs'!I35="","",'Model inputs'!I35),"")</f>
      </c>
    </row>
    <row r="727">
      <c r="A727" t="inlineStr" s="14">
        <is>
          <t xml:space="preserve">Calculation</t>
        </is>
      </c>
      <c r="B727">
        <f>IF(IF(EXACT("Per audit — high",'Model inputs'!O111)="",FALSE,EXACT("Per audit — high",'Model inputs'!O111)),IF('Model inputs'!I36="","",'Model inputs'!I36),"")</f>
      </c>
    </row>
    <row r="728">
      <c r="A728" t="inlineStr" s="14">
        <is>
          <t xml:space="preserve">Calculation</t>
        </is>
      </c>
      <c r="B728">
        <f>IF(IF(EXACT("Per audit — low",'Model inputs'!O111)="",FALSE,EXACT("Per audit — low",'Model inputs'!O111)),IF('Model inputs'!I37="","",'Model inputs'!I37),"")</f>
      </c>
    </row>
    <row r="729">
      <c r="A729" t="inlineStr" s="14">
        <is>
          <t xml:space="preserve">Calculation</t>
        </is>
      </c>
      <c r="B729">
        <f>IF(IF(EXACT("Annual deal-team",'Model inputs'!O111)="",FALSE,EXACT("Annual deal-team",'Model inputs'!O111)),IF('Model inputs'!J33="","",'Model inputs'!J33),"")</f>
      </c>
    </row>
    <row r="730">
      <c r="A730" t="inlineStr" s="14">
        <is>
          <t xml:space="preserve">Calculation</t>
        </is>
      </c>
      <c r="B730">
        <f>IF(IF(EXACT("Hybrid",'Model inputs'!O111)="",FALSE,EXACT("Hybrid",'Model inputs'!O111)),IF('Model inputs'!J34="","",'Model inputs'!J34),"")</f>
      </c>
    </row>
    <row r="731">
      <c r="A731" t="inlineStr" s="14">
        <is>
          <t xml:space="preserve">Calculation</t>
        </is>
      </c>
      <c r="B731">
        <f>IF(IF(EXACT("Per audit — base",'Model inputs'!O111)="",FALSE,EXACT("Per audit — base",'Model inputs'!O111)),IF('Model inputs'!J35="","",'Model inputs'!J35),"")</f>
      </c>
    </row>
    <row r="732">
      <c r="A732" t="inlineStr" s="14">
        <is>
          <t xml:space="preserve">Calculation</t>
        </is>
      </c>
      <c r="B732">
        <f>IF(IF(EXACT("Per audit — high",'Model inputs'!O111)="",FALSE,EXACT("Per audit — high",'Model inputs'!O111)),IF('Model inputs'!J36="","",'Model inputs'!J36),"")</f>
      </c>
    </row>
    <row r="733">
      <c r="A733" t="inlineStr" s="14">
        <is>
          <t xml:space="preserve">Calculation</t>
        </is>
      </c>
      <c r="B733">
        <f>IF(IF(EXACT("Per audit — low",'Model inputs'!O111)="",FALSE,EXACT("Per audit — low",'Model inputs'!O111)),IF('Model inputs'!J37="","",'Model inputs'!J37),"")</f>
      </c>
    </row>
    <row r="734">
      <c r="A734" t="inlineStr" s="14">
        <is>
          <t xml:space="preserve">Calculation</t>
        </is>
      </c>
      <c r="B734">
        <f>IF(IF(EXACT("Annual deal-team",'Model inputs'!O111)="",FALSE,EXACT("Annual deal-team",'Model inputs'!O111)),IF('Model inputs'!K33="","",'Model inputs'!K33),"")</f>
      </c>
    </row>
    <row r="735">
      <c r="A735" t="inlineStr" s="14">
        <is>
          <t xml:space="preserve">Calculation</t>
        </is>
      </c>
      <c r="B735">
        <f>IF(IF(EXACT("Hybrid",'Model inputs'!O111)="",FALSE,EXACT("Hybrid",'Model inputs'!O111)),IF('Model inputs'!K34="","",'Model inputs'!K34),"")</f>
      </c>
    </row>
    <row r="736">
      <c r="A736" t="inlineStr" s="14">
        <is>
          <t xml:space="preserve">Calculation</t>
        </is>
      </c>
      <c r="B736">
        <f>IF(IF(EXACT("Per audit — base",'Model inputs'!O111)="",FALSE,EXACT("Per audit — base",'Model inputs'!O111)),IF('Model inputs'!K35="","",'Model inputs'!K35),"")</f>
      </c>
    </row>
    <row r="737">
      <c r="A737" t="inlineStr" s="14">
        <is>
          <t xml:space="preserve">Calculation</t>
        </is>
      </c>
      <c r="B737">
        <f>IF(IF(EXACT("Per audit — high",'Model inputs'!O111)="",FALSE,EXACT("Per audit — high",'Model inputs'!O111)),IF('Model inputs'!K36="","",'Model inputs'!K36),"")</f>
      </c>
    </row>
    <row r="738">
      <c r="A738" t="inlineStr" s="14">
        <is>
          <t xml:space="preserve">Calculation</t>
        </is>
      </c>
      <c r="B738">
        <f>IF(IF(EXACT("Per audit — low",'Model inputs'!O111)="",FALSE,EXACT("Per audit — low",'Model inputs'!O111)),IF('Model inputs'!K37="","",'Model inputs'!K37),"")</f>
      </c>
    </row>
    <row r="739">
      <c r="A739" t="inlineStr" s="14">
        <is>
          <t xml:space="preserve">Calculation</t>
        </is>
      </c>
      <c r="B739">
        <f>IF(IF(EXACT("Annual deal-team",'Model inputs'!O111)="",FALSE,EXACT("Annual deal-team",'Model inputs'!O111)),IF('Model inputs'!L33="","",'Model inputs'!L33),"")</f>
      </c>
    </row>
    <row r="740">
      <c r="A740" t="inlineStr" s="14">
        <is>
          <t xml:space="preserve">Calculation</t>
        </is>
      </c>
      <c r="B740">
        <f>IF(IF(EXACT("Hybrid",'Model inputs'!O111)="",FALSE,EXACT("Hybrid",'Model inputs'!O111)),IF('Model inputs'!L34="","",'Model inputs'!L34),"")</f>
      </c>
    </row>
    <row r="741">
      <c r="A741" t="inlineStr" s="14">
        <is>
          <t xml:space="preserve">Calculation</t>
        </is>
      </c>
      <c r="B741">
        <f>IF(IF(EXACT("Per audit — base",'Model inputs'!O111)="",FALSE,EXACT("Per audit — base",'Model inputs'!O111)),IF('Model inputs'!L35="","",'Model inputs'!L35),"")</f>
      </c>
    </row>
    <row r="742">
      <c r="A742" t="inlineStr" s="14">
        <is>
          <t xml:space="preserve">Calculation</t>
        </is>
      </c>
      <c r="B742">
        <f>IF(IF(EXACT("Per audit — high",'Model inputs'!O111)="",FALSE,EXACT("Per audit — high",'Model inputs'!O111)),IF('Model inputs'!L36="","",'Model inputs'!L36),"")</f>
      </c>
    </row>
    <row r="743">
      <c r="A743" t="inlineStr" s="14">
        <is>
          <t xml:space="preserve">Calculation</t>
        </is>
      </c>
      <c r="B743">
        <f>IF(IF(EXACT("Per audit — low",'Model inputs'!O111)="",FALSE,EXACT("Per audit — low",'Model inputs'!O111)),IF('Model inputs'!L37="","",'Model inputs'!L37),"")</f>
      </c>
    </row>
    <row r="744">
      <c r="A744" t="inlineStr" s="14">
        <is>
          <t xml:space="preserve">Calculation</t>
        </is>
      </c>
      <c r="B744">
        <f>IF(IF(EXACT("Annual deal-team",'Model inputs'!O111)="",FALSE,EXACT("Annual deal-team",'Model inputs'!O111)),IF('Model inputs'!M33="","",'Model inputs'!M33),"")</f>
      </c>
    </row>
    <row r="745">
      <c r="A745" t="inlineStr" s="14">
        <is>
          <t xml:space="preserve">Calculation</t>
        </is>
      </c>
      <c r="B745">
        <f>IF(IF(EXACT("Hybrid",'Model inputs'!O111)="",FALSE,EXACT("Hybrid",'Model inputs'!O111)),IF('Model inputs'!M34="","",'Model inputs'!M34),"")</f>
      </c>
    </row>
    <row r="746">
      <c r="A746" t="inlineStr" s="14">
        <is>
          <t xml:space="preserve">Calculation</t>
        </is>
      </c>
      <c r="B746">
        <f>IF(IF(EXACT("Per audit — base",'Model inputs'!O111)="",FALSE,EXACT("Per audit — base",'Model inputs'!O111)),IF('Model inputs'!M35="","",'Model inputs'!M35),"")</f>
      </c>
    </row>
    <row r="747">
      <c r="A747" t="inlineStr" s="14">
        <is>
          <t xml:space="preserve">Calculation</t>
        </is>
      </c>
      <c r="B747">
        <f>IF(IF(EXACT("Per audit — high",'Model inputs'!O111)="",FALSE,EXACT("Per audit — high",'Model inputs'!O111)),IF('Model inputs'!M36="","",'Model inputs'!M36),"")</f>
      </c>
    </row>
    <row r="748">
      <c r="A748" t="inlineStr" s="14">
        <is>
          <t xml:space="preserve">Calculation</t>
        </is>
      </c>
      <c r="B748">
        <f>IF(IF(EXACT("Per audit — low",'Model inputs'!O111)="",FALSE,EXACT("Per audit — low",'Model inputs'!O111)),IF('Model inputs'!M37="","",'Model inputs'!M37),"")</f>
      </c>
    </row>
    <row r="749">
      <c r="A749" t="inlineStr" s="14">
        <is>
          <t xml:space="preserve">Calculation</t>
        </is>
      </c>
      <c r="B749">
        <f>IF(IF(EXACT("Annual deal-team",'Model inputs'!O111)="",FALSE,EXACT("Annual deal-team",'Model inputs'!O111)),IF('Model inputs'!N33="","",'Model inputs'!N33),"")</f>
      </c>
    </row>
    <row r="750">
      <c r="A750" t="inlineStr" s="14">
        <is>
          <t xml:space="preserve">Calculation</t>
        </is>
      </c>
      <c r="B750">
        <f>IF(IF(EXACT("Hybrid",'Model inputs'!O111)="",FALSE,EXACT("Hybrid",'Model inputs'!O111)),IF('Model inputs'!N34="","",'Model inputs'!N34),"")</f>
      </c>
    </row>
    <row r="751">
      <c r="A751" t="inlineStr" s="14">
        <is>
          <t xml:space="preserve">Calculation</t>
        </is>
      </c>
      <c r="B751">
        <f>IF(IF(EXACT("Per audit — base",'Model inputs'!O111)="",FALSE,EXACT("Per audit — base",'Model inputs'!O111)),IF('Model inputs'!N35="","",'Model inputs'!N35),"")</f>
      </c>
    </row>
    <row r="752">
      <c r="A752" t="inlineStr" s="14">
        <is>
          <t xml:space="preserve">Calculation</t>
        </is>
      </c>
      <c r="B752">
        <f>IF(IF(EXACT("Per audit — high",'Model inputs'!O111)="",FALSE,EXACT("Per audit — high",'Model inputs'!O111)),IF('Model inputs'!N36="","",'Model inputs'!N36),"")</f>
      </c>
    </row>
    <row r="753">
      <c r="A753" t="inlineStr" s="14">
        <is>
          <t xml:space="preserve">Calculation</t>
        </is>
      </c>
      <c r="B753">
        <f>IF(IF(EXACT("Per audit — low",'Model inputs'!O111)="",FALSE,EXACT("Per audit — low",'Model inputs'!O111)),IF('Model inputs'!N37="","",'Model inputs'!N37),"")</f>
      </c>
    </row>
    <row r="754">
      <c r="A754" t="inlineStr" s="14">
        <is>
          <t xml:space="preserve">Calculation</t>
        </is>
      </c>
      <c r="B754">
        <f>IF(IF(EXACT("Annual deal-team",'Model inputs'!O111)="",FALSE,EXACT("Annual deal-team",'Model inputs'!O111)),IF('Model inputs'!C23="","",'Model inputs'!C23),"")</f>
      </c>
    </row>
    <row r="755">
      <c r="A755" t="inlineStr" s="14">
        <is>
          <t xml:space="preserve">Calculation</t>
        </is>
      </c>
      <c r="B755">
        <f>IF(IF(EXACT("Hybrid",'Model inputs'!O111)="",FALSE,EXACT("Hybrid",'Model inputs'!O111)),IF('Model inputs'!C24="","",'Model inputs'!C24),"")</f>
      </c>
    </row>
    <row r="756">
      <c r="A756" t="inlineStr" s="14">
        <is>
          <t xml:space="preserve">Calculation</t>
        </is>
      </c>
      <c r="B756">
        <f>IF(IF(EXACT("Per audit — base",'Model inputs'!O111)="",FALSE,EXACT("Per audit — base",'Model inputs'!O111)),IF('Model inputs'!C25="","",'Model inputs'!C25),"")</f>
      </c>
    </row>
    <row r="757">
      <c r="A757" t="inlineStr" s="14">
        <is>
          <t xml:space="preserve">Calculation</t>
        </is>
      </c>
      <c r="B757">
        <f>IF(IF(EXACT("Per audit — high",'Model inputs'!O111)="",FALSE,EXACT("Per audit — high",'Model inputs'!O111)),IF('Model inputs'!C26="","",'Model inputs'!C26),"")</f>
      </c>
    </row>
    <row r="758">
      <c r="A758" t="inlineStr" s="14">
        <is>
          <t xml:space="preserve">Calculation</t>
        </is>
      </c>
      <c r="B758">
        <f>IF(IF(EXACT("Per audit — low",'Model inputs'!O111)="",FALSE,EXACT("Per audit — low",'Model inputs'!O111)),IF('Model inputs'!C27="","",'Model inputs'!C27),"")</f>
      </c>
    </row>
    <row r="759">
      <c r="A759" t="inlineStr" s="14">
        <is>
          <t xml:space="preserve">Calculation</t>
        </is>
      </c>
      <c r="B759">
        <f>IF(IF(EXACT("Annual deal-team",'Model inputs'!O111)="",FALSE,EXACT("Annual deal-team",'Model inputs'!O111)),IF('Model inputs'!D23="","",'Model inputs'!D23),"")</f>
      </c>
    </row>
    <row r="760">
      <c r="A760" t="inlineStr" s="14">
        <is>
          <t xml:space="preserve">Calculation</t>
        </is>
      </c>
      <c r="B760">
        <f>IF(IF(EXACT("Hybrid",'Model inputs'!O111)="",FALSE,EXACT("Hybrid",'Model inputs'!O111)),IF('Model inputs'!D24="","",'Model inputs'!D24),"")</f>
      </c>
    </row>
    <row r="761">
      <c r="A761" t="inlineStr" s="14">
        <is>
          <t xml:space="preserve">Calculation</t>
        </is>
      </c>
      <c r="B761">
        <f>IF(IF(EXACT("Per audit — base",'Model inputs'!O111)="",FALSE,EXACT("Per audit — base",'Model inputs'!O111)),IF('Model inputs'!D25="","",'Model inputs'!D25),"")</f>
      </c>
    </row>
    <row r="762">
      <c r="A762" t="inlineStr" s="14">
        <is>
          <t xml:space="preserve">Calculation</t>
        </is>
      </c>
      <c r="B762">
        <f>IF(IF(EXACT("Per audit — high",'Model inputs'!O111)="",FALSE,EXACT("Per audit — high",'Model inputs'!O111)),IF('Model inputs'!D26="","",'Model inputs'!D26),"")</f>
      </c>
    </row>
    <row r="763">
      <c r="A763" t="inlineStr" s="14">
        <is>
          <t xml:space="preserve">Calculation</t>
        </is>
      </c>
      <c r="B763">
        <f>IF(IF(EXACT("Per audit — low",'Model inputs'!O111)="",FALSE,EXACT("Per audit — low",'Model inputs'!O111)),IF('Model inputs'!D27="","",'Model inputs'!D27),"")</f>
      </c>
    </row>
    <row r="764">
      <c r="A764" t="inlineStr" s="14">
        <is>
          <t xml:space="preserve">Calculation</t>
        </is>
      </c>
      <c r="B764">
        <f>IF(IF(EXACT("Annual deal-team",'Model inputs'!O111)="",FALSE,EXACT("Annual deal-team",'Model inputs'!O111)),IF('Model inputs'!E23="","",'Model inputs'!E23),"")</f>
      </c>
    </row>
    <row r="765">
      <c r="A765" t="inlineStr" s="14">
        <is>
          <t xml:space="preserve">Calculation</t>
        </is>
      </c>
      <c r="B765">
        <f>IF(IF(EXACT("Hybrid",'Model inputs'!O111)="",FALSE,EXACT("Hybrid",'Model inputs'!O111)),IF('Model inputs'!E24="","",'Model inputs'!E24),"")</f>
      </c>
    </row>
    <row r="766">
      <c r="A766" t="inlineStr" s="14">
        <is>
          <t xml:space="preserve">Calculation</t>
        </is>
      </c>
      <c r="B766">
        <f>IF(IF(EXACT("Per audit — base",'Model inputs'!O111)="",FALSE,EXACT("Per audit — base",'Model inputs'!O111)),IF('Model inputs'!E25="","",'Model inputs'!E25),"")</f>
      </c>
    </row>
    <row r="767">
      <c r="A767" t="inlineStr" s="14">
        <is>
          <t xml:space="preserve">Calculation</t>
        </is>
      </c>
      <c r="B767">
        <f>IF(IF(EXACT("Per audit — high",'Model inputs'!O111)="",FALSE,EXACT("Per audit — high",'Model inputs'!O111)),IF('Model inputs'!E26="","",'Model inputs'!E26),"")</f>
      </c>
    </row>
    <row r="768">
      <c r="A768" t="inlineStr" s="14">
        <is>
          <t xml:space="preserve">Calculation</t>
        </is>
      </c>
      <c r="B768">
        <f>IF(IF(EXACT("Per audit — low",'Model inputs'!O111)="",FALSE,EXACT("Per audit — low",'Model inputs'!O111)),IF('Model inputs'!E27="","",'Model inputs'!E27),"")</f>
      </c>
    </row>
    <row r="769">
      <c r="A769" t="inlineStr" s="14">
        <is>
          <t xml:space="preserve">Calculation</t>
        </is>
      </c>
      <c r="B769">
        <f>IF(IF(EXACT("Annual deal-team",'Model inputs'!O111)="",FALSE,EXACT("Annual deal-team",'Model inputs'!O111)),IF('Model inputs'!F23="","",'Model inputs'!F23),"")</f>
      </c>
    </row>
    <row r="770">
      <c r="A770" t="inlineStr" s="14">
        <is>
          <t xml:space="preserve">Calculation</t>
        </is>
      </c>
      <c r="B770">
        <f>IF(IF(EXACT("Hybrid",'Model inputs'!O111)="",FALSE,EXACT("Hybrid",'Model inputs'!O111)),IF('Model inputs'!F24="","",'Model inputs'!F24),"")</f>
      </c>
    </row>
    <row r="771">
      <c r="A771" t="inlineStr" s="14">
        <is>
          <t xml:space="preserve">Calculation</t>
        </is>
      </c>
      <c r="B771">
        <f>IF(IF(EXACT("Per audit — base",'Model inputs'!O111)="",FALSE,EXACT("Per audit — base",'Model inputs'!O111)),IF('Model inputs'!F25="","",'Model inputs'!F25),"")</f>
      </c>
    </row>
    <row r="772">
      <c r="A772" t="inlineStr" s="14">
        <is>
          <t xml:space="preserve">Calculation</t>
        </is>
      </c>
      <c r="B772">
        <f>IF(IF(EXACT("Per audit — high",'Model inputs'!O111)="",FALSE,EXACT("Per audit — high",'Model inputs'!O111)),IF('Model inputs'!F26="","",'Model inputs'!F26),"")</f>
      </c>
    </row>
    <row r="773">
      <c r="A773" t="inlineStr" s="14">
        <is>
          <t xml:space="preserve">Calculation</t>
        </is>
      </c>
      <c r="B773">
        <f>IF(IF(EXACT("Per audit — low",'Model inputs'!O111)="",FALSE,EXACT("Per audit — low",'Model inputs'!O111)),IF('Model inputs'!F27="","",'Model inputs'!F27),"")</f>
      </c>
    </row>
    <row r="774">
      <c r="A774" t="inlineStr" s="14">
        <is>
          <t xml:space="preserve">Calculation</t>
        </is>
      </c>
      <c r="B774">
        <f>IF(IF(EXACT("Annual deal-team",'Model inputs'!O111)="",FALSE,EXACT("Annual deal-team",'Model inputs'!O111)),IF('Model inputs'!G23="","",'Model inputs'!G23),"")</f>
      </c>
    </row>
    <row r="775">
      <c r="A775" t="inlineStr" s="14">
        <is>
          <t xml:space="preserve">Calculation</t>
        </is>
      </c>
      <c r="B775">
        <f>IF(IF(EXACT("Hybrid",'Model inputs'!O111)="",FALSE,EXACT("Hybrid",'Model inputs'!O111)),IF('Model inputs'!G24="","",'Model inputs'!G24),"")</f>
      </c>
    </row>
    <row r="776">
      <c r="A776" t="inlineStr" s="14">
        <is>
          <t xml:space="preserve">Calculation</t>
        </is>
      </c>
      <c r="B776">
        <f>IF(IF(EXACT("Per audit — base",'Model inputs'!O111)="",FALSE,EXACT("Per audit — base",'Model inputs'!O111)),IF('Model inputs'!G25="","",'Model inputs'!G25),"")</f>
      </c>
    </row>
    <row r="777">
      <c r="A777" t="inlineStr" s="14">
        <is>
          <t xml:space="preserve">Calculation</t>
        </is>
      </c>
      <c r="B777">
        <f>IF(IF(EXACT("Per audit — high",'Model inputs'!O111)="",FALSE,EXACT("Per audit — high",'Model inputs'!O111)),IF('Model inputs'!G26="","",'Model inputs'!G26),"")</f>
      </c>
    </row>
    <row r="778">
      <c r="A778" t="inlineStr" s="14">
        <is>
          <t xml:space="preserve">Calculation</t>
        </is>
      </c>
      <c r="B778">
        <f>IF(IF(EXACT("Per audit — low",'Model inputs'!O111)="",FALSE,EXACT("Per audit — low",'Model inputs'!O111)),IF('Model inputs'!G27="","",'Model inputs'!G27),"")</f>
      </c>
    </row>
    <row r="779">
      <c r="A779" t="inlineStr" s="14">
        <is>
          <t xml:space="preserve">Calculation</t>
        </is>
      </c>
      <c r="B779">
        <f>IF(IF(EXACT("Annual deal-team",'Model inputs'!O111)="",FALSE,EXACT("Annual deal-team",'Model inputs'!O111)),IF('Model inputs'!H23="","",'Model inputs'!H23),"")</f>
      </c>
    </row>
    <row r="780">
      <c r="A780" t="inlineStr" s="14">
        <is>
          <t xml:space="preserve">Calculation</t>
        </is>
      </c>
      <c r="B780">
        <f>IF(IF(EXACT("Hybrid",'Model inputs'!O111)="",FALSE,EXACT("Hybrid",'Model inputs'!O111)),IF('Model inputs'!H24="","",'Model inputs'!H24),"")</f>
      </c>
    </row>
    <row r="781">
      <c r="A781" t="inlineStr" s="14">
        <is>
          <t xml:space="preserve">Calculation</t>
        </is>
      </c>
      <c r="B781">
        <f>IF(IF(EXACT("Per audit — base",'Model inputs'!O111)="",FALSE,EXACT("Per audit — base",'Model inputs'!O111)),IF('Model inputs'!H25="","",'Model inputs'!H25),"")</f>
      </c>
    </row>
    <row r="782">
      <c r="A782" t="inlineStr" s="14">
        <is>
          <t xml:space="preserve">Calculation</t>
        </is>
      </c>
      <c r="B782">
        <f>IF(IF(EXACT("Per audit — high",'Model inputs'!O111)="",FALSE,EXACT("Per audit — high",'Model inputs'!O111)),IF('Model inputs'!H26="","",'Model inputs'!H26),"")</f>
      </c>
    </row>
    <row r="783">
      <c r="A783" t="inlineStr" s="14">
        <is>
          <t xml:space="preserve">Calculation</t>
        </is>
      </c>
      <c r="B783">
        <f>IF(IF(EXACT("Per audit — low",'Model inputs'!O111)="",FALSE,EXACT("Per audit — low",'Model inputs'!O111)),IF('Model inputs'!H27="","",'Model inputs'!H27),"")</f>
      </c>
    </row>
    <row r="784">
      <c r="A784" t="inlineStr" s="14">
        <is>
          <t xml:space="preserve">Calculation</t>
        </is>
      </c>
      <c r="B784">
        <f>IF(IF(EXACT("Annual deal-team",'Model inputs'!O111)="",FALSE,EXACT("Annual deal-team",'Model inputs'!O111)),IF('Model inputs'!I23="","",'Model inputs'!I23),"")</f>
      </c>
    </row>
    <row r="785">
      <c r="A785" t="inlineStr" s="14">
        <is>
          <t xml:space="preserve">Calculation</t>
        </is>
      </c>
      <c r="B785">
        <f>IF(IF(EXACT("Hybrid",'Model inputs'!O111)="",FALSE,EXACT("Hybrid",'Model inputs'!O111)),IF('Model inputs'!I24="","",'Model inputs'!I24),"")</f>
      </c>
    </row>
    <row r="786">
      <c r="A786" t="inlineStr" s="14">
        <is>
          <t xml:space="preserve">Calculation</t>
        </is>
      </c>
      <c r="B786">
        <f>IF(IF(EXACT("Per audit — base",'Model inputs'!O111)="",FALSE,EXACT("Per audit — base",'Model inputs'!O111)),IF('Model inputs'!I25="","",'Model inputs'!I25),"")</f>
      </c>
    </row>
    <row r="787">
      <c r="A787" t="inlineStr" s="14">
        <is>
          <t xml:space="preserve">Calculation</t>
        </is>
      </c>
      <c r="B787">
        <f>IF(IF(EXACT("Per audit — high",'Model inputs'!O111)="",FALSE,EXACT("Per audit — high",'Model inputs'!O111)),IF('Model inputs'!I26="","",'Model inputs'!I26),"")</f>
      </c>
    </row>
    <row r="788">
      <c r="A788" t="inlineStr" s="14">
        <is>
          <t xml:space="preserve">Calculation</t>
        </is>
      </c>
      <c r="B788">
        <f>IF(IF(EXACT("Per audit — low",'Model inputs'!O111)="",FALSE,EXACT("Per audit — low",'Model inputs'!O111)),IF('Model inputs'!I27="","",'Model inputs'!I27),"")</f>
      </c>
    </row>
    <row r="789">
      <c r="A789" t="inlineStr" s="14">
        <is>
          <t xml:space="preserve">Calculation</t>
        </is>
      </c>
      <c r="B789">
        <f>IF(IF(EXACT("Annual deal-team",'Model inputs'!O111)="",FALSE,EXACT("Annual deal-team",'Model inputs'!O111)),IF('Model inputs'!J23="","",'Model inputs'!J23),"")</f>
      </c>
    </row>
    <row r="790">
      <c r="A790" t="inlineStr" s="14">
        <is>
          <t xml:space="preserve">Calculation</t>
        </is>
      </c>
      <c r="B790">
        <f>IF(IF(EXACT("Hybrid",'Model inputs'!O111)="",FALSE,EXACT("Hybrid",'Model inputs'!O111)),IF('Model inputs'!J24="","",'Model inputs'!J24),"")</f>
      </c>
    </row>
    <row r="791">
      <c r="A791" t="inlineStr" s="14">
        <is>
          <t xml:space="preserve">Calculation</t>
        </is>
      </c>
      <c r="B791">
        <f>IF(IF(EXACT("Per audit — base",'Model inputs'!O111)="",FALSE,EXACT("Per audit — base",'Model inputs'!O111)),IF('Model inputs'!J25="","",'Model inputs'!J25),"")</f>
      </c>
    </row>
    <row r="792">
      <c r="A792" t="inlineStr" s="14">
        <is>
          <t xml:space="preserve">Calculation</t>
        </is>
      </c>
      <c r="B792">
        <f>IF(IF(EXACT("Per audit — high",'Model inputs'!O111)="",FALSE,EXACT("Per audit — high",'Model inputs'!O111)),IF('Model inputs'!J26="","",'Model inputs'!J26),"")</f>
      </c>
    </row>
    <row r="793">
      <c r="A793" t="inlineStr" s="14">
        <is>
          <t xml:space="preserve">Calculation</t>
        </is>
      </c>
      <c r="B793">
        <f>IF(IF(EXACT("Per audit — low",'Model inputs'!O111)="",FALSE,EXACT("Per audit — low",'Model inputs'!O111)),IF('Model inputs'!J27="","",'Model inputs'!J27),"")</f>
      </c>
    </row>
    <row r="794">
      <c r="A794" t="inlineStr" s="14">
        <is>
          <t xml:space="preserve">Calculation</t>
        </is>
      </c>
      <c r="B794">
        <f>IF(IF(EXACT("Annual deal-team",'Model inputs'!O111)="",FALSE,EXACT("Annual deal-team",'Model inputs'!O111)),IF('Model inputs'!K23="","",'Model inputs'!K23),"")</f>
      </c>
    </row>
    <row r="795">
      <c r="A795" t="inlineStr" s="14">
        <is>
          <t xml:space="preserve">Calculation</t>
        </is>
      </c>
      <c r="B795">
        <f>IF(IF(EXACT("Hybrid",'Model inputs'!O111)="",FALSE,EXACT("Hybrid",'Model inputs'!O111)),IF('Model inputs'!K24="","",'Model inputs'!K24),"")</f>
      </c>
    </row>
    <row r="796">
      <c r="A796" t="inlineStr" s="14">
        <is>
          <t xml:space="preserve">Calculation</t>
        </is>
      </c>
      <c r="B796">
        <f>IF(IF(EXACT("Per audit — base",'Model inputs'!O111)="",FALSE,EXACT("Per audit — base",'Model inputs'!O111)),IF('Model inputs'!K25="","",'Model inputs'!K25),"")</f>
      </c>
    </row>
    <row r="797">
      <c r="A797" t="inlineStr" s="14">
        <is>
          <t xml:space="preserve">Calculation</t>
        </is>
      </c>
      <c r="B797">
        <f>IF(IF(EXACT("Per audit — high",'Model inputs'!O111)="",FALSE,EXACT("Per audit — high",'Model inputs'!O111)),IF('Model inputs'!K26="","",'Model inputs'!K26),"")</f>
      </c>
    </row>
    <row r="798">
      <c r="A798" t="inlineStr" s="14">
        <is>
          <t xml:space="preserve">Calculation</t>
        </is>
      </c>
      <c r="B798">
        <f>IF(IF(EXACT("Per audit — low",'Model inputs'!O111)="",FALSE,EXACT("Per audit — low",'Model inputs'!O111)),IF('Model inputs'!K27="","",'Model inputs'!K27),"")</f>
      </c>
    </row>
    <row r="799">
      <c r="A799" t="inlineStr" s="14">
        <is>
          <t xml:space="preserve">Calculation</t>
        </is>
      </c>
      <c r="B799">
        <f>IF(IF(EXACT("Annual deal-team",'Model inputs'!O111)="",FALSE,EXACT("Annual deal-team",'Model inputs'!O111)),IF('Model inputs'!L23="","",'Model inputs'!L23),"")</f>
      </c>
    </row>
    <row r="800">
      <c r="A800" t="inlineStr" s="14">
        <is>
          <t xml:space="preserve">Calculation</t>
        </is>
      </c>
      <c r="B800">
        <f>IF(IF(EXACT("Hybrid",'Model inputs'!O111)="",FALSE,EXACT("Hybrid",'Model inputs'!O111)),IF('Model inputs'!L24="","",'Model inputs'!L24),"")</f>
      </c>
    </row>
    <row r="801">
      <c r="A801" t="inlineStr" s="14">
        <is>
          <t xml:space="preserve">Calculation</t>
        </is>
      </c>
      <c r="B801">
        <f>IF(IF(EXACT("Per audit — base",'Model inputs'!O111)="",FALSE,EXACT("Per audit — base",'Model inputs'!O111)),IF('Model inputs'!L25="","",'Model inputs'!L25),"")</f>
      </c>
    </row>
    <row r="802">
      <c r="A802" t="inlineStr" s="14">
        <is>
          <t xml:space="preserve">Calculation</t>
        </is>
      </c>
      <c r="B802">
        <f>IF(IF(EXACT("Per audit — high",'Model inputs'!O111)="",FALSE,EXACT("Per audit — high",'Model inputs'!O111)),IF('Model inputs'!L26="","",'Model inputs'!L26),"")</f>
      </c>
    </row>
    <row r="803">
      <c r="A803" t="inlineStr" s="14">
        <is>
          <t xml:space="preserve">Calculation</t>
        </is>
      </c>
      <c r="B803">
        <f>IF(IF(EXACT("Per audit — low",'Model inputs'!O111)="",FALSE,EXACT("Per audit — low",'Model inputs'!O111)),IF('Model inputs'!L27="","",'Model inputs'!L27),"")</f>
      </c>
    </row>
    <row r="804">
      <c r="A804" t="inlineStr" s="14">
        <is>
          <t xml:space="preserve">Calculation</t>
        </is>
      </c>
      <c r="B804">
        <f>IF(IF(EXACT("Annual deal-team",'Model inputs'!O111)="",FALSE,EXACT("Annual deal-team",'Model inputs'!O111)),IF('Model inputs'!M23="","",'Model inputs'!M23),"")</f>
      </c>
    </row>
    <row r="805">
      <c r="A805" t="inlineStr" s="14">
        <is>
          <t xml:space="preserve">Calculation</t>
        </is>
      </c>
      <c r="B805">
        <f>IF(IF(EXACT("Hybrid",'Model inputs'!O111)="",FALSE,EXACT("Hybrid",'Model inputs'!O111)),IF('Model inputs'!M24="","",'Model inputs'!M24),"")</f>
      </c>
    </row>
    <row r="806">
      <c r="A806" t="inlineStr" s="14">
        <is>
          <t xml:space="preserve">Calculation</t>
        </is>
      </c>
      <c r="B806">
        <f>IF(IF(EXACT("Per audit — base",'Model inputs'!O111)="",FALSE,EXACT("Per audit — base",'Model inputs'!O111)),IF('Model inputs'!M25="","",'Model inputs'!M25),"")</f>
      </c>
    </row>
    <row r="807">
      <c r="A807" t="inlineStr" s="14">
        <is>
          <t xml:space="preserve">Calculation</t>
        </is>
      </c>
      <c r="B807">
        <f>IF(IF(EXACT("Per audit — high",'Model inputs'!O111)="",FALSE,EXACT("Per audit — high",'Model inputs'!O111)),IF('Model inputs'!M26="","",'Model inputs'!M26),"")</f>
      </c>
    </row>
    <row r="808">
      <c r="A808" t="inlineStr" s="14">
        <is>
          <t xml:space="preserve">Calculation</t>
        </is>
      </c>
      <c r="B808">
        <f>IF(IF(EXACT("Per audit — low",'Model inputs'!O111)="",FALSE,EXACT("Per audit — low",'Model inputs'!O111)),IF('Model inputs'!M27="","",'Model inputs'!M27),"")</f>
      </c>
    </row>
    <row r="809">
      <c r="A809" t="inlineStr" s="14">
        <is>
          <t xml:space="preserve">Calculation</t>
        </is>
      </c>
      <c r="B809">
        <f>IF(IF(EXACT("Annual deal-team",'Model inputs'!O111)="",FALSE,EXACT("Annual deal-team",'Model inputs'!O111)),IF('Model inputs'!N23="","",'Model inputs'!N23),"")</f>
      </c>
    </row>
    <row r="810">
      <c r="A810" t="inlineStr" s="14">
        <is>
          <t xml:space="preserve">Calculation</t>
        </is>
      </c>
      <c r="B810">
        <f>IF(IF(EXACT("Hybrid",'Model inputs'!O111)="",FALSE,EXACT("Hybrid",'Model inputs'!O111)),IF('Model inputs'!N24="","",'Model inputs'!N24),"")</f>
      </c>
    </row>
    <row r="811">
      <c r="A811" t="inlineStr" s="14">
        <is>
          <t xml:space="preserve">Calculation</t>
        </is>
      </c>
      <c r="B811">
        <f>IF(IF(EXACT("Per audit — base",'Model inputs'!O111)="",FALSE,EXACT("Per audit — base",'Model inputs'!O111)),IF('Model inputs'!N25="","",'Model inputs'!N25),"")</f>
      </c>
    </row>
    <row r="812">
      <c r="A812" t="inlineStr" s="14">
        <is>
          <t xml:space="preserve">Calculation</t>
        </is>
      </c>
      <c r="B812">
        <f>IF(IF(EXACT("Per audit — high",'Model inputs'!O111)="",FALSE,EXACT("Per audit — high",'Model inputs'!O111)),IF('Model inputs'!N26="","",'Model inputs'!N26),"")</f>
      </c>
    </row>
    <row r="813">
      <c r="A813" t="inlineStr" s="14">
        <is>
          <t xml:space="preserve">Calculation</t>
        </is>
      </c>
      <c r="B813">
        <f>IF(IF(EXACT("Per audit — low",'Model inputs'!O111)="",FALSE,EXACT("Per audit — low",'Model inputs'!O111)),IF('Model inputs'!N27="","",'Model inputs'!N27),"")</f>
      </c>
    </row>
    <row r="814">
      <c r="A814" t="inlineStr" s="14">
        <is>
          <t xml:space="preserve">Calculation</t>
        </is>
      </c>
      <c r="B814">
        <f>IF(IF(EXACT("Annual deal-team",'Model inputs'!O111)="",FALSE,EXACT("Annual deal-team",'Model inputs'!O111)),IF('Model inputs'!C89="","",'Model inputs'!C89),"")</f>
      </c>
    </row>
    <row r="815">
      <c r="A815" t="inlineStr" s="14">
        <is>
          <t xml:space="preserve">Calculation</t>
        </is>
      </c>
      <c r="B815">
        <f>IF(IF(EXACT("Hybrid",'Model inputs'!O111)="",FALSE,EXACT("Hybrid",'Model inputs'!O111)),IF('Model inputs'!C90="","",'Model inputs'!C90),"")</f>
      </c>
    </row>
    <row r="816">
      <c r="A816" t="inlineStr" s="14">
        <is>
          <t xml:space="preserve">Calculation</t>
        </is>
      </c>
      <c r="B816">
        <f>IF(IF(EXACT("Per audit — base",'Model inputs'!O111)="",FALSE,EXACT("Per audit — base",'Model inputs'!O111)),IF('Model inputs'!C91="","",'Model inputs'!C91),"")</f>
      </c>
    </row>
    <row r="817">
      <c r="A817" t="inlineStr" s="14">
        <is>
          <t xml:space="preserve">Calculation</t>
        </is>
      </c>
      <c r="B817">
        <f>IF(IF(EXACT("Per audit — high",'Model inputs'!O111)="",FALSE,EXACT("Per audit — high",'Model inputs'!O111)),IF('Model inputs'!C92="","",'Model inputs'!C92),"")</f>
      </c>
    </row>
    <row r="818">
      <c r="A818" t="inlineStr" s="14">
        <is>
          <t xml:space="preserve">Calculation</t>
        </is>
      </c>
      <c r="B818">
        <f>IF(IF(EXACT("Per audit — low",'Model inputs'!O111)="",FALSE,EXACT("Per audit — low",'Model inputs'!O111)),IF('Model inputs'!C93="","",'Model inputs'!C93),"")</f>
      </c>
    </row>
    <row r="819">
      <c r="A819" t="inlineStr" s="14">
        <is>
          <t xml:space="preserve">Calculation</t>
        </is>
      </c>
      <c r="B819">
        <f>IF(IF(EXACT("Annual deal-team",'Model inputs'!O111)="",FALSE,EXACT("Annual deal-team",'Model inputs'!O111)),IF('Model inputs'!D89="","",'Model inputs'!D89),"")</f>
      </c>
    </row>
    <row r="820">
      <c r="A820" t="inlineStr" s="14">
        <is>
          <t xml:space="preserve">Calculation</t>
        </is>
      </c>
      <c r="B820">
        <f>IF(IF(EXACT("Hybrid",'Model inputs'!O111)="",FALSE,EXACT("Hybrid",'Model inputs'!O111)),IF('Model inputs'!D90="","",'Model inputs'!D90),"")</f>
      </c>
    </row>
    <row r="821">
      <c r="A821" t="inlineStr" s="14">
        <is>
          <t xml:space="preserve">Calculation</t>
        </is>
      </c>
      <c r="B821">
        <f>IF(IF(EXACT("Per audit — base",'Model inputs'!O111)="",FALSE,EXACT("Per audit — base",'Model inputs'!O111)),IF('Model inputs'!D91="","",'Model inputs'!D91),"")</f>
      </c>
    </row>
    <row r="822">
      <c r="A822" t="inlineStr" s="14">
        <is>
          <t xml:space="preserve">Calculation</t>
        </is>
      </c>
      <c r="B822">
        <f>IF(IF(EXACT("Per audit — high",'Model inputs'!O111)="",FALSE,EXACT("Per audit — high",'Model inputs'!O111)),IF('Model inputs'!D92="","",'Model inputs'!D92),"")</f>
      </c>
    </row>
    <row r="823">
      <c r="A823" t="inlineStr" s="14">
        <is>
          <t xml:space="preserve">Calculation</t>
        </is>
      </c>
      <c r="B823">
        <f>IF(IF(EXACT("Per audit — low",'Model inputs'!O111)="",FALSE,EXACT("Per audit — low",'Model inputs'!O111)),IF('Model inputs'!D93="","",'Model inputs'!D93),"")</f>
      </c>
    </row>
    <row r="824">
      <c r="A824" t="inlineStr" s="14">
        <is>
          <t xml:space="preserve">Calculation</t>
        </is>
      </c>
      <c r="B824">
        <f>IF(IF(EXACT("Annual deal-team",'Model inputs'!O111)="",FALSE,EXACT("Annual deal-team",'Model inputs'!O111)),IF('Model inputs'!E89="","",'Model inputs'!E89),"")</f>
      </c>
    </row>
    <row r="825">
      <c r="A825" t="inlineStr" s="14">
        <is>
          <t xml:space="preserve">Calculation</t>
        </is>
      </c>
      <c r="B825">
        <f>IF(IF(EXACT("Hybrid",'Model inputs'!O111)="",FALSE,EXACT("Hybrid",'Model inputs'!O111)),IF('Model inputs'!E90="","",'Model inputs'!E90),"")</f>
      </c>
    </row>
    <row r="826">
      <c r="A826" t="inlineStr" s="14">
        <is>
          <t xml:space="preserve">Calculation</t>
        </is>
      </c>
      <c r="B826">
        <f>IF(IF(EXACT("Per audit — base",'Model inputs'!O111)="",FALSE,EXACT("Per audit — base",'Model inputs'!O111)),IF('Model inputs'!E91="","",'Model inputs'!E91),"")</f>
      </c>
    </row>
    <row r="827">
      <c r="A827" t="inlineStr" s="14">
        <is>
          <t xml:space="preserve">Calculation</t>
        </is>
      </c>
      <c r="B827">
        <f>IF(IF(EXACT("Per audit — high",'Model inputs'!O111)="",FALSE,EXACT("Per audit — high",'Model inputs'!O111)),IF('Model inputs'!E92="","",'Model inputs'!E92),"")</f>
      </c>
    </row>
    <row r="828">
      <c r="A828" t="inlineStr" s="14">
        <is>
          <t xml:space="preserve">Calculation</t>
        </is>
      </c>
      <c r="B828">
        <f>IF(IF(EXACT("Per audit — low",'Model inputs'!O111)="",FALSE,EXACT("Per audit — low",'Model inputs'!O111)),IF('Model inputs'!E93="","",'Model inputs'!E93),"")</f>
      </c>
    </row>
    <row r="829">
      <c r="A829" t="inlineStr" s="14">
        <is>
          <t xml:space="preserve">Calculation</t>
        </is>
      </c>
      <c r="B829">
        <f>IF(IF(EXACT("Annual deal-team",'Model inputs'!O111)="",FALSE,EXACT("Annual deal-team",'Model inputs'!O111)),IF('Model inputs'!F89="","",'Model inputs'!F89),"")</f>
      </c>
    </row>
    <row r="830">
      <c r="A830" t="inlineStr" s="14">
        <is>
          <t xml:space="preserve">Calculation</t>
        </is>
      </c>
      <c r="B830">
        <f>IF(IF(EXACT("Hybrid",'Model inputs'!O111)="",FALSE,EXACT("Hybrid",'Model inputs'!O111)),IF('Model inputs'!F90="","",'Model inputs'!F90),"")</f>
      </c>
    </row>
    <row r="831">
      <c r="A831" t="inlineStr" s="14">
        <is>
          <t xml:space="preserve">Calculation</t>
        </is>
      </c>
      <c r="B831">
        <f>IF(IF(EXACT("Per audit — base",'Model inputs'!O111)="",FALSE,EXACT("Per audit — base",'Model inputs'!O111)),IF('Model inputs'!F91="","",'Model inputs'!F91),"")</f>
      </c>
    </row>
    <row r="832">
      <c r="A832" t="inlineStr" s="14">
        <is>
          <t xml:space="preserve">Calculation</t>
        </is>
      </c>
      <c r="B832">
        <f>IF(IF(EXACT("Per audit — high",'Model inputs'!O111)="",FALSE,EXACT("Per audit — high",'Model inputs'!O111)),IF('Model inputs'!F92="","",'Model inputs'!F92),"")</f>
      </c>
    </row>
    <row r="833">
      <c r="A833" t="inlineStr" s="14">
        <is>
          <t xml:space="preserve">Calculation</t>
        </is>
      </c>
      <c r="B833">
        <f>IF(IF(EXACT("Per audit — low",'Model inputs'!O111)="",FALSE,EXACT("Per audit — low",'Model inputs'!O111)),IF('Model inputs'!F93="","",'Model inputs'!F93),"")</f>
      </c>
    </row>
    <row r="834">
      <c r="A834" t="inlineStr" s="14">
        <is>
          <t xml:space="preserve">Calculation</t>
        </is>
      </c>
      <c r="B834">
        <f>IF(IF(EXACT("Annual deal-team",'Model inputs'!O111)="",FALSE,EXACT("Annual deal-team",'Model inputs'!O111)),IF('Model inputs'!G89="","",'Model inputs'!G89),"")</f>
      </c>
    </row>
    <row r="835">
      <c r="A835" t="inlineStr" s="14">
        <is>
          <t xml:space="preserve">Calculation</t>
        </is>
      </c>
      <c r="B835">
        <f>IF(IF(EXACT("Hybrid",'Model inputs'!O111)="",FALSE,EXACT("Hybrid",'Model inputs'!O111)),IF('Model inputs'!G90="","",'Model inputs'!G90),"")</f>
      </c>
    </row>
    <row r="836">
      <c r="A836" t="inlineStr" s="14">
        <is>
          <t xml:space="preserve">Calculation</t>
        </is>
      </c>
      <c r="B836">
        <f>IF(IF(EXACT("Per audit — base",'Model inputs'!O111)="",FALSE,EXACT("Per audit — base",'Model inputs'!O111)),IF('Model inputs'!G91="","",'Model inputs'!G91),"")</f>
      </c>
    </row>
    <row r="837">
      <c r="A837" t="inlineStr" s="14">
        <is>
          <t xml:space="preserve">Calculation</t>
        </is>
      </c>
      <c r="B837">
        <f>IF(IF(EXACT("Per audit — high",'Model inputs'!O111)="",FALSE,EXACT("Per audit — high",'Model inputs'!O111)),IF('Model inputs'!G92="","",'Model inputs'!G92),"")</f>
      </c>
    </row>
    <row r="838">
      <c r="A838" t="inlineStr" s="14">
        <is>
          <t xml:space="preserve">Calculation</t>
        </is>
      </c>
      <c r="B838">
        <f>IF(IF(EXACT("Per audit — low",'Model inputs'!O111)="",FALSE,EXACT("Per audit — low",'Model inputs'!O111)),IF('Model inputs'!G93="","",'Model inputs'!G93),"")</f>
      </c>
    </row>
    <row r="839">
      <c r="A839" t="inlineStr" s="14">
        <is>
          <t xml:space="preserve">Calculation</t>
        </is>
      </c>
      <c r="B839">
        <f>IF(IF(EXACT("Annual deal-team",'Model inputs'!O111)="",FALSE,EXACT("Annual deal-team",'Model inputs'!O111)),IF('Model inputs'!H89="","",'Model inputs'!H89),"")</f>
      </c>
    </row>
    <row r="840">
      <c r="A840" t="inlineStr" s="14">
        <is>
          <t xml:space="preserve">Calculation</t>
        </is>
      </c>
      <c r="B840">
        <f>IF(IF(EXACT("Hybrid",'Model inputs'!O111)="",FALSE,EXACT("Hybrid",'Model inputs'!O111)),IF('Model inputs'!H90="","",'Model inputs'!H90),"")</f>
      </c>
    </row>
    <row r="841">
      <c r="A841" t="inlineStr" s="14">
        <is>
          <t xml:space="preserve">Calculation</t>
        </is>
      </c>
      <c r="B841">
        <f>IF(IF(EXACT("Per audit — base",'Model inputs'!O111)="",FALSE,EXACT("Per audit — base",'Model inputs'!O111)),IF('Model inputs'!H91="","",'Model inputs'!H91),"")</f>
      </c>
    </row>
    <row r="842">
      <c r="A842" t="inlineStr" s="14">
        <is>
          <t xml:space="preserve">Calculation</t>
        </is>
      </c>
      <c r="B842">
        <f>IF(IF(EXACT("Per audit — high",'Model inputs'!O111)="",FALSE,EXACT("Per audit — high",'Model inputs'!O111)),IF('Model inputs'!H92="","",'Model inputs'!H92),"")</f>
      </c>
    </row>
    <row r="843">
      <c r="A843" t="inlineStr" s="14">
        <is>
          <t xml:space="preserve">Calculation</t>
        </is>
      </c>
      <c r="B843">
        <f>IF(IF(EXACT("Per audit — low",'Model inputs'!O111)="",FALSE,EXACT("Per audit — low",'Model inputs'!O111)),IF('Model inputs'!H93="","",'Model inputs'!H93),"")</f>
      </c>
    </row>
    <row r="844">
      <c r="A844" t="inlineStr" s="14">
        <is>
          <t xml:space="preserve">Calculation</t>
        </is>
      </c>
      <c r="B844">
        <f>IF(IF(EXACT("Annual deal-team",'Model inputs'!O111)="",FALSE,EXACT("Annual deal-team",'Model inputs'!O111)),IF('Model inputs'!I89="","",'Model inputs'!I89),"")</f>
      </c>
    </row>
    <row r="845">
      <c r="A845" t="inlineStr" s="14">
        <is>
          <t xml:space="preserve">Calculation</t>
        </is>
      </c>
      <c r="B845">
        <f>IF(IF(EXACT("Hybrid",'Model inputs'!O111)="",FALSE,EXACT("Hybrid",'Model inputs'!O111)),IF('Model inputs'!I90="","",'Model inputs'!I90),"")</f>
      </c>
    </row>
    <row r="846">
      <c r="A846" t="inlineStr" s="14">
        <is>
          <t xml:space="preserve">Calculation</t>
        </is>
      </c>
      <c r="B846">
        <f>IF(IF(EXACT("Per audit — base",'Model inputs'!O111)="",FALSE,EXACT("Per audit — base",'Model inputs'!O111)),IF('Model inputs'!I91="","",'Model inputs'!I91),"")</f>
      </c>
    </row>
    <row r="847">
      <c r="A847" t="inlineStr" s="14">
        <is>
          <t xml:space="preserve">Calculation</t>
        </is>
      </c>
      <c r="B847">
        <f>IF(IF(EXACT("Per audit — high",'Model inputs'!O111)="",FALSE,EXACT("Per audit — high",'Model inputs'!O111)),IF('Model inputs'!I92="","",'Model inputs'!I92),"")</f>
      </c>
    </row>
    <row r="848">
      <c r="A848" t="inlineStr" s="14">
        <is>
          <t xml:space="preserve">Calculation</t>
        </is>
      </c>
      <c r="B848">
        <f>IF(IF(EXACT("Per audit — low",'Model inputs'!O111)="",FALSE,EXACT("Per audit — low",'Model inputs'!O111)),IF('Model inputs'!I93="","",'Model inputs'!I93),"")</f>
      </c>
    </row>
    <row r="849">
      <c r="A849" t="inlineStr" s="14">
        <is>
          <t xml:space="preserve">Calculation</t>
        </is>
      </c>
      <c r="B849">
        <f>IF(IF(EXACT("Annual deal-team",'Model inputs'!O111)="",FALSE,EXACT("Annual deal-team",'Model inputs'!O111)),IF('Model inputs'!J89="","",'Model inputs'!J89),"")</f>
      </c>
    </row>
    <row r="850">
      <c r="A850" t="inlineStr" s="14">
        <is>
          <t xml:space="preserve">Calculation</t>
        </is>
      </c>
      <c r="B850">
        <f>IF(IF(EXACT("Hybrid",'Model inputs'!O111)="",FALSE,EXACT("Hybrid",'Model inputs'!O111)),IF('Model inputs'!J90="","",'Model inputs'!J90),"")</f>
      </c>
    </row>
    <row r="851">
      <c r="A851" t="inlineStr" s="14">
        <is>
          <t xml:space="preserve">Calculation</t>
        </is>
      </c>
      <c r="B851">
        <f>IF(IF(EXACT("Per audit — base",'Model inputs'!O111)="",FALSE,EXACT("Per audit — base",'Model inputs'!O111)),IF('Model inputs'!J91="","",'Model inputs'!J91),"")</f>
      </c>
    </row>
    <row r="852">
      <c r="A852" t="inlineStr" s="14">
        <is>
          <t xml:space="preserve">Calculation</t>
        </is>
      </c>
      <c r="B852">
        <f>IF(IF(EXACT("Per audit — high",'Model inputs'!O111)="",FALSE,EXACT("Per audit — high",'Model inputs'!O111)),IF('Model inputs'!J92="","",'Model inputs'!J92),"")</f>
      </c>
    </row>
    <row r="853">
      <c r="A853" t="inlineStr" s="14">
        <is>
          <t xml:space="preserve">Calculation</t>
        </is>
      </c>
      <c r="B853">
        <f>IF(IF(EXACT("Per audit — low",'Model inputs'!O111)="",FALSE,EXACT("Per audit — low",'Model inputs'!O111)),IF('Model inputs'!J93="","",'Model inputs'!J93),"")</f>
      </c>
    </row>
    <row r="854">
      <c r="A854" t="inlineStr" s="14">
        <is>
          <t xml:space="preserve">Calculation</t>
        </is>
      </c>
      <c r="B854">
        <f>IF(IF(EXACT("Annual deal-team",'Model inputs'!O111)="",FALSE,EXACT("Annual deal-team",'Model inputs'!O111)),IF('Model inputs'!K89="","",'Model inputs'!K89),"")</f>
      </c>
    </row>
    <row r="855">
      <c r="A855" t="inlineStr" s="14">
        <is>
          <t xml:space="preserve">Calculation</t>
        </is>
      </c>
      <c r="B855">
        <f>IF(IF(EXACT("Hybrid",'Model inputs'!O111)="",FALSE,EXACT("Hybrid",'Model inputs'!O111)),IF('Model inputs'!K90="","",'Model inputs'!K90),"")</f>
      </c>
    </row>
    <row r="856">
      <c r="A856" t="inlineStr" s="14">
        <is>
          <t xml:space="preserve">Calculation</t>
        </is>
      </c>
      <c r="B856">
        <f>IF(IF(EXACT("Per audit — base",'Model inputs'!O111)="",FALSE,EXACT("Per audit — base",'Model inputs'!O111)),IF('Model inputs'!K91="","",'Model inputs'!K91),"")</f>
      </c>
    </row>
    <row r="857">
      <c r="A857" t="inlineStr" s="14">
        <is>
          <t xml:space="preserve">Calculation</t>
        </is>
      </c>
      <c r="B857">
        <f>IF(IF(EXACT("Per audit — high",'Model inputs'!O111)="",FALSE,EXACT("Per audit — high",'Model inputs'!O111)),IF('Model inputs'!K92="","",'Model inputs'!K92),"")</f>
      </c>
    </row>
    <row r="858">
      <c r="A858" t="inlineStr" s="14">
        <is>
          <t xml:space="preserve">Calculation</t>
        </is>
      </c>
      <c r="B858">
        <f>IF(IF(EXACT("Per audit — low",'Model inputs'!O111)="",FALSE,EXACT("Per audit — low",'Model inputs'!O111)),IF('Model inputs'!K93="","",'Model inputs'!K93),"")</f>
      </c>
    </row>
    <row r="859">
      <c r="A859" t="inlineStr" s="14">
        <is>
          <t xml:space="preserve">Calculation</t>
        </is>
      </c>
      <c r="B859">
        <f>IF(IF(EXACT("Annual deal-team",'Model inputs'!O111)="",FALSE,EXACT("Annual deal-team",'Model inputs'!O111)),IF('Model inputs'!L89="","",'Model inputs'!L89),"")</f>
      </c>
    </row>
    <row r="860">
      <c r="A860" t="inlineStr" s="14">
        <is>
          <t xml:space="preserve">Calculation</t>
        </is>
      </c>
      <c r="B860">
        <f>IF(IF(EXACT("Hybrid",'Model inputs'!O111)="",FALSE,EXACT("Hybrid",'Model inputs'!O111)),IF('Model inputs'!L90="","",'Model inputs'!L90),"")</f>
      </c>
    </row>
    <row r="861">
      <c r="A861" t="inlineStr" s="14">
        <is>
          <t xml:space="preserve">Calculation</t>
        </is>
      </c>
      <c r="B861">
        <f>IF(IF(EXACT("Per audit — base",'Model inputs'!O111)="",FALSE,EXACT("Per audit — base",'Model inputs'!O111)),IF('Model inputs'!L91="","",'Model inputs'!L91),"")</f>
      </c>
    </row>
    <row r="862">
      <c r="A862" t="inlineStr" s="14">
        <is>
          <t xml:space="preserve">Calculation</t>
        </is>
      </c>
      <c r="B862">
        <f>IF(IF(EXACT("Per audit — high",'Model inputs'!O111)="",FALSE,EXACT("Per audit — high",'Model inputs'!O111)),IF('Model inputs'!L92="","",'Model inputs'!L92),"")</f>
      </c>
    </row>
    <row r="863">
      <c r="A863" t="inlineStr" s="14">
        <is>
          <t xml:space="preserve">Calculation</t>
        </is>
      </c>
      <c r="B863">
        <f>IF(IF(EXACT("Per audit — low",'Model inputs'!O111)="",FALSE,EXACT("Per audit — low",'Model inputs'!O111)),IF('Model inputs'!L93="","",'Model inputs'!L93),"")</f>
      </c>
    </row>
    <row r="864">
      <c r="A864" t="inlineStr" s="14">
        <is>
          <t xml:space="preserve">Calculation</t>
        </is>
      </c>
      <c r="B864">
        <f>IF(IF(EXACT("Annual deal-team",'Model inputs'!O111)="",FALSE,EXACT("Annual deal-team",'Model inputs'!O111)),IF('Model inputs'!M89="","",'Model inputs'!M89),"")</f>
      </c>
    </row>
    <row r="865">
      <c r="A865" t="inlineStr" s="14">
        <is>
          <t xml:space="preserve">Calculation</t>
        </is>
      </c>
      <c r="B865">
        <f>IF(IF(EXACT("Hybrid",'Model inputs'!O111)="",FALSE,EXACT("Hybrid",'Model inputs'!O111)),IF('Model inputs'!M90="","",'Model inputs'!M90),"")</f>
      </c>
    </row>
    <row r="866">
      <c r="A866" t="inlineStr" s="14">
        <is>
          <t xml:space="preserve">Calculation</t>
        </is>
      </c>
      <c r="B866">
        <f>IF(IF(EXACT("Per audit — base",'Model inputs'!O111)="",FALSE,EXACT("Per audit — base",'Model inputs'!O111)),IF('Model inputs'!M91="","",'Model inputs'!M91),"")</f>
      </c>
    </row>
    <row r="867">
      <c r="A867" t="inlineStr" s="14">
        <is>
          <t xml:space="preserve">Calculation</t>
        </is>
      </c>
      <c r="B867">
        <f>IF(IF(EXACT("Per audit — high",'Model inputs'!O111)="",FALSE,EXACT("Per audit — high",'Model inputs'!O111)),IF('Model inputs'!M92="","",'Model inputs'!M92),"")</f>
      </c>
    </row>
    <row r="868">
      <c r="A868" t="inlineStr" s="14">
        <is>
          <t xml:space="preserve">Calculation</t>
        </is>
      </c>
      <c r="B868">
        <f>IF(IF(EXACT("Per audit — low",'Model inputs'!O111)="",FALSE,EXACT("Per audit — low",'Model inputs'!O111)),IF('Model inputs'!M93="","",'Model inputs'!M93),"")</f>
      </c>
    </row>
    <row r="869">
      <c r="A869" t="inlineStr" s="14">
        <is>
          <t xml:space="preserve">Calculation</t>
        </is>
      </c>
      <c r="B869">
        <f>IF(IF(EXACT("Annual deal-team",'Model inputs'!O111)="",FALSE,EXACT("Annual deal-team",'Model inputs'!O111)),IF('Model inputs'!N89="","",'Model inputs'!N89),"")</f>
      </c>
    </row>
    <row r="870">
      <c r="A870" t="inlineStr" s="14">
        <is>
          <t xml:space="preserve">Calculation</t>
        </is>
      </c>
      <c r="B870">
        <f>IF(IF(EXACT("Hybrid",'Model inputs'!O111)="",FALSE,EXACT("Hybrid",'Model inputs'!O111)),IF('Model inputs'!N90="","",'Model inputs'!N90),"")</f>
      </c>
    </row>
    <row r="871">
      <c r="A871" t="inlineStr" s="14">
        <is>
          <t xml:space="preserve">Calculation</t>
        </is>
      </c>
      <c r="B871">
        <f>IF(IF(EXACT("Per audit — base",'Model inputs'!O111)="",FALSE,EXACT("Per audit — base",'Model inputs'!O111)),IF('Model inputs'!N91="","",'Model inputs'!N91),"")</f>
      </c>
    </row>
    <row r="872">
      <c r="A872" t="inlineStr" s="14">
        <is>
          <t xml:space="preserve">Calculation</t>
        </is>
      </c>
      <c r="B872">
        <f>IF(IF(EXACT("Per audit — high",'Model inputs'!O111)="",FALSE,EXACT("Per audit — high",'Model inputs'!O111)),IF('Model inputs'!N92="","",'Model inputs'!N92),"")</f>
      </c>
    </row>
    <row r="873">
      <c r="A873" t="inlineStr" s="14">
        <is>
          <t xml:space="preserve">Calculation</t>
        </is>
      </c>
      <c r="B873">
        <f>IF(IF(EXACT("Per audit — low",'Model inputs'!O111)="",FALSE,EXACT("Per audit — low",'Model inputs'!O111)),IF('Model inputs'!N93="","",'Model inputs'!N93),"")</f>
      </c>
    </row>
    <row r="874">
      <c r="A874" t="inlineStr" s="14">
        <is>
          <t xml:space="preserve">Calculation</t>
        </is>
      </c>
      <c r="B874">
        <f>IF(IF(EXACT("Annual deal-team",'Model inputs'!O111)="",FALSE,EXACT("Annual deal-team",'Model inputs'!O111)),IF('Model inputs'!C83="","",'Model inputs'!C83),"")</f>
      </c>
    </row>
    <row r="875">
      <c r="A875" t="inlineStr" s="14">
        <is>
          <t xml:space="preserve">Calculation</t>
        </is>
      </c>
      <c r="B875">
        <f>IF(IF(EXACT("Hybrid",'Model inputs'!O111)="",FALSE,EXACT("Hybrid",'Model inputs'!O111)),IF('Model inputs'!C84="","",'Model inputs'!C84),"")</f>
      </c>
    </row>
    <row r="876">
      <c r="A876" t="inlineStr" s="14">
        <is>
          <t xml:space="preserve">Calculation</t>
        </is>
      </c>
      <c r="B876">
        <f>IF(IF(EXACT("Per audit — base",'Model inputs'!O111)="",FALSE,EXACT("Per audit — base",'Model inputs'!O111)),IF('Model inputs'!C85="","",'Model inputs'!C85),"")</f>
      </c>
    </row>
    <row r="877">
      <c r="A877" t="inlineStr" s="14">
        <is>
          <t xml:space="preserve">Calculation</t>
        </is>
      </c>
      <c r="B877">
        <f>IF(IF(EXACT("Per audit — high",'Model inputs'!O111)="",FALSE,EXACT("Per audit — high",'Model inputs'!O111)),IF('Model inputs'!C86="","",'Model inputs'!C86),"")</f>
      </c>
    </row>
    <row r="878">
      <c r="A878" t="inlineStr" s="14">
        <is>
          <t xml:space="preserve">Calculation</t>
        </is>
      </c>
      <c r="B878">
        <f>IF(IF(EXACT("Per audit — low",'Model inputs'!O111)="",FALSE,EXACT("Per audit — low",'Model inputs'!O111)),IF('Model inputs'!C87="","",'Model inputs'!C87),"")</f>
      </c>
    </row>
    <row r="879">
      <c r="A879" t="inlineStr" s="14">
        <is>
          <t xml:space="preserve">Calculation</t>
        </is>
      </c>
      <c r="B879">
        <f>IF(IF(EXACT("Annual deal-team",'Model inputs'!O111)="",FALSE,EXACT("Annual deal-team",'Model inputs'!O111)),IF('Model inputs'!D83="","",'Model inputs'!D83),"")</f>
      </c>
    </row>
    <row r="880">
      <c r="A880" t="inlineStr" s="14">
        <is>
          <t xml:space="preserve">Calculation</t>
        </is>
      </c>
      <c r="B880">
        <f>IF(IF(EXACT("Hybrid",'Model inputs'!O111)="",FALSE,EXACT("Hybrid",'Model inputs'!O111)),IF('Model inputs'!D84="","",'Model inputs'!D84),"")</f>
      </c>
    </row>
    <row r="881">
      <c r="A881" t="inlineStr" s="14">
        <is>
          <t xml:space="preserve">Calculation</t>
        </is>
      </c>
      <c r="B881">
        <f>IF(IF(EXACT("Per audit — base",'Model inputs'!O111)="",FALSE,EXACT("Per audit — base",'Model inputs'!O111)),IF('Model inputs'!D85="","",'Model inputs'!D85),"")</f>
      </c>
    </row>
    <row r="882">
      <c r="A882" t="inlineStr" s="14">
        <is>
          <t xml:space="preserve">Calculation</t>
        </is>
      </c>
      <c r="B882">
        <f>IF(IF(EXACT("Per audit — high",'Model inputs'!O111)="",FALSE,EXACT("Per audit — high",'Model inputs'!O111)),IF('Model inputs'!D86="","",'Model inputs'!D86),"")</f>
      </c>
    </row>
    <row r="883">
      <c r="A883" t="inlineStr" s="14">
        <is>
          <t xml:space="preserve">Calculation</t>
        </is>
      </c>
      <c r="B883">
        <f>IF(IF(EXACT("Per audit — low",'Model inputs'!O111)="",FALSE,EXACT("Per audit — low",'Model inputs'!O111)),IF('Model inputs'!D87="","",'Model inputs'!D87),"")</f>
      </c>
    </row>
    <row r="884">
      <c r="A884" t="inlineStr" s="14">
        <is>
          <t xml:space="preserve">Calculation</t>
        </is>
      </c>
      <c r="B884">
        <f>IF(IF(EXACT("Annual deal-team",'Model inputs'!O111)="",FALSE,EXACT("Annual deal-team",'Model inputs'!O111)),IF('Model inputs'!E83="","",'Model inputs'!E83),"")</f>
      </c>
    </row>
    <row r="885">
      <c r="A885" t="inlineStr" s="14">
        <is>
          <t xml:space="preserve">Calculation</t>
        </is>
      </c>
      <c r="B885">
        <f>IF(IF(EXACT("Hybrid",'Model inputs'!O111)="",FALSE,EXACT("Hybrid",'Model inputs'!O111)),IF('Model inputs'!E84="","",'Model inputs'!E84),"")</f>
      </c>
    </row>
    <row r="886">
      <c r="A886" t="inlineStr" s="14">
        <is>
          <t xml:space="preserve">Calculation</t>
        </is>
      </c>
      <c r="B886">
        <f>IF(IF(EXACT("Per audit — base",'Model inputs'!O111)="",FALSE,EXACT("Per audit — base",'Model inputs'!O111)),IF('Model inputs'!E85="","",'Model inputs'!E85),"")</f>
      </c>
    </row>
    <row r="887">
      <c r="A887" t="inlineStr" s="14">
        <is>
          <t xml:space="preserve">Calculation</t>
        </is>
      </c>
      <c r="B887">
        <f>IF(IF(EXACT("Per audit — high",'Model inputs'!O111)="",FALSE,EXACT("Per audit — high",'Model inputs'!O111)),IF('Model inputs'!E86="","",'Model inputs'!E86),"")</f>
      </c>
    </row>
    <row r="888">
      <c r="A888" t="inlineStr" s="14">
        <is>
          <t xml:space="preserve">Calculation</t>
        </is>
      </c>
      <c r="B888">
        <f>IF(IF(EXACT("Per audit — low",'Model inputs'!O111)="",FALSE,EXACT("Per audit — low",'Model inputs'!O111)),IF('Model inputs'!E87="","",'Model inputs'!E87),"")</f>
      </c>
    </row>
    <row r="889">
      <c r="A889" t="inlineStr" s="14">
        <is>
          <t xml:space="preserve">Calculation</t>
        </is>
      </c>
      <c r="B889">
        <f>IF(IF(EXACT("Annual deal-team",'Model inputs'!O111)="",FALSE,EXACT("Annual deal-team",'Model inputs'!O111)),IF('Model inputs'!F83="","",'Model inputs'!F83),"")</f>
      </c>
    </row>
    <row r="890">
      <c r="A890" t="inlineStr" s="14">
        <is>
          <t xml:space="preserve">Calculation</t>
        </is>
      </c>
      <c r="B890">
        <f>IF(IF(EXACT("Hybrid",'Model inputs'!O111)="",FALSE,EXACT("Hybrid",'Model inputs'!O111)),IF('Model inputs'!F84="","",'Model inputs'!F84),"")</f>
      </c>
    </row>
    <row r="891">
      <c r="A891" t="inlineStr" s="14">
        <is>
          <t xml:space="preserve">Calculation</t>
        </is>
      </c>
      <c r="B891">
        <f>IF(IF(EXACT("Per audit — base",'Model inputs'!O111)="",FALSE,EXACT("Per audit — base",'Model inputs'!O111)),IF('Model inputs'!F85="","",'Model inputs'!F85),"")</f>
      </c>
    </row>
    <row r="892">
      <c r="A892" t="inlineStr" s="14">
        <is>
          <t xml:space="preserve">Calculation</t>
        </is>
      </c>
      <c r="B892">
        <f>IF(IF(EXACT("Per audit — high",'Model inputs'!O111)="",FALSE,EXACT("Per audit — high",'Model inputs'!O111)),IF('Model inputs'!F86="","",'Model inputs'!F86),"")</f>
      </c>
    </row>
    <row r="893">
      <c r="A893" t="inlineStr" s="14">
        <is>
          <t xml:space="preserve">Calculation</t>
        </is>
      </c>
      <c r="B893">
        <f>IF(IF(EXACT("Per audit — low",'Model inputs'!O111)="",FALSE,EXACT("Per audit — low",'Model inputs'!O111)),IF('Model inputs'!F87="","",'Model inputs'!F87),"")</f>
      </c>
    </row>
    <row r="894">
      <c r="A894" t="inlineStr" s="14">
        <is>
          <t xml:space="preserve">Calculation</t>
        </is>
      </c>
      <c r="B894">
        <f>IF(IF(EXACT("Annual deal-team",'Model inputs'!O111)="",FALSE,EXACT("Annual deal-team",'Model inputs'!O111)),IF('Model inputs'!G83="","",'Model inputs'!G83),"")</f>
      </c>
    </row>
    <row r="895">
      <c r="A895" t="inlineStr" s="14">
        <is>
          <t xml:space="preserve">Calculation</t>
        </is>
      </c>
      <c r="B895">
        <f>IF(IF(EXACT("Hybrid",'Model inputs'!O111)="",FALSE,EXACT("Hybrid",'Model inputs'!O111)),IF('Model inputs'!G84="","",'Model inputs'!G84),"")</f>
      </c>
    </row>
    <row r="896">
      <c r="A896" t="inlineStr" s="14">
        <is>
          <t xml:space="preserve">Calculation</t>
        </is>
      </c>
      <c r="B896">
        <f>IF(IF(EXACT("Per audit — base",'Model inputs'!O111)="",FALSE,EXACT("Per audit — base",'Model inputs'!O111)),IF('Model inputs'!G85="","",'Model inputs'!G85),"")</f>
      </c>
    </row>
    <row r="897">
      <c r="A897" t="inlineStr" s="14">
        <is>
          <t xml:space="preserve">Calculation</t>
        </is>
      </c>
      <c r="B897">
        <f>IF(IF(EXACT("Per audit — high",'Model inputs'!O111)="",FALSE,EXACT("Per audit — high",'Model inputs'!O111)),IF('Model inputs'!G86="","",'Model inputs'!G86),"")</f>
      </c>
    </row>
    <row r="898">
      <c r="A898" t="inlineStr" s="14">
        <is>
          <t xml:space="preserve">Calculation</t>
        </is>
      </c>
      <c r="B898">
        <f>IF(IF(EXACT("Per audit — low",'Model inputs'!O111)="",FALSE,EXACT("Per audit — low",'Model inputs'!O111)),IF('Model inputs'!G87="","",'Model inputs'!G87),"")</f>
      </c>
    </row>
    <row r="899">
      <c r="A899" t="inlineStr" s="14">
        <is>
          <t xml:space="preserve">Calculation</t>
        </is>
      </c>
      <c r="B899">
        <f>IF(IF(EXACT("Annual deal-team",'Model inputs'!O111)="",FALSE,EXACT("Annual deal-team",'Model inputs'!O111)),IF('Model inputs'!H83="","",'Model inputs'!H83),"")</f>
      </c>
    </row>
    <row r="900">
      <c r="A900" t="inlineStr" s="14">
        <is>
          <t xml:space="preserve">Calculation</t>
        </is>
      </c>
      <c r="B900">
        <f>IF(IF(EXACT("Hybrid",'Model inputs'!O111)="",FALSE,EXACT("Hybrid",'Model inputs'!O111)),IF('Model inputs'!H84="","",'Model inputs'!H84),"")</f>
      </c>
    </row>
    <row r="901">
      <c r="A901" t="inlineStr" s="14">
        <is>
          <t xml:space="preserve">Calculation</t>
        </is>
      </c>
      <c r="B901">
        <f>IF(IF(EXACT("Per audit — base",'Model inputs'!O111)="",FALSE,EXACT("Per audit — base",'Model inputs'!O111)),IF('Model inputs'!H85="","",'Model inputs'!H85),"")</f>
      </c>
    </row>
    <row r="902">
      <c r="A902" t="inlineStr" s="14">
        <is>
          <t xml:space="preserve">Calculation</t>
        </is>
      </c>
      <c r="B902">
        <f>IF(IF(EXACT("Per audit — high",'Model inputs'!O111)="",FALSE,EXACT("Per audit — high",'Model inputs'!O111)),IF('Model inputs'!H86="","",'Model inputs'!H86),"")</f>
      </c>
    </row>
    <row r="903">
      <c r="A903" t="inlineStr" s="14">
        <is>
          <t xml:space="preserve">Calculation</t>
        </is>
      </c>
      <c r="B903">
        <f>IF(IF(EXACT("Per audit — low",'Model inputs'!O111)="",FALSE,EXACT("Per audit — low",'Model inputs'!O111)),IF('Model inputs'!H87="","",'Model inputs'!H87),"")</f>
      </c>
    </row>
    <row r="904">
      <c r="A904" t="inlineStr" s="14">
        <is>
          <t xml:space="preserve">Calculation</t>
        </is>
      </c>
      <c r="B904">
        <f>IF(IF(EXACT("Annual deal-team",'Model inputs'!O111)="",FALSE,EXACT("Annual deal-team",'Model inputs'!O111)),IF('Model inputs'!I83="","",'Model inputs'!I83),"")</f>
      </c>
    </row>
    <row r="905">
      <c r="A905" t="inlineStr" s="14">
        <is>
          <t xml:space="preserve">Calculation</t>
        </is>
      </c>
      <c r="B905">
        <f>IF(IF(EXACT("Hybrid",'Model inputs'!O111)="",FALSE,EXACT("Hybrid",'Model inputs'!O111)),IF('Model inputs'!I84="","",'Model inputs'!I84),"")</f>
      </c>
    </row>
    <row r="906">
      <c r="A906" t="inlineStr" s="14">
        <is>
          <t xml:space="preserve">Calculation</t>
        </is>
      </c>
      <c r="B906">
        <f>IF(IF(EXACT("Per audit — base",'Model inputs'!O111)="",FALSE,EXACT("Per audit — base",'Model inputs'!O111)),IF('Model inputs'!I85="","",'Model inputs'!I85),"")</f>
      </c>
    </row>
    <row r="907">
      <c r="A907" t="inlineStr" s="14">
        <is>
          <t xml:space="preserve">Calculation</t>
        </is>
      </c>
      <c r="B907">
        <f>IF(IF(EXACT("Per audit — high",'Model inputs'!O111)="",FALSE,EXACT("Per audit — high",'Model inputs'!O111)),IF('Model inputs'!I86="","",'Model inputs'!I86),"")</f>
      </c>
    </row>
    <row r="908">
      <c r="A908" t="inlineStr" s="14">
        <is>
          <t xml:space="preserve">Calculation</t>
        </is>
      </c>
      <c r="B908">
        <f>IF(IF(EXACT("Per audit — low",'Model inputs'!O111)="",FALSE,EXACT("Per audit — low",'Model inputs'!O111)),IF('Model inputs'!I87="","",'Model inputs'!I87),"")</f>
      </c>
    </row>
    <row r="909">
      <c r="A909" t="inlineStr" s="14">
        <is>
          <t xml:space="preserve">Calculation</t>
        </is>
      </c>
      <c r="B909">
        <f>IF(IF(EXACT("Annual deal-team",'Model inputs'!O111)="",FALSE,EXACT("Annual deal-team",'Model inputs'!O111)),IF('Model inputs'!J83="","",'Model inputs'!J83),"")</f>
      </c>
    </row>
    <row r="910">
      <c r="A910" t="inlineStr" s="14">
        <is>
          <t xml:space="preserve">Calculation</t>
        </is>
      </c>
      <c r="B910">
        <f>IF(IF(EXACT("Hybrid",'Model inputs'!O111)="",FALSE,EXACT("Hybrid",'Model inputs'!O111)),IF('Model inputs'!J84="","",'Model inputs'!J84),"")</f>
      </c>
    </row>
    <row r="911">
      <c r="A911" t="inlineStr" s="14">
        <is>
          <t xml:space="preserve">Calculation</t>
        </is>
      </c>
      <c r="B911">
        <f>IF(IF(EXACT("Per audit — base",'Model inputs'!O111)="",FALSE,EXACT("Per audit — base",'Model inputs'!O111)),IF('Model inputs'!J85="","",'Model inputs'!J85),"")</f>
      </c>
    </row>
    <row r="912">
      <c r="A912" t="inlineStr" s="14">
        <is>
          <t xml:space="preserve">Calculation</t>
        </is>
      </c>
      <c r="B912">
        <f>IF(IF(EXACT("Per audit — high",'Model inputs'!O111)="",FALSE,EXACT("Per audit — high",'Model inputs'!O111)),IF('Model inputs'!J86="","",'Model inputs'!J86),"")</f>
      </c>
    </row>
    <row r="913">
      <c r="A913" t="inlineStr" s="14">
        <is>
          <t xml:space="preserve">Calculation</t>
        </is>
      </c>
      <c r="B913">
        <f>IF(IF(EXACT("Per audit — low",'Model inputs'!O111)="",FALSE,EXACT("Per audit — low",'Model inputs'!O111)),IF('Model inputs'!J87="","",'Model inputs'!J87),"")</f>
      </c>
    </row>
    <row r="914">
      <c r="A914" t="inlineStr" s="14">
        <is>
          <t xml:space="preserve">Calculation</t>
        </is>
      </c>
      <c r="B914">
        <f>IF(IF(EXACT("Annual deal-team",'Model inputs'!O111)="",FALSE,EXACT("Annual deal-team",'Model inputs'!O111)),IF('Model inputs'!K83="","",'Model inputs'!K83),"")</f>
      </c>
    </row>
    <row r="915">
      <c r="A915" t="inlineStr" s="14">
        <is>
          <t xml:space="preserve">Calculation</t>
        </is>
      </c>
      <c r="B915">
        <f>IF(IF(EXACT("Hybrid",'Model inputs'!O111)="",FALSE,EXACT("Hybrid",'Model inputs'!O111)),IF('Model inputs'!K84="","",'Model inputs'!K84),"")</f>
      </c>
    </row>
    <row r="916">
      <c r="A916" t="inlineStr" s="14">
        <is>
          <t xml:space="preserve">Calculation</t>
        </is>
      </c>
      <c r="B916">
        <f>IF(IF(EXACT("Per audit — base",'Model inputs'!O111)="",FALSE,EXACT("Per audit — base",'Model inputs'!O111)),IF('Model inputs'!K85="","",'Model inputs'!K85),"")</f>
      </c>
    </row>
    <row r="917">
      <c r="A917" t="inlineStr" s="14">
        <is>
          <t xml:space="preserve">Calculation</t>
        </is>
      </c>
      <c r="B917">
        <f>IF(IF(EXACT("Per audit — high",'Model inputs'!O111)="",FALSE,EXACT("Per audit — high",'Model inputs'!O111)),IF('Model inputs'!K86="","",'Model inputs'!K86),"")</f>
      </c>
    </row>
    <row r="918">
      <c r="A918" t="inlineStr" s="14">
        <is>
          <t xml:space="preserve">Calculation</t>
        </is>
      </c>
      <c r="B918">
        <f>IF(IF(EXACT("Per audit — low",'Model inputs'!O111)="",FALSE,EXACT("Per audit — low",'Model inputs'!O111)),IF('Model inputs'!K87="","",'Model inputs'!K87),"")</f>
      </c>
    </row>
    <row r="919">
      <c r="A919" t="inlineStr" s="14">
        <is>
          <t xml:space="preserve">Calculation</t>
        </is>
      </c>
      <c r="B919">
        <f>IF(IF(EXACT("Annual deal-team",'Model inputs'!O111)="",FALSE,EXACT("Annual deal-team",'Model inputs'!O111)),IF('Model inputs'!L83="","",'Model inputs'!L83),"")</f>
      </c>
    </row>
    <row r="920">
      <c r="A920" t="inlineStr" s="14">
        <is>
          <t xml:space="preserve">Calculation</t>
        </is>
      </c>
      <c r="B920">
        <f>IF(IF(EXACT("Hybrid",'Model inputs'!O111)="",FALSE,EXACT("Hybrid",'Model inputs'!O111)),IF('Model inputs'!L84="","",'Model inputs'!L84),"")</f>
      </c>
    </row>
    <row r="921">
      <c r="A921" t="inlineStr" s="14">
        <is>
          <t xml:space="preserve">Calculation</t>
        </is>
      </c>
      <c r="B921">
        <f>IF(IF(EXACT("Per audit — base",'Model inputs'!O111)="",FALSE,EXACT("Per audit — base",'Model inputs'!O111)),IF('Model inputs'!L85="","",'Model inputs'!L85),"")</f>
      </c>
    </row>
    <row r="922">
      <c r="A922" t="inlineStr" s="14">
        <is>
          <t xml:space="preserve">Calculation</t>
        </is>
      </c>
      <c r="B922">
        <f>IF(IF(EXACT("Per audit — high",'Model inputs'!O111)="",FALSE,EXACT("Per audit — high",'Model inputs'!O111)),IF('Model inputs'!L86="","",'Model inputs'!L86),"")</f>
      </c>
    </row>
    <row r="923">
      <c r="A923" t="inlineStr" s="14">
        <is>
          <t xml:space="preserve">Calculation</t>
        </is>
      </c>
      <c r="B923">
        <f>IF(IF(EXACT("Per audit — low",'Model inputs'!O111)="",FALSE,EXACT("Per audit — low",'Model inputs'!O111)),IF('Model inputs'!L87="","",'Model inputs'!L87),"")</f>
      </c>
    </row>
    <row r="924">
      <c r="A924" t="inlineStr" s="14">
        <is>
          <t xml:space="preserve">Calculation</t>
        </is>
      </c>
      <c r="B924">
        <f>IF(IF(EXACT("Annual deal-team",'Model inputs'!O111)="",FALSE,EXACT("Annual deal-team",'Model inputs'!O111)),IF('Model inputs'!M83="","",'Model inputs'!M83),"")</f>
      </c>
    </row>
    <row r="925">
      <c r="A925" t="inlineStr" s="14">
        <is>
          <t xml:space="preserve">Calculation</t>
        </is>
      </c>
      <c r="B925">
        <f>IF(IF(EXACT("Hybrid",'Model inputs'!O111)="",FALSE,EXACT("Hybrid",'Model inputs'!O111)),IF('Model inputs'!M84="","",'Model inputs'!M84),"")</f>
      </c>
    </row>
    <row r="926">
      <c r="A926" t="inlineStr" s="14">
        <is>
          <t xml:space="preserve">Calculation</t>
        </is>
      </c>
      <c r="B926">
        <f>IF(IF(EXACT("Per audit — base",'Model inputs'!O111)="",FALSE,EXACT("Per audit — base",'Model inputs'!O111)),IF('Model inputs'!M85="","",'Model inputs'!M85),"")</f>
      </c>
    </row>
    <row r="927">
      <c r="A927" t="inlineStr" s="14">
        <is>
          <t xml:space="preserve">Calculation</t>
        </is>
      </c>
      <c r="B927">
        <f>IF(IF(EXACT("Per audit — high",'Model inputs'!O111)="",FALSE,EXACT("Per audit — high",'Model inputs'!O111)),IF('Model inputs'!M86="","",'Model inputs'!M86),"")</f>
      </c>
    </row>
    <row r="928">
      <c r="A928" t="inlineStr" s="14">
        <is>
          <t xml:space="preserve">Calculation</t>
        </is>
      </c>
      <c r="B928">
        <f>IF(IF(EXACT("Per audit — low",'Model inputs'!O111)="",FALSE,EXACT("Per audit — low",'Model inputs'!O111)),IF('Model inputs'!M87="","",'Model inputs'!M87),"")</f>
      </c>
    </row>
    <row r="929">
      <c r="A929" t="inlineStr" s="14">
        <is>
          <t xml:space="preserve">Calculation</t>
        </is>
      </c>
      <c r="B929">
        <f>IF(IF(EXACT("Annual deal-team",'Model inputs'!O111)="",FALSE,EXACT("Annual deal-team",'Model inputs'!O111)),IF('Model inputs'!N83="","",'Model inputs'!N83),"")</f>
      </c>
    </row>
    <row r="930">
      <c r="A930" t="inlineStr" s="14">
        <is>
          <t xml:space="preserve">Calculation</t>
        </is>
      </c>
      <c r="B930">
        <f>IF(IF(EXACT("Hybrid",'Model inputs'!O111)="",FALSE,EXACT("Hybrid",'Model inputs'!O111)),IF('Model inputs'!N84="","",'Model inputs'!N84),"")</f>
      </c>
    </row>
    <row r="931">
      <c r="A931" t="inlineStr" s="14">
        <is>
          <t xml:space="preserve">Calculation</t>
        </is>
      </c>
      <c r="B931">
        <f>IF(IF(EXACT("Per audit — base",'Model inputs'!O111)="",FALSE,EXACT("Per audit — base",'Model inputs'!O111)),IF('Model inputs'!N85="","",'Model inputs'!N85),"")</f>
      </c>
    </row>
    <row r="932">
      <c r="A932" t="inlineStr" s="14">
        <is>
          <t xml:space="preserve">Calculation</t>
        </is>
      </c>
      <c r="B932">
        <f>IF(IF(EXACT("Per audit — high",'Model inputs'!O111)="",FALSE,EXACT("Per audit — high",'Model inputs'!O111)),IF('Model inputs'!N86="","",'Model inputs'!N86),"")</f>
      </c>
    </row>
    <row r="933">
      <c r="A933" t="inlineStr" s="14">
        <is>
          <t xml:space="preserve">Calculation</t>
        </is>
      </c>
      <c r="B933">
        <f>IF(IF(EXACT("Per audit — low",'Model inputs'!O111)="",FALSE,EXACT("Per audit — low",'Model inputs'!O111)),IF('Model inputs'!N87="","",'Model inputs'!N87),"")</f>
      </c>
    </row>
    <row r="934">
      <c r="A934" t="inlineStr" s="14">
        <is>
          <t xml:space="preserve">Calculation</t>
        </is>
      </c>
      <c r="B934">
        <f>IF(ISERROR('DealScope forecast overview'!B14&gt;0),'DealScope forecast overview'!B14&gt;0,IF('DealScope forecast overview'!B14="","",'DealScope forecast overview'!B14&gt;0))</f>
      </c>
    </row>
    <row r="935">
      <c r="A935" t="inlineStr" s="14">
        <is>
          <t xml:space="preserve">Calculation</t>
        </is>
      </c>
      <c r="B935">
        <f>IF(ISERROR('DealScope conditional cash and'!B5&gt;0),'DealScope conditional cash and'!B5&gt;0,IF('DealScope conditional cash and'!B5="","",'DealScope conditional cash and'!B5&gt;0))</f>
      </c>
    </row>
    <row r="936">
      <c r="A936" t="inlineStr" s="14">
        <is>
          <t xml:space="preserve">Calculation</t>
        </is>
      </c>
      <c r="B936">
        <f>IF(ISERROR('DealScope conditional cash and'!C5&gt;0),'DealScope conditional cash and'!C5&gt;0,IF('DealScope conditional cash and'!C5="","",'DealScope conditional cash and'!C5&gt;0))</f>
      </c>
    </row>
    <row r="937">
      <c r="A937" t="inlineStr" s="14">
        <is>
          <t xml:space="preserve">Calculation</t>
        </is>
      </c>
      <c r="B937">
        <f>IF(ISERROR('DealScope conditional cash and'!D5&gt;0),'DealScope conditional cash and'!D5&gt;0,IF('DealScope conditional cash and'!D5="","",'DealScope conditional cash and'!D5&gt;0))</f>
      </c>
    </row>
    <row r="938">
      <c r="A938" t="inlineStr" s="14">
        <is>
          <t xml:space="preserve">Calculation</t>
        </is>
      </c>
      <c r="B938">
        <f>IF(ISERROR('DealScope conditional cash and'!E5&gt;0),'DealScope conditional cash and'!E5&gt;0,IF('DealScope conditional cash and'!E5="","",'DealScope conditional cash and'!E5&gt;0))</f>
      </c>
    </row>
    <row r="939">
      <c r="A939" t="inlineStr" s="14">
        <is>
          <t xml:space="preserve">Calculation</t>
        </is>
      </c>
      <c r="B939">
        <f>IF(ISERROR('DealScope conditional cash and'!F5&gt;0),'DealScope conditional cash and'!F5&gt;0,IF('DealScope conditional cash and'!F5="","",'DealScope conditional cash and'!F5&gt;0))</f>
      </c>
    </row>
    <row r="940">
      <c r="A940" t="inlineStr" s="14">
        <is>
          <t xml:space="preserve">Calculation</t>
        </is>
      </c>
      <c r="B940">
        <f>IF(ISERROR('DealScope conditional cash and'!G5&gt;0),'DealScope conditional cash and'!G5&gt;0,IF('DealScope conditional cash and'!G5="","",'DealScope conditional cash and'!G5&gt;0))</f>
      </c>
    </row>
    <row r="941">
      <c r="A941" t="inlineStr" s="14">
        <is>
          <t xml:space="preserve">Calculation</t>
        </is>
      </c>
      <c r="B941">
        <f>IF(ISERROR('DealScope conditional cash and'!H5&gt;0),'DealScope conditional cash and'!H5&gt;0,IF('DealScope conditional cash and'!H5="","",'DealScope conditional cash and'!H5&gt;0))</f>
      </c>
    </row>
    <row r="942">
      <c r="A942" t="inlineStr" s="14">
        <is>
          <t xml:space="preserve">Calculation</t>
        </is>
      </c>
      <c r="B942">
        <f>IF(ISERROR('DealScope conditional cash and'!I5&gt;0),'DealScope conditional cash and'!I5&gt;0,IF('DealScope conditional cash and'!I5="","",'DealScope conditional cash and'!I5&gt;0))</f>
      </c>
    </row>
    <row r="943">
      <c r="A943" t="inlineStr" s="14">
        <is>
          <t xml:space="preserve">Calculation</t>
        </is>
      </c>
      <c r="B943">
        <f>IF(ISERROR('DealScope conditional cash and'!J5&gt;0),'DealScope conditional cash and'!J5&gt;0,IF('DealScope conditional cash and'!J5="","",'DealScope conditional cash and'!J5&gt;0))</f>
      </c>
    </row>
    <row r="944">
      <c r="A944" t="inlineStr" s="14">
        <is>
          <t xml:space="preserve">Calculation</t>
        </is>
      </c>
      <c r="B944">
        <f>IF(ISERROR('DealScope conditional cash and'!K5&gt;0),'DealScope conditional cash and'!K5&gt;0,IF('DealScope conditional cash and'!K5="","",'DealScope conditional cash and'!K5&gt;0))</f>
      </c>
    </row>
    <row r="945">
      <c r="A945" t="inlineStr" s="14">
        <is>
          <t xml:space="preserve">Calculation</t>
        </is>
      </c>
      <c r="B945">
        <f>IF(ISERROR('DealScope conditional cash and'!L5&gt;0),'DealScope conditional cash and'!L5&gt;0,IF('DealScope conditional cash and'!L5="","",'DealScope conditional cash and'!L5&gt;0))</f>
      </c>
    </row>
    <row r="946">
      <c r="A946" t="inlineStr" s="14">
        <is>
          <t xml:space="preserve">Calculation</t>
        </is>
      </c>
      <c r="B946">
        <f>IF(ISERROR('DealScope conditional cash and'!M5&gt;0),'DealScope conditional cash and'!M5&gt;0,IF('DealScope conditional cash and'!M5="","",'DealScope conditional cash and'!M5&gt;0))</f>
      </c>
    </row>
    <row r="947">
      <c r="A947" t="inlineStr" s="14">
        <is>
          <t xml:space="preserve">Calculation</t>
        </is>
      </c>
      <c r="B947" s="12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pr'!B7,"")="",0,IF(IF(AND('Model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pr'!B7,"")),IF(IF(IF(AND('Model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pr'!C7,"")="",0,IF(IF(AND('Model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pr'!C7,"")),IF(IF(IF(AND('Model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pr'!D7,"")="",0,IF(IF(AND('Model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pr'!D7,"")),IF(IF(IF(AND('Model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pr'!E7,"")="",0,IF(IF(AND('Model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pr'!E7,"")),IF(IF(IF(AND('Model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pr'!F7,"")="",0,IF(IF(AND('Model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pr'!F7,"")),IF(IF(IF(AND('Model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pr'!G7,"")="",0,IF(IF(AND('Model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pr'!G7,"")),IF(IF(IF(AND('Model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pr'!H7,"")="",0,IF(IF(AND('Model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pr'!H7,"")),IF(IF(IF(AND('Model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pr'!I7,"")="",0,IF(IF(AND('Model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pr'!I7,"")),IF(IF(IF(AND('Model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pr'!J7,"")="",0,IF(IF(AND('Model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pr'!J7,"")),IF(IF(IF(AND('Model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pr'!K7,"")="",0,IF(IF(AND('Model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pr'!K7,"")),IF(IF(IF(AND('Model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pr'!L7,"")="",0,IF(IF(AND('Model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pr'!L7,"")),IF(IF(IF(AND('Model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pr'!M7,"")="",0,IF(IF(AND('Model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pr'!M7,"")),IF(IF(IF(AND('Model inputs'!P65&lt;=DATE(2026,1,1),DATE(2026,1,1)&lt;=EDATE('Model inputs'!P65,'Model inputs'!O63-1*1))="",FALSE,AND('Model inputs'!P65&lt;=DATE(2026,1,1),DATE(2026,1,1)&lt;=EDATE('Model inputs'!P65,'Model inputs'!O63-1*1))),'Model inputs'!Q100,"")="",0,IF(IF(AND('Model inputs'!P65&lt;=DATE(2026,1,1),DATE(2026,1,1)&lt;=EDATE('Model inputs'!P65,'Model inputs'!O63-1*1))="",FALSE,AND('Model inputs'!P65&lt;=DATE(2026,1,1),DATE(2026,1,1)&lt;=EDATE('Model inputs'!P65,'Model inputs'!O63-1*1))),'Model inputs'!Q100,"")),IF(IF(IF(AND('Model inputs'!P65&lt;=DATE(2026,2,1),DATE(2026,2,1)&lt;=EDATE('Model inputs'!P65,'Model inputs'!O63-1*1))="",FALSE,AND('Model inputs'!P65&lt;=DATE(2026,2,1),DATE(2026,2,1)&lt;=EDATE('Model inputs'!P65,'Model inputs'!O63-1*1))),'Model inputs'!R100,"")="",0,IF(IF(AND('Model inputs'!P65&lt;=DATE(2026,2,1),DATE(2026,2,1)&lt;=EDATE('Model inputs'!P65,'Model inputs'!O63-1*1))="",FALSE,AND('Model inputs'!P65&lt;=DATE(2026,2,1),DATE(2026,2,1)&lt;=EDATE('Model inputs'!P65,'Model inputs'!O63-1*1))),'Model inputs'!R100,"")),IF(IF(IF(AND('Model inputs'!P65&lt;=DATE(2026,3,1),DATE(2026,3,1)&lt;=EDATE('Model inputs'!P65,'Model inputs'!O63-1*1))="",FALSE,AND('Model inputs'!P65&lt;=DATE(2026,3,1),DATE(2026,3,1)&lt;=EDATE('Model inputs'!P65,'Model inputs'!O63-1*1))),'Model inputs'!S100,"")="",0,IF(IF(AND('Model inputs'!P65&lt;=DATE(2026,3,1),DATE(2026,3,1)&lt;=EDATE('Model inputs'!P65,'Model inputs'!O63-1*1))="",FALSE,AND('Model inputs'!P65&lt;=DATE(2026,3,1),DATE(2026,3,1)&lt;=EDATE('Model inputs'!P65,'Model inputs'!O63-1*1))),'Model inputs'!S100,"")))</f>
      </c>
    </row>
    <row r="948">
      <c r="A948" t="inlineStr" s="14">
        <is>
          <t xml:space="preserve">Calculation</t>
        </is>
      </c>
      <c r="B948" s="12">
        <f>SUM(IF(IF(IF(AND('Model inputs'!P65&lt;=DATE(2026,4,1),DATE(2026,4,1)&lt;=EDATE('Model inputs'!P65,'Model inputs'!O63-1*1))="",FALSE,AND('Model inputs'!P65&lt;=DATE(2026,4,1),DATE(2026,4,1)&lt;=EDATE('Model inputs'!P65,'Model inputs'!O63-1*1))),'Model inputs'!T100,"")="",0,IF(IF(AND('Model inputs'!P65&lt;=DATE(2026,4,1),DATE(2026,4,1)&lt;=EDATE('Model inputs'!P65,'Model inputs'!O63-1*1))="",FALSE,AND('Model inputs'!P65&lt;=DATE(2026,4,1),DATE(2026,4,1)&lt;=EDATE('Model inputs'!P65,'Model inputs'!O63-1*1))),'Model inputs'!T100,"")),IF(IF(IF(AND('Model inputs'!P65&lt;=DATE(2026,5,1),DATE(2026,5,1)&lt;=EDATE('Model inputs'!P65,'Model inputs'!O63-1*1))="",FALSE,AND('Model inputs'!P65&lt;=DATE(2026,5,1),DATE(2026,5,1)&lt;=EDATE('Model inputs'!P65,'Model inputs'!O63-1*1))),'Model inputs'!U100,"")="",0,IF(IF(AND('Model inputs'!P65&lt;=DATE(2026,5,1),DATE(2026,5,1)&lt;=EDATE('Model inputs'!P65,'Model inputs'!O63-1*1))="",FALSE,AND('Model inputs'!P65&lt;=DATE(2026,5,1),DATE(2026,5,1)&lt;=EDATE('Model inputs'!P65,'Model inputs'!O63-1*1))),'Model inputs'!U100,"")),IF(IF(IF(AND('Model inputs'!P65&lt;=DATE(2026,6,1),DATE(2026,6,1)&lt;=EDATE('Model inputs'!P65,'Model inputs'!O63-1*1))="",FALSE,AND('Model inputs'!P65&lt;=DATE(2026,6,1),DATE(2026,6,1)&lt;=EDATE('Model inputs'!P65,'Model inputs'!O63-1*1))),'Model inputs'!V100,"")="",0,IF(IF(AND('Model inputs'!P65&lt;=DATE(2026,6,1),DATE(2026,6,1)&lt;=EDATE('Model inputs'!P65,'Model inputs'!O63-1*1))="",FALSE,AND('Model inputs'!P65&lt;=DATE(2026,6,1),DATE(2026,6,1)&lt;=EDATE('Model inputs'!P65,'Model inputs'!O63-1*1))),'Model inputs'!V100,"")),IF(IF(IF(AND('Model inputs'!P65&lt;=DATE(2026,7,1),DATE(2026,7,1)&lt;=EDATE('Model inputs'!P65,'Model inputs'!O63-1*1))="",FALSE,AND('Model inputs'!P65&lt;=DATE(2026,7,1),DATE(2026,7,1)&lt;=EDATE('Model inputs'!P65,'Model inputs'!O63-1*1))),'Model inputs'!W100,"")="",0,IF(IF(AND('Model inputs'!P65&lt;=DATE(2026,7,1),DATE(2026,7,1)&lt;=EDATE('Model inputs'!P65,'Model inputs'!O63-1*1))="",FALSE,AND('Model inputs'!P65&lt;=DATE(2026,7,1),DATE(2026,7,1)&lt;=EDATE('Model inputs'!P65,'Model inputs'!O63-1*1))),'Model inputs'!W100,"")),IF(IF(IF(AND('Model inputs'!P65&lt;=DATE(2026,8,1),DATE(2026,8,1)&lt;=EDATE('Model inputs'!P65,'Model inputs'!O63-1*1))="",FALSE,AND('Model inputs'!P65&lt;=DATE(2026,8,1),DATE(2026,8,1)&lt;=EDATE('Model inputs'!P65,'Model inputs'!O63-1*1))),'Model inputs'!X100,"")="",0,IF(IF(AND('Model inputs'!P65&lt;=DATE(2026,8,1),DATE(2026,8,1)&lt;=EDATE('Model inputs'!P65,'Model inputs'!O63-1*1))="",FALSE,AND('Model inputs'!P65&lt;=DATE(2026,8,1),DATE(2026,8,1)&lt;=EDATE('Model inputs'!P65,'Model inputs'!O63-1*1))),'Model inputs'!X100,"")),IF(IF(IF(AND('Model inputs'!P65&lt;=DATE(2026,9,1),DATE(2026,9,1)&lt;=EDATE('Model inputs'!P65,'Model inputs'!O63-1*1))="",FALSE,AND('Model inputs'!P65&lt;=DATE(2026,9,1),DATE(2026,9,1)&lt;=EDATE('Model inputs'!P65,'Model inputs'!O63-1*1))),'Model inputs'!B100,"")="",0,IF(IF(AND('Model inputs'!P65&lt;=DATE(2026,9,1),DATE(2026,9,1)&lt;=EDATE('Model inputs'!P65,'Model inputs'!O63-1*1))="",FALSE,AND('Model inputs'!P65&lt;=DATE(2026,9,1),DATE(2026,9,1)&lt;=EDATE('Model inputs'!P65,'Model inputs'!O63-1*1))),'Model inputs'!B100,"")),IF(IF(IF(AND('Model inputs'!P65&lt;=DATE(2027,10,1),DATE(2027,10,1)&lt;=EDATE('Model inputs'!P65,'Model inputs'!O63-1*1))="",FALSE,AND('Model inputs'!P65&lt;=DATE(2027,10,1),DATE(2027,10,1)&lt;=EDATE('Model inputs'!P65,'Model inputs'!O63-1*1))),'Model inputs'!Y101,"")="",0,IF(IF(AND('Model inputs'!P65&lt;=DATE(2027,10,1),DATE(2027,10,1)&lt;=EDATE('Model inputs'!P65,'Model inputs'!O63-1*1))="",FALSE,AND('Model inputs'!P65&lt;=DATE(2027,10,1),DATE(2027,10,1)&lt;=EDATE('Model inputs'!P65,'Model inputs'!O63-1*1))),'Model inputs'!Y101,"")),IF(IF(IF(AND('Model inputs'!P65&lt;=DATE(2027,11,1),DATE(2027,11,1)&lt;=EDATE('Model inputs'!P65,'Model inputs'!O63-1*1))="",FALSE,AND('Model inputs'!P65&lt;=DATE(2027,11,1),DATE(2027,11,1)&lt;=EDATE('Model inputs'!P65,'Model inputs'!O63-1*1))),'Model inputs'!Z101,"")="",0,IF(IF(AND('Model inputs'!P65&lt;=DATE(2027,11,1),DATE(2027,11,1)&lt;=EDATE('Model inputs'!P65,'Model inputs'!O63-1*1))="",FALSE,AND('Model inputs'!P65&lt;=DATE(2027,11,1),DATE(2027,11,1)&lt;=EDATE('Model inputs'!P65,'Model inputs'!O63-1*1))),'Model inputs'!Z101,"")),IF(IF(IF(AND('Model inputs'!P65&lt;=DATE(2027,12,1),DATE(2027,12,1)&lt;=EDATE('Model inputs'!P65,'Model inputs'!O63-1*1))="",FALSE,AND('Model inputs'!P65&lt;=DATE(2027,12,1),DATE(2027,12,1)&lt;=EDATE('Model inputs'!P65,'Model inputs'!O63-1*1))),'Model inputs'!AA101,"")="",0,IF(IF(AND('Model inputs'!P65&lt;=DATE(2027,12,1),DATE(2027,12,1)&lt;=EDATE('Model inputs'!P65,'Model inputs'!O63-1*1))="",FALSE,AND('Model inputs'!P65&lt;=DATE(2027,12,1),DATE(2027,12,1)&lt;=EDATE('Model inputs'!P65,'Model inputs'!O63-1*1))),'Model inputs'!AA101,"")))</f>
      </c>
    </row>
    <row r="949">
      <c r="A949" t="inlineStr" s="14">
        <is>
          <t xml:space="preserve">Calculation</t>
        </is>
      </c>
      <c r="B949" s="10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pr'!B16,"")="",0,IF(IF(AND('Model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pr'!B16,"")),IF(IF(IF(AND('Model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pr'!C16,"")="",0,IF(IF(AND('Model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pr'!C16,"")),IF(IF(IF(AND('Model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pr'!D16,"")="",0,IF(IF(AND('Model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pr'!D16,"")),IF(IF(IF(AND('Model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pr'!E16,"")="",0,IF(IF(AND('Model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pr'!E16,"")),IF(IF(IF(AND('Model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pr'!F16,"")="",0,IF(IF(AND('Model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pr'!F16,"")),IF(IF(IF(AND('Model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pr'!G16,"")="",0,IF(IF(AND('Model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pr'!G16,"")),IF(IF(IF(AND('Model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pr'!H16,"")="",0,IF(IF(AND('Model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pr'!H16,"")),IF(IF(IF(AND('Model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pr'!I16,"")="",0,IF(IF(AND('Model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pr'!I16,"")),IF(IF(IF(AND('Model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pr'!J16,"")="",0,IF(IF(AND('Model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pr'!J16,"")),IF(IF(IF(AND('Model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pr'!K16,"")="",0,IF(IF(AND('Model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pr'!K16,"")),IF(IF(IF(AND('Model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pr'!L16,"")="",0,IF(IF(AND('Model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pr'!L16,"")),IF(IF(IF(AND('Model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pr'!M16,"")="",0,IF(IF(AND('Model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pr'!M16,"")),IF(IF(IF(AND('Model inputs'!P65&lt;=DATE(2026,1,1),DATE(2026,1,1)&lt;=EDATE('Model inputs'!P65,'Model inputs'!O63-1*1))="",FALSE,AND('Model inputs'!P65&lt;=DATE(2026,1,1),DATE(2026,1,1)&lt;=EDATE('Model inputs'!P65,'Model inputs'!O63-1*1))),'Model inputs'!Q96,"")="",0,IF(IF(AND('Model inputs'!P65&lt;=DATE(2026,1,1),DATE(2026,1,1)&lt;=EDATE('Model inputs'!P65,'Model inputs'!O63-1*1))="",FALSE,AND('Model inputs'!P65&lt;=DATE(2026,1,1),DATE(2026,1,1)&lt;=EDATE('Model inputs'!P65,'Model inputs'!O63-1*1))),'Model inputs'!Q96,"")),IF(IF(IF(AND('Model inputs'!P65&lt;=DATE(2026,2,1),DATE(2026,2,1)&lt;=EDATE('Model inputs'!P65,'Model inputs'!O63-1*1))="",FALSE,AND('Model inputs'!P65&lt;=DATE(2026,2,1),DATE(2026,2,1)&lt;=EDATE('Model inputs'!P65,'Model inputs'!O63-1*1))),'Model inputs'!R96,"")="",0,IF(IF(AND('Model inputs'!P65&lt;=DATE(2026,2,1),DATE(2026,2,1)&lt;=EDATE('Model inputs'!P65,'Model inputs'!O63-1*1))="",FALSE,AND('Model inputs'!P65&lt;=DATE(2026,2,1),DATE(2026,2,1)&lt;=EDATE('Model inputs'!P65,'Model inputs'!O63-1*1))),'Model inputs'!R96,"")),IF(IF(IF(AND('Model inputs'!P65&lt;=DATE(2026,3,1),DATE(2026,3,1)&lt;=EDATE('Model inputs'!P65,'Model inputs'!O63-1*1))="",FALSE,AND('Model inputs'!P65&lt;=DATE(2026,3,1),DATE(2026,3,1)&lt;=EDATE('Model inputs'!P65,'Model inputs'!O63-1*1))),'Model inputs'!S96,"")="",0,IF(IF(AND('Model inputs'!P65&lt;=DATE(2026,3,1),DATE(2026,3,1)&lt;=EDATE('Model inputs'!P65,'Model inputs'!O63-1*1))="",FALSE,AND('Model inputs'!P65&lt;=DATE(2026,3,1),DATE(2026,3,1)&lt;=EDATE('Model inputs'!P65,'Model inputs'!O63-1*1))),'Model inputs'!S96,"")))</f>
      </c>
    </row>
    <row r="950">
      <c r="A950" t="inlineStr" s="14">
        <is>
          <t xml:space="preserve">Calculation</t>
        </is>
      </c>
      <c r="B950" s="10">
        <f>SUM(IF(IF(IF(AND('Model inputs'!P65&lt;=DATE(2026,4,1),DATE(2026,4,1)&lt;=EDATE('Model inputs'!P65,'Model inputs'!O63-1*1))="",FALSE,AND('Model inputs'!P65&lt;=DATE(2026,4,1),DATE(2026,4,1)&lt;=EDATE('Model inputs'!P65,'Model inputs'!O63-1*1))),'Model inputs'!T96,"")="",0,IF(IF(AND('Model inputs'!P65&lt;=DATE(2026,4,1),DATE(2026,4,1)&lt;=EDATE('Model inputs'!P65,'Model inputs'!O63-1*1))="",FALSE,AND('Model inputs'!P65&lt;=DATE(2026,4,1),DATE(2026,4,1)&lt;=EDATE('Model inputs'!P65,'Model inputs'!O63-1*1))),'Model inputs'!T96,"")),IF(IF(IF(AND('Model inputs'!P65&lt;=DATE(2026,5,1),DATE(2026,5,1)&lt;=EDATE('Model inputs'!P65,'Model inputs'!O63-1*1))="",FALSE,AND('Model inputs'!P65&lt;=DATE(2026,5,1),DATE(2026,5,1)&lt;=EDATE('Model inputs'!P65,'Model inputs'!O63-1*1))),'Model inputs'!U96,"")="",0,IF(IF(AND('Model inputs'!P65&lt;=DATE(2026,5,1),DATE(2026,5,1)&lt;=EDATE('Model inputs'!P65,'Model inputs'!O63-1*1))="",FALSE,AND('Model inputs'!P65&lt;=DATE(2026,5,1),DATE(2026,5,1)&lt;=EDATE('Model inputs'!P65,'Model inputs'!O63-1*1))),'Model inputs'!U96,"")),IF(IF(IF(AND('Model inputs'!P65&lt;=DATE(2026,6,1),DATE(2026,6,1)&lt;=EDATE('Model inputs'!P65,'Model inputs'!O63-1*1))="",FALSE,AND('Model inputs'!P65&lt;=DATE(2026,6,1),DATE(2026,6,1)&lt;=EDATE('Model inputs'!P65,'Model inputs'!O63-1*1))),'Model inputs'!V96,"")="",0,IF(IF(AND('Model inputs'!P65&lt;=DATE(2026,6,1),DATE(2026,6,1)&lt;=EDATE('Model inputs'!P65,'Model inputs'!O63-1*1))="",FALSE,AND('Model inputs'!P65&lt;=DATE(2026,6,1),DATE(2026,6,1)&lt;=EDATE('Model inputs'!P65,'Model inputs'!O63-1*1))),'Model inputs'!V96,"")),IF(IF(IF(AND('Model inputs'!P65&lt;=DATE(2026,7,1),DATE(2026,7,1)&lt;=EDATE('Model inputs'!P65,'Model inputs'!O63-1*1))="",FALSE,AND('Model inputs'!P65&lt;=DATE(2026,7,1),DATE(2026,7,1)&lt;=EDATE('Model inputs'!P65,'Model inputs'!O63-1*1))),'Model inputs'!W96,"")="",0,IF(IF(AND('Model inputs'!P65&lt;=DATE(2026,7,1),DATE(2026,7,1)&lt;=EDATE('Model inputs'!P65,'Model inputs'!O63-1*1))="",FALSE,AND('Model inputs'!P65&lt;=DATE(2026,7,1),DATE(2026,7,1)&lt;=EDATE('Model inputs'!P65,'Model inputs'!O63-1*1))),'Model inputs'!W96,"")),IF(IF(IF(AND('Model inputs'!P65&lt;=DATE(2026,8,1),DATE(2026,8,1)&lt;=EDATE('Model inputs'!P65,'Model inputs'!O63-1*1))="",FALSE,AND('Model inputs'!P65&lt;=DATE(2026,8,1),DATE(2026,8,1)&lt;=EDATE('Model inputs'!P65,'Model inputs'!O63-1*1))),'Model inputs'!X96,"")="",0,IF(IF(AND('Model inputs'!P65&lt;=DATE(2026,8,1),DATE(2026,8,1)&lt;=EDATE('Model inputs'!P65,'Model inputs'!O63-1*1))="",FALSE,AND('Model inputs'!P65&lt;=DATE(2026,8,1),DATE(2026,8,1)&lt;=EDATE('Model inputs'!P65,'Model inputs'!O63-1*1))),'Model inputs'!X96,"")),IF(IF(IF(AND('Model inputs'!P65&lt;=DATE(2026,9,1),DATE(2026,9,1)&lt;=EDATE('Model inputs'!P65,'Model inputs'!O63-1*1))="",FALSE,AND('Model inputs'!P65&lt;=DATE(2026,9,1),DATE(2026,9,1)&lt;=EDATE('Model inputs'!P65,'Model inputs'!O63-1*1))),'Model inputs'!B96,"")="",0,IF(IF(AND('Model inputs'!P65&lt;=DATE(2026,9,1),DATE(2026,9,1)&lt;=EDATE('Model inputs'!P65,'Model inputs'!O63-1*1))="",FALSE,AND('Model inputs'!P65&lt;=DATE(2026,9,1),DATE(2026,9,1)&lt;=EDATE('Model inputs'!P65,'Model inputs'!O63-1*1))),'Model inputs'!B96,"")),IF(IF(IF(AND('Model inputs'!P65&lt;=DATE(2027,10,1),DATE(2027,10,1)&lt;=EDATE('Model inputs'!P65,'Model inputs'!O63-1*1))="",FALSE,AND('Model inputs'!P65&lt;=DATE(2027,10,1),DATE(2027,10,1)&lt;=EDATE('Model inputs'!P65,'Model inputs'!O63-1*1))),'Model inputs'!Y97,"")="",0,IF(IF(AND('Model inputs'!P65&lt;=DATE(2027,10,1),DATE(2027,10,1)&lt;=EDATE('Model inputs'!P65,'Model inputs'!O63-1*1))="",FALSE,AND('Model inputs'!P65&lt;=DATE(2027,10,1),DATE(2027,10,1)&lt;=EDATE('Model inputs'!P65,'Model inputs'!O63-1*1))),'Model inputs'!Y97,"")),IF(IF(IF(AND('Model inputs'!P65&lt;=DATE(2027,11,1),DATE(2027,11,1)&lt;=EDATE('Model inputs'!P65,'Model inputs'!O63-1*1))="",FALSE,AND('Model inputs'!P65&lt;=DATE(2027,11,1),DATE(2027,11,1)&lt;=EDATE('Model inputs'!P65,'Model inputs'!O63-1*1))),'Model inputs'!Z97,"")="",0,IF(IF(AND('Model inputs'!P65&lt;=DATE(2027,11,1),DATE(2027,11,1)&lt;=EDATE('Model inputs'!P65,'Model inputs'!O63-1*1))="",FALSE,AND('Model inputs'!P65&lt;=DATE(2027,11,1),DATE(2027,11,1)&lt;=EDATE('Model inputs'!P65,'Model inputs'!O63-1*1))),'Model inputs'!Z97,"")),IF(IF(IF(AND('Model inputs'!P65&lt;=DATE(2027,12,1),DATE(2027,12,1)&lt;=EDATE('Model inputs'!P65,'Model inputs'!O63-1*1))="",FALSE,AND('Model inputs'!P65&lt;=DATE(2027,12,1),DATE(2027,12,1)&lt;=EDATE('Model inputs'!P65,'Model inputs'!O63-1*1))),'Model inputs'!AA97,"")="",0,IF(IF(AND('Model inputs'!P65&lt;=DATE(2027,12,1),DATE(2027,12,1)&lt;=EDATE('Model inputs'!P65,'Model inputs'!O63-1*1))="",FALSE,AND('Model inputs'!P65&lt;=DATE(2027,12,1),DATE(2027,12,1)&lt;=EDATE('Model inputs'!P65,'Model inputs'!O63-1*1))),'Model inputs'!AA97,"")))</f>
      </c>
    </row>
    <row r="951">
      <c r="A951" t="inlineStr" s="14">
        <is>
          <t xml:space="preserve">Calculation</t>
        </is>
      </c>
      <c r="B951" s="9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pr'!B6,"")="",0,IF(IF(AND('Model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pr'!B6,"")),IF(IF(IF(AND('Model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pr'!C6,"")="",0,IF(IF(AND('Model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pr'!C6,"")),IF(IF(IF(AND('Model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pr'!D6,"")="",0,IF(IF(AND('Model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pr'!D6,"")),IF(IF(IF(AND('Model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pr'!E6,"")="",0,IF(IF(AND('Model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pr'!E6,"")),IF(IF(IF(AND('Model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pr'!F6,"")="",0,IF(IF(AND('Model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pr'!F6,"")),IF(IF(IF(AND('Model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pr'!G6,"")="",0,IF(IF(AND('Model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pr'!G6,"")),IF(IF(IF(AND('Model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pr'!H6,"")="",0,IF(IF(AND('Model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pr'!H6,"")),IF(IF(IF(AND('Model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pr'!I6,"")="",0,IF(IF(AND('Model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pr'!I6,"")),IF(IF(IF(AND('Model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pr'!J6,"")="",0,IF(IF(AND('Model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pr'!J6,"")),IF(IF(IF(AND('Model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pr'!K6,"")="",0,IF(IF(AND('Model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pr'!K6,"")),IF(IF(IF(AND('Model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pr'!L6,"")="",0,IF(IF(AND('Model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pr'!L6,"")),IF(IF(IF(AND('Model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pr'!M6,"")="",0,IF(IF(AND('Model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pr'!M6,"")),IF(IF(IF(AND('Model inputs'!P65&lt;=DATE(2026,1,1),DATE(2026,1,1)&lt;=EDATE('Model inputs'!P65,'Model inputs'!O63-1*1))="",FALSE,AND('Model inputs'!P65&lt;=DATE(2026,1,1),DATE(2026,1,1)&lt;=EDATE('Model inputs'!P65,'Model inputs'!O63-1*1))),'Model inputs'!Q95,"")="",0,IF(IF(AND('Model inputs'!P65&lt;=DATE(2026,1,1),DATE(2026,1,1)&lt;=EDATE('Model inputs'!P65,'Model inputs'!O63-1*1))="",FALSE,AND('Model inputs'!P65&lt;=DATE(2026,1,1),DATE(2026,1,1)&lt;=EDATE('Model inputs'!P65,'Model inputs'!O63-1*1))),'Model inputs'!Q95,"")),IF(IF(IF(AND('Model inputs'!P65&lt;=DATE(2026,2,1),DATE(2026,2,1)&lt;=EDATE('Model inputs'!P65,'Model inputs'!O63-1*1))="",FALSE,AND('Model inputs'!P65&lt;=DATE(2026,2,1),DATE(2026,2,1)&lt;=EDATE('Model inputs'!P65,'Model inputs'!O63-1*1))),'Model inputs'!R95,"")="",0,IF(IF(AND('Model inputs'!P65&lt;=DATE(2026,2,1),DATE(2026,2,1)&lt;=EDATE('Model inputs'!P65,'Model inputs'!O63-1*1))="",FALSE,AND('Model inputs'!P65&lt;=DATE(2026,2,1),DATE(2026,2,1)&lt;=EDATE('Model inputs'!P65,'Model inputs'!O63-1*1))),'Model inputs'!R95,"")),IF(IF(IF(AND('Model inputs'!P65&lt;=DATE(2026,3,1),DATE(2026,3,1)&lt;=EDATE('Model inputs'!P65,'Model inputs'!O63-1*1))="",FALSE,AND('Model inputs'!P65&lt;=DATE(2026,3,1),DATE(2026,3,1)&lt;=EDATE('Model inputs'!P65,'Model inputs'!O63-1*1))),'Model inputs'!S95,"")="",0,IF(IF(AND('Model inputs'!P65&lt;=DATE(2026,3,1),DATE(2026,3,1)&lt;=EDATE('Model inputs'!P65,'Model inputs'!O63-1*1))="",FALSE,AND('Model inputs'!P65&lt;=DATE(2026,3,1),DATE(2026,3,1)&lt;=EDATE('Model inputs'!P65,'Model inputs'!O63-1*1))),'Model inputs'!S95,"")))</f>
      </c>
    </row>
    <row r="952">
      <c r="A952" t="inlineStr" s="14">
        <is>
          <t xml:space="preserve">Calculation</t>
        </is>
      </c>
      <c r="B952" s="9">
        <f>SUM(IF(IF(IF(AND('Model inputs'!P65&lt;=DATE(2026,4,1),DATE(2026,4,1)&lt;=EDATE('Model inputs'!P65,'Model inputs'!O63-1*1))="",FALSE,AND('Model inputs'!P65&lt;=DATE(2026,4,1),DATE(2026,4,1)&lt;=EDATE('Model inputs'!P65,'Model inputs'!O63-1*1))),'Model inputs'!T95,"")="",0,IF(IF(AND('Model inputs'!P65&lt;=DATE(2026,4,1),DATE(2026,4,1)&lt;=EDATE('Model inputs'!P65,'Model inputs'!O63-1*1))="",FALSE,AND('Model inputs'!P65&lt;=DATE(2026,4,1),DATE(2026,4,1)&lt;=EDATE('Model inputs'!P65,'Model inputs'!O63-1*1))),'Model inputs'!T95,"")),IF(IF(IF(AND('Model inputs'!P65&lt;=DATE(2026,5,1),DATE(2026,5,1)&lt;=EDATE('Model inputs'!P65,'Model inputs'!O63-1*1))="",FALSE,AND('Model inputs'!P65&lt;=DATE(2026,5,1),DATE(2026,5,1)&lt;=EDATE('Model inputs'!P65,'Model inputs'!O63-1*1))),'Model inputs'!U95,"")="",0,IF(IF(AND('Model inputs'!P65&lt;=DATE(2026,5,1),DATE(2026,5,1)&lt;=EDATE('Model inputs'!P65,'Model inputs'!O63-1*1))="",FALSE,AND('Model inputs'!P65&lt;=DATE(2026,5,1),DATE(2026,5,1)&lt;=EDATE('Model inputs'!P65,'Model inputs'!O63-1*1))),'Model inputs'!U95,"")),IF(IF(IF(AND('Model inputs'!P65&lt;=DATE(2026,6,1),DATE(2026,6,1)&lt;=EDATE('Model inputs'!P65,'Model inputs'!O63-1*1))="",FALSE,AND('Model inputs'!P65&lt;=DATE(2026,6,1),DATE(2026,6,1)&lt;=EDATE('Model inputs'!P65,'Model inputs'!O63-1*1))),'Model inputs'!V95,"")="",0,IF(IF(AND('Model inputs'!P65&lt;=DATE(2026,6,1),DATE(2026,6,1)&lt;=EDATE('Model inputs'!P65,'Model inputs'!O63-1*1))="",FALSE,AND('Model inputs'!P65&lt;=DATE(2026,6,1),DATE(2026,6,1)&lt;=EDATE('Model inputs'!P65,'Model inputs'!O63-1*1))),'Model inputs'!V95,"")),IF(IF(IF(AND('Model inputs'!P65&lt;=DATE(2026,7,1),DATE(2026,7,1)&lt;=EDATE('Model inputs'!P65,'Model inputs'!O63-1*1))="",FALSE,AND('Model inputs'!P65&lt;=DATE(2026,7,1),DATE(2026,7,1)&lt;=EDATE('Model inputs'!P65,'Model inputs'!O63-1*1))),'Model inputs'!W95,"")="",0,IF(IF(AND('Model inputs'!P65&lt;=DATE(2026,7,1),DATE(2026,7,1)&lt;=EDATE('Model inputs'!P65,'Model inputs'!O63-1*1))="",FALSE,AND('Model inputs'!P65&lt;=DATE(2026,7,1),DATE(2026,7,1)&lt;=EDATE('Model inputs'!P65,'Model inputs'!O63-1*1))),'Model inputs'!W95,"")),IF(IF(IF(AND('Model inputs'!P65&lt;=DATE(2026,8,1),DATE(2026,8,1)&lt;=EDATE('Model inputs'!P65,'Model inputs'!O63-1*1))="",FALSE,AND('Model inputs'!P65&lt;=DATE(2026,8,1),DATE(2026,8,1)&lt;=EDATE('Model inputs'!P65,'Model inputs'!O63-1*1))),'Model inputs'!X95,"")="",0,IF(IF(AND('Model inputs'!P65&lt;=DATE(2026,8,1),DATE(2026,8,1)&lt;=EDATE('Model inputs'!P65,'Model inputs'!O63-1*1))="",FALSE,AND('Model inputs'!P65&lt;=DATE(2026,8,1),DATE(2026,8,1)&lt;=EDATE('Model inputs'!P65,'Model inputs'!O63-1*1))),'Model inputs'!X95,"")),IF(IF(IF(AND('Model inputs'!P65&lt;=DATE(2026,9,1),DATE(2026,9,1)&lt;=EDATE('Model inputs'!P65,'Model inputs'!O63-1*1))="",FALSE,AND('Model inputs'!P65&lt;=DATE(2026,9,1),DATE(2026,9,1)&lt;=EDATE('Model inputs'!P65,'Model inputs'!O63-1*1))),'Model inputs'!B95,"")="",0,IF(IF(AND('Model inputs'!P65&lt;=DATE(2026,9,1),DATE(2026,9,1)&lt;=EDATE('Model inputs'!P65,'Model inputs'!O63-1*1))="",FALSE,AND('Model inputs'!P65&lt;=DATE(2026,9,1),DATE(2026,9,1)&lt;=EDATE('Model inputs'!P65,'Model inputs'!O63-1*1))),'Model inputs'!B95,"")),IF(IF(IF(AND('Model inputs'!P65&lt;=DATE(2027,10,1),DATE(2027,10,1)&lt;=EDATE('Model inputs'!P65,'Model inputs'!O63-1*1))="",FALSE,AND('Model inputs'!P65&lt;=DATE(2027,10,1),DATE(2027,10,1)&lt;=EDATE('Model inputs'!P65,'Model inputs'!O63-1*1))),'Model inputs'!Y95,"")="",0,IF(IF(AND('Model inputs'!P65&lt;=DATE(2027,10,1),DATE(2027,10,1)&lt;=EDATE('Model inputs'!P65,'Model inputs'!O63-1*1))="",FALSE,AND('Model inputs'!P65&lt;=DATE(2027,10,1),DATE(2027,10,1)&lt;=EDATE('Model inputs'!P65,'Model inputs'!O63-1*1))),'Model inputs'!Y95,"")),IF(IF(IF(AND('Model inputs'!P65&lt;=DATE(2027,11,1),DATE(2027,11,1)&lt;=EDATE('Model inputs'!P65,'Model inputs'!O63-1*1))="",FALSE,AND('Model inputs'!P65&lt;=DATE(2027,11,1),DATE(2027,11,1)&lt;=EDATE('Model inputs'!P65,'Model inputs'!O63-1*1))),'Model inputs'!Z95,"")="",0,IF(IF(AND('Model inputs'!P65&lt;=DATE(2027,11,1),DATE(2027,11,1)&lt;=EDATE('Model inputs'!P65,'Model inputs'!O63-1*1))="",FALSE,AND('Model inputs'!P65&lt;=DATE(2027,11,1),DATE(2027,11,1)&lt;=EDATE('Model inputs'!P65,'Model inputs'!O63-1*1))),'Model inputs'!Z95,"")),IF(IF(IF(AND('Model inputs'!P65&lt;=DATE(2027,12,1),DATE(2027,12,1)&lt;=EDATE('Model inputs'!P65,'Model inputs'!O63-1*1))="",FALSE,AND('Model inputs'!P65&lt;=DATE(2027,12,1),DATE(2027,12,1)&lt;=EDATE('Model inputs'!P65,'Model inputs'!O63-1*1))),'Model inputs'!AA95,"")="",0,IF(IF(AND('Model inputs'!P65&lt;=DATE(2027,12,1),DATE(2027,12,1)&lt;=EDATE('Model inputs'!P65,'Model inputs'!O63-1*1))="",FALSE,AND('Model inputs'!P65&lt;=DATE(2027,12,1),DATE(2027,12,1)&lt;=EDATE('Model inputs'!P65,'Model inputs'!O63-1*1))),'Model inputs'!AA95,"")))</f>
      </c>
    </row>
    <row r="953">
      <c r="A953" t="inlineStr" s="14">
        <is>
          <t xml:space="preserve">Calculation</t>
        </is>
      </c>
      <c r="B953" s="10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pr'!B8,"")="",0,IF(IF(AND('Model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pr'!B8,"")),IF(IF(IF(AND('Model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pr'!C8,"")="",0,IF(IF(AND('Model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pr'!C8,"")),IF(IF(IF(AND('Model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pr'!D8,"")="",0,IF(IF(AND('Model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pr'!D8,"")),IF(IF(IF(AND('Model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pr'!E8,"")="",0,IF(IF(AND('Model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pr'!E8,"")),IF(IF(IF(AND('Model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pr'!F8,"")="",0,IF(IF(AND('Model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pr'!F8,"")),IF(IF(IF(AND('Model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pr'!G8,"")="",0,IF(IF(AND('Model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pr'!G8,"")),IF(IF(IF(AND('Model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pr'!H8,"")="",0,IF(IF(AND('Model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pr'!H8,"")),IF(IF(IF(AND('Model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pr'!I8,"")="",0,IF(IF(AND('Model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pr'!I8,"")),IF(IF(IF(AND('Model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pr'!J8,"")="",0,IF(IF(AND('Model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pr'!J8,"")),IF(IF(IF(AND('Model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pr'!K8,"")="",0,IF(IF(AND('Model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pr'!K8,"")),IF(IF(IF(AND('Model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pr'!L8,"")="",0,IF(IF(AND('Model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pr'!L8,"")),IF(IF(IF(AND('Model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pr'!M8,"")="",0,IF(IF(AND('Model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pr'!M8,"")),IF(IF(IF(AND('Model inputs'!P65&lt;=DATE(2026,1,1),DATE(2026,1,1)&lt;=EDATE('Model inputs'!P65,'Model inputs'!O63-1*1))="",FALSE,AND('Model inputs'!P65&lt;=DATE(2026,1,1),DATE(2026,1,1)&lt;=EDATE('Model inputs'!P65,'Model inputs'!O63-1*1))),'Model inputs'!Q99,"")="",0,IF(IF(AND('Model inputs'!P65&lt;=DATE(2026,1,1),DATE(2026,1,1)&lt;=EDATE('Model inputs'!P65,'Model inputs'!O63-1*1))="",FALSE,AND('Model inputs'!P65&lt;=DATE(2026,1,1),DATE(2026,1,1)&lt;=EDATE('Model inputs'!P65,'Model inputs'!O63-1*1))),'Model inputs'!Q99,"")),IF(IF(IF(AND('Model inputs'!P65&lt;=DATE(2026,2,1),DATE(2026,2,1)&lt;=EDATE('Model inputs'!P65,'Model inputs'!O63-1*1))="",FALSE,AND('Model inputs'!P65&lt;=DATE(2026,2,1),DATE(2026,2,1)&lt;=EDATE('Model inputs'!P65,'Model inputs'!O63-1*1))),'Model inputs'!R99,"")="",0,IF(IF(AND('Model inputs'!P65&lt;=DATE(2026,2,1),DATE(2026,2,1)&lt;=EDATE('Model inputs'!P65,'Model inputs'!O63-1*1))="",FALSE,AND('Model inputs'!P65&lt;=DATE(2026,2,1),DATE(2026,2,1)&lt;=EDATE('Model inputs'!P65,'Model inputs'!O63-1*1))),'Model inputs'!R99,"")),IF(IF(IF(AND('Model inputs'!P65&lt;=DATE(2026,3,1),DATE(2026,3,1)&lt;=EDATE('Model inputs'!P65,'Model inputs'!O63-1*1))="",FALSE,AND('Model inputs'!P65&lt;=DATE(2026,3,1),DATE(2026,3,1)&lt;=EDATE('Model inputs'!P65,'Model inputs'!O63-1*1))),'Model inputs'!S99,"")="",0,IF(IF(AND('Model inputs'!P65&lt;=DATE(2026,3,1),DATE(2026,3,1)&lt;=EDATE('Model inputs'!P65,'Model inputs'!O63-1*1))="",FALSE,AND('Model inputs'!P65&lt;=DATE(2026,3,1),DATE(2026,3,1)&lt;=EDATE('Model inputs'!P65,'Model inputs'!O63-1*1))),'Model inputs'!S99,"")))</f>
      </c>
    </row>
    <row r="954">
      <c r="A954" t="inlineStr" s="14">
        <is>
          <t xml:space="preserve">Calculation</t>
        </is>
      </c>
      <c r="B954" s="10">
        <f>SUM(IF(IF(IF(AND('Model inputs'!P65&lt;=DATE(2026,4,1),DATE(2026,4,1)&lt;=EDATE('Model inputs'!P65,'Model inputs'!O63-1*1))="",FALSE,AND('Model inputs'!P65&lt;=DATE(2026,4,1),DATE(2026,4,1)&lt;=EDATE('Model inputs'!P65,'Model inputs'!O63-1*1))),'Model inputs'!T99,"")="",0,IF(IF(AND('Model inputs'!P65&lt;=DATE(2026,4,1),DATE(2026,4,1)&lt;=EDATE('Model inputs'!P65,'Model inputs'!O63-1*1))="",FALSE,AND('Model inputs'!P65&lt;=DATE(2026,4,1),DATE(2026,4,1)&lt;=EDATE('Model inputs'!P65,'Model inputs'!O63-1*1))),'Model inputs'!T99,"")),IF(IF(IF(AND('Model inputs'!P65&lt;=DATE(2026,5,1),DATE(2026,5,1)&lt;=EDATE('Model inputs'!P65,'Model inputs'!O63-1*1))="",FALSE,AND('Model inputs'!P65&lt;=DATE(2026,5,1),DATE(2026,5,1)&lt;=EDATE('Model inputs'!P65,'Model inputs'!O63-1*1))),'Model inputs'!U99,"")="",0,IF(IF(AND('Model inputs'!P65&lt;=DATE(2026,5,1),DATE(2026,5,1)&lt;=EDATE('Model inputs'!P65,'Model inputs'!O63-1*1))="",FALSE,AND('Model inputs'!P65&lt;=DATE(2026,5,1),DATE(2026,5,1)&lt;=EDATE('Model inputs'!P65,'Model inputs'!O63-1*1))),'Model inputs'!U99,"")),IF(IF(IF(AND('Model inputs'!P65&lt;=DATE(2026,6,1),DATE(2026,6,1)&lt;=EDATE('Model inputs'!P65,'Model inputs'!O63-1*1))="",FALSE,AND('Model inputs'!P65&lt;=DATE(2026,6,1),DATE(2026,6,1)&lt;=EDATE('Model inputs'!P65,'Model inputs'!O63-1*1))),'Model inputs'!V99,"")="",0,IF(IF(AND('Model inputs'!P65&lt;=DATE(2026,6,1),DATE(2026,6,1)&lt;=EDATE('Model inputs'!P65,'Model inputs'!O63-1*1))="",FALSE,AND('Model inputs'!P65&lt;=DATE(2026,6,1),DATE(2026,6,1)&lt;=EDATE('Model inputs'!P65,'Model inputs'!O63-1*1))),'Model inputs'!V99,"")),IF(IF(IF(AND('Model inputs'!P65&lt;=DATE(2026,7,1),DATE(2026,7,1)&lt;=EDATE('Model inputs'!P65,'Model inputs'!O63-1*1))="",FALSE,AND('Model inputs'!P65&lt;=DATE(2026,7,1),DATE(2026,7,1)&lt;=EDATE('Model inputs'!P65,'Model inputs'!O63-1*1))),'Model inputs'!W99,"")="",0,IF(IF(AND('Model inputs'!P65&lt;=DATE(2026,7,1),DATE(2026,7,1)&lt;=EDATE('Model inputs'!P65,'Model inputs'!O63-1*1))="",FALSE,AND('Model inputs'!P65&lt;=DATE(2026,7,1),DATE(2026,7,1)&lt;=EDATE('Model inputs'!P65,'Model inputs'!O63-1*1))),'Model inputs'!W99,"")),IF(IF(IF(AND('Model inputs'!P65&lt;=DATE(2026,8,1),DATE(2026,8,1)&lt;=EDATE('Model inputs'!P65,'Model inputs'!O63-1*1))="",FALSE,AND('Model inputs'!P65&lt;=DATE(2026,8,1),DATE(2026,8,1)&lt;=EDATE('Model inputs'!P65,'Model inputs'!O63-1*1))),'Model inputs'!X99,"")="",0,IF(IF(AND('Model inputs'!P65&lt;=DATE(2026,8,1),DATE(2026,8,1)&lt;=EDATE('Model inputs'!P65,'Model inputs'!O63-1*1))="",FALSE,AND('Model inputs'!P65&lt;=DATE(2026,8,1),DATE(2026,8,1)&lt;=EDATE('Model inputs'!P65,'Model inputs'!O63-1*1))),'Model inputs'!X99,"")),IF(IF(IF(AND('Model inputs'!P65&lt;=DATE(2026,9,1),DATE(2026,9,1)&lt;=EDATE('Model inputs'!P65,'Model inputs'!O63-1*1))="",FALSE,AND('Model inputs'!P65&lt;=DATE(2026,9,1),DATE(2026,9,1)&lt;=EDATE('Model inputs'!P65,'Model inputs'!O63-1*1))),'Model inputs'!B99,"")="",0,IF(IF(AND('Model inputs'!P65&lt;=DATE(2026,9,1),DATE(2026,9,1)&lt;=EDATE('Model inputs'!P65,'Model inputs'!O63-1*1))="",FALSE,AND('Model inputs'!P65&lt;=DATE(2026,9,1),DATE(2026,9,1)&lt;=EDATE('Model inputs'!P65,'Model inputs'!O63-1*1))),'Model inputs'!B99,"")),IF(IF(IF(AND('Model inputs'!P65&lt;=DATE(2027,10,1),DATE(2027,10,1)&lt;=EDATE('Model inputs'!P65,'Model inputs'!O63-1*1))="",FALSE,AND('Model inputs'!P65&lt;=DATE(2027,10,1),DATE(2027,10,1)&lt;=EDATE('Model inputs'!P65,'Model inputs'!O63-1*1))),'Model inputs'!Y99,"")="",0,IF(IF(AND('Model inputs'!P65&lt;=DATE(2027,10,1),DATE(2027,10,1)&lt;=EDATE('Model inputs'!P65,'Model inputs'!O63-1*1))="",FALSE,AND('Model inputs'!P65&lt;=DATE(2027,10,1),DATE(2027,10,1)&lt;=EDATE('Model inputs'!P65,'Model inputs'!O63-1*1))),'Model inputs'!Y99,"")),IF(IF(IF(AND('Model inputs'!P65&lt;=DATE(2027,11,1),DATE(2027,11,1)&lt;=EDATE('Model inputs'!P65,'Model inputs'!O63-1*1))="",FALSE,AND('Model inputs'!P65&lt;=DATE(2027,11,1),DATE(2027,11,1)&lt;=EDATE('Model inputs'!P65,'Model inputs'!O63-1*1))),'Model inputs'!Z99,"")="",0,IF(IF(AND('Model inputs'!P65&lt;=DATE(2027,11,1),DATE(2027,11,1)&lt;=EDATE('Model inputs'!P65,'Model inputs'!O63-1*1))="",FALSE,AND('Model inputs'!P65&lt;=DATE(2027,11,1),DATE(2027,11,1)&lt;=EDATE('Model inputs'!P65,'Model inputs'!O63-1*1))),'Model inputs'!Z99,"")),IF(IF(IF(AND('Model inputs'!P65&lt;=DATE(2027,12,1),DATE(2027,12,1)&lt;=EDATE('Model inputs'!P65,'Model inputs'!O63-1*1))="",FALSE,AND('Model inputs'!P65&lt;=DATE(2027,12,1),DATE(2027,12,1)&lt;=EDATE('Model inputs'!P65,'Model inputs'!O63-1*1))),'Model inputs'!AA99,"")="",0,IF(IF(AND('Model inputs'!P65&lt;=DATE(2027,12,1),DATE(2027,12,1)&lt;=EDATE('Model inputs'!P65,'Model inputs'!O63-1*1))="",FALSE,AND('Model inputs'!P65&lt;=DATE(2027,12,1),DATE(2027,12,1)&lt;=EDATE('Model inputs'!P65,'Model inputs'!O63-1*1))),'Model inputs'!AA99,"")))</f>
      </c>
    </row>
    <row r="955">
      <c r="A955" t="inlineStr" s="14">
        <is>
          <t xml:space="preserve">Calculation</t>
        </is>
      </c>
      <c r="B955" s="10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pr'!B12,"")="",0,IF(IF(AND('Model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pr'!B12,"")),IF(IF(IF(AND('Model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pr'!C12,"")="",0,IF(IF(AND('Model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pr'!C12,"")),IF(IF(IF(AND('Model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pr'!D12,"")="",0,IF(IF(AND('Model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pr'!D12,"")),IF(IF(IF(AND('Model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pr'!E12,"")="",0,IF(IF(AND('Model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pr'!E12,"")),IF(IF(IF(AND('Model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pr'!F12,"")="",0,IF(IF(AND('Model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pr'!F12,"")),IF(IF(IF(AND('Model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pr'!G12,"")="",0,IF(IF(AND('Model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pr'!G12,"")),IF(IF(IF(AND('Model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pr'!H12,"")="",0,IF(IF(AND('Model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pr'!H12,"")),IF(IF(IF(AND('Model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pr'!I12,"")="",0,IF(IF(AND('Model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pr'!I12,"")),IF(IF(IF(AND('Model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pr'!J12,"")="",0,IF(IF(AND('Model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pr'!J12,"")),IF(IF(IF(AND('Model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pr'!K12,"")="",0,IF(IF(AND('Model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pr'!K12,"")),IF(IF(IF(AND('Model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pr'!L12,"")="",0,IF(IF(AND('Model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pr'!L12,"")),IF(IF(IF(AND('Model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pr'!M12,"")="",0,IF(IF(AND('Model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pr'!M12,"")),IF(IF(IF(AND('Model inputs'!P65&lt;=DATE(2026,1,1),DATE(2026,1,1)&lt;=EDATE('Model inputs'!P65,'Model inputs'!O63-1*1))="",FALSE,AND('Model inputs'!P65&lt;=DATE(2026,1,1),DATE(2026,1,1)&lt;=EDATE('Model inputs'!P65,'Model inputs'!O63-1*1))),'Model inputs'!Q98,"")="",0,IF(IF(AND('Model inputs'!P65&lt;=DATE(2026,1,1),DATE(2026,1,1)&lt;=EDATE('Model inputs'!P65,'Model inputs'!O63-1*1))="",FALSE,AND('Model inputs'!P65&lt;=DATE(2026,1,1),DATE(2026,1,1)&lt;=EDATE('Model inputs'!P65,'Model inputs'!O63-1*1))),'Model inputs'!Q98,"")),IF(IF(IF(AND('Model inputs'!P65&lt;=DATE(2026,2,1),DATE(2026,2,1)&lt;=EDATE('Model inputs'!P65,'Model inputs'!O63-1*1))="",FALSE,AND('Model inputs'!P65&lt;=DATE(2026,2,1),DATE(2026,2,1)&lt;=EDATE('Model inputs'!P65,'Model inputs'!O63-1*1))),'Model inputs'!R98,"")="",0,IF(IF(AND('Model inputs'!P65&lt;=DATE(2026,2,1),DATE(2026,2,1)&lt;=EDATE('Model inputs'!P65,'Model inputs'!O63-1*1))="",FALSE,AND('Model inputs'!P65&lt;=DATE(2026,2,1),DATE(2026,2,1)&lt;=EDATE('Model inputs'!P65,'Model inputs'!O63-1*1))),'Model inputs'!R98,"")),IF(IF(IF(AND('Model inputs'!P65&lt;=DATE(2026,3,1),DATE(2026,3,1)&lt;=EDATE('Model inputs'!P65,'Model inputs'!O63-1*1))="",FALSE,AND('Model inputs'!P65&lt;=DATE(2026,3,1),DATE(2026,3,1)&lt;=EDATE('Model inputs'!P65,'Model inputs'!O63-1*1))),'Model inputs'!S98,"")="",0,IF(IF(AND('Model inputs'!P65&lt;=DATE(2026,3,1),DATE(2026,3,1)&lt;=EDATE('Model inputs'!P65,'Model inputs'!O63-1*1))="",FALSE,AND('Model inputs'!P65&lt;=DATE(2026,3,1),DATE(2026,3,1)&lt;=EDATE('Model inputs'!P65,'Model inputs'!O63-1*1))),'Model inputs'!S98,"")))</f>
      </c>
    </row>
    <row r="956">
      <c r="A956" t="inlineStr" s="14">
        <is>
          <t xml:space="preserve">Calculation</t>
        </is>
      </c>
      <c r="B956" s="10">
        <f>SUM(IF(IF(IF(AND('Model inputs'!P65&lt;=DATE(2026,4,1),DATE(2026,4,1)&lt;=EDATE('Model inputs'!P65,'Model inputs'!O63-1*1))="",FALSE,AND('Model inputs'!P65&lt;=DATE(2026,4,1),DATE(2026,4,1)&lt;=EDATE('Model inputs'!P65,'Model inputs'!O63-1*1))),'Model inputs'!T98,"")="",0,IF(IF(AND('Model inputs'!P65&lt;=DATE(2026,4,1),DATE(2026,4,1)&lt;=EDATE('Model inputs'!P65,'Model inputs'!O63-1*1))="",FALSE,AND('Model inputs'!P65&lt;=DATE(2026,4,1),DATE(2026,4,1)&lt;=EDATE('Model inputs'!P65,'Model inputs'!O63-1*1))),'Model inputs'!T98,"")),IF(IF(IF(AND('Model inputs'!P65&lt;=DATE(2026,5,1),DATE(2026,5,1)&lt;=EDATE('Model inputs'!P65,'Model inputs'!O63-1*1))="",FALSE,AND('Model inputs'!P65&lt;=DATE(2026,5,1),DATE(2026,5,1)&lt;=EDATE('Model inputs'!P65,'Model inputs'!O63-1*1))),'Model inputs'!U98,"")="",0,IF(IF(AND('Model inputs'!P65&lt;=DATE(2026,5,1),DATE(2026,5,1)&lt;=EDATE('Model inputs'!P65,'Model inputs'!O63-1*1))="",FALSE,AND('Model inputs'!P65&lt;=DATE(2026,5,1),DATE(2026,5,1)&lt;=EDATE('Model inputs'!P65,'Model inputs'!O63-1*1))),'Model inputs'!U98,"")),IF(IF(IF(AND('Model inputs'!P65&lt;=DATE(2026,6,1),DATE(2026,6,1)&lt;=EDATE('Model inputs'!P65,'Model inputs'!O63-1*1))="",FALSE,AND('Model inputs'!P65&lt;=DATE(2026,6,1),DATE(2026,6,1)&lt;=EDATE('Model inputs'!P65,'Model inputs'!O63-1*1))),'Model inputs'!V98,"")="",0,IF(IF(AND('Model inputs'!P65&lt;=DATE(2026,6,1),DATE(2026,6,1)&lt;=EDATE('Model inputs'!P65,'Model inputs'!O63-1*1))="",FALSE,AND('Model inputs'!P65&lt;=DATE(2026,6,1),DATE(2026,6,1)&lt;=EDATE('Model inputs'!P65,'Model inputs'!O63-1*1))),'Model inputs'!V98,"")),IF(IF(IF(AND('Model inputs'!P65&lt;=DATE(2026,7,1),DATE(2026,7,1)&lt;=EDATE('Model inputs'!P65,'Model inputs'!O63-1*1))="",FALSE,AND('Model inputs'!P65&lt;=DATE(2026,7,1),DATE(2026,7,1)&lt;=EDATE('Model inputs'!P65,'Model inputs'!O63-1*1))),'Model inputs'!W98,"")="",0,IF(IF(AND('Model inputs'!P65&lt;=DATE(2026,7,1),DATE(2026,7,1)&lt;=EDATE('Model inputs'!P65,'Model inputs'!O63-1*1))="",FALSE,AND('Model inputs'!P65&lt;=DATE(2026,7,1),DATE(2026,7,1)&lt;=EDATE('Model inputs'!P65,'Model inputs'!O63-1*1))),'Model inputs'!W98,"")),IF(IF(IF(AND('Model inputs'!P65&lt;=DATE(2026,8,1),DATE(2026,8,1)&lt;=EDATE('Model inputs'!P65,'Model inputs'!O63-1*1))="",FALSE,AND('Model inputs'!P65&lt;=DATE(2026,8,1),DATE(2026,8,1)&lt;=EDATE('Model inputs'!P65,'Model inputs'!O63-1*1))),'Model inputs'!X98,"")="",0,IF(IF(AND('Model inputs'!P65&lt;=DATE(2026,8,1),DATE(2026,8,1)&lt;=EDATE('Model inputs'!P65,'Model inputs'!O63-1*1))="",FALSE,AND('Model inputs'!P65&lt;=DATE(2026,8,1),DATE(2026,8,1)&lt;=EDATE('Model inputs'!P65,'Model inputs'!O63-1*1))),'Model inputs'!X98,"")),IF(IF(IF(AND('Model inputs'!P65&lt;=DATE(2026,9,1),DATE(2026,9,1)&lt;=EDATE('Model inputs'!P65,'Model inputs'!O63-1*1))="",FALSE,AND('Model inputs'!P65&lt;=DATE(2026,9,1),DATE(2026,9,1)&lt;=EDATE('Model inputs'!P65,'Model inputs'!O63-1*1))),'Model inputs'!B98,"")="",0,IF(IF(AND('Model inputs'!P65&lt;=DATE(2026,9,1),DATE(2026,9,1)&lt;=EDATE('Model inputs'!P65,'Model inputs'!O63-1*1))="",FALSE,AND('Model inputs'!P65&lt;=DATE(2026,9,1),DATE(2026,9,1)&lt;=EDATE('Model inputs'!P65,'Model inputs'!O63-1*1))),'Model inputs'!B98,"")),IF(IF(IF(AND('Model inputs'!P65&lt;=DATE(2027,10,1),DATE(2027,10,1)&lt;=EDATE('Model inputs'!P65,'Model inputs'!O63-1*1))="",FALSE,AND('Model inputs'!P65&lt;=DATE(2027,10,1),DATE(2027,10,1)&lt;=EDATE('Model inputs'!P65,'Model inputs'!O63-1*1))),'Model inputs'!Y98,"")="",0,IF(IF(AND('Model inputs'!P65&lt;=DATE(2027,10,1),DATE(2027,10,1)&lt;=EDATE('Model inputs'!P65,'Model inputs'!O63-1*1))="",FALSE,AND('Model inputs'!P65&lt;=DATE(2027,10,1),DATE(2027,10,1)&lt;=EDATE('Model inputs'!P65,'Model inputs'!O63-1*1))),'Model inputs'!Y98,"")),IF(IF(IF(AND('Model inputs'!P65&lt;=DATE(2027,11,1),DATE(2027,11,1)&lt;=EDATE('Model inputs'!P65,'Model inputs'!O63-1*1))="",FALSE,AND('Model inputs'!P65&lt;=DATE(2027,11,1),DATE(2027,11,1)&lt;=EDATE('Model inputs'!P65,'Model inputs'!O63-1*1))),'Model inputs'!Z98,"")="",0,IF(IF(AND('Model inputs'!P65&lt;=DATE(2027,11,1),DATE(2027,11,1)&lt;=EDATE('Model inputs'!P65,'Model inputs'!O63-1*1))="",FALSE,AND('Model inputs'!P65&lt;=DATE(2027,11,1),DATE(2027,11,1)&lt;=EDATE('Model inputs'!P65,'Model inputs'!O63-1*1))),'Model inputs'!Z98,"")),IF(IF(IF(AND('Model inputs'!P65&lt;=DATE(2027,12,1),DATE(2027,12,1)&lt;=EDATE('Model inputs'!P65,'Model inputs'!O63-1*1))="",FALSE,AND('Model inputs'!P65&lt;=DATE(2027,12,1),DATE(2027,12,1)&lt;=EDATE('Model inputs'!P65,'Model inputs'!O63-1*1))),'Model inputs'!AA98,"")="",0,IF(IF(AND('Model inputs'!P65&lt;=DATE(2027,12,1),DATE(2027,12,1)&lt;=EDATE('Model inputs'!P65,'Model inputs'!O63-1*1))="",FALSE,AND('Model inputs'!P65&lt;=DATE(2027,12,1),DATE(2027,12,1)&lt;=EDATE('Model inputs'!P65,'Model inputs'!O63-1*1))),'Model inputs'!AA98,"")))</f>
      </c>
    </row>
    <row r="957">
      <c r="A957" t="inlineStr" s="14">
        <is>
          <t xml:space="preserve">Calculation</t>
        </is>
      </c>
      <c r="B957" s="10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pr'!B18,"")="",0,IF(IF(AND('Model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pr'!B18,"")),IF(IF(IF(AND('Model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pr'!C18,"")="",0,IF(IF(AND('Model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pr'!C18,"")),IF(IF(IF(AND('Model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pr'!D18,"")="",0,IF(IF(AND('Model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pr'!D18,"")),IF(IF(IF(AND('Model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pr'!E18,"")="",0,IF(IF(AND('Model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pr'!E18,"")),IF(IF(IF(AND('Model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pr'!F18,"")="",0,IF(IF(AND('Model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pr'!F18,"")),IF(IF(IF(AND('Model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pr'!G18,"")="",0,IF(IF(AND('Model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pr'!G18,"")),IF(IF(IF(AND('Model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pr'!H18,"")="",0,IF(IF(AND('Model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pr'!H18,"")),IF(IF(IF(AND('Model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pr'!I18,"")="",0,IF(IF(AND('Model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pr'!I18,"")),IF(IF(IF(AND('Model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pr'!J18,"")="",0,IF(IF(AND('Model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pr'!J18,"")),IF(IF(IF(AND('Model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pr'!K18,"")="",0,IF(IF(AND('Model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pr'!K18,"")),IF(IF(IF(AND('Model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pr'!L18,"")="",0,IF(IF(AND('Model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pr'!L18,"")),IF(IF(IF(AND('Model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pr'!M18,"")="",0,IF(IF(AND('Model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pr'!M18,"")),IF(IF(IF(AND('Model inputs'!P65&lt;=DATE(2026,1,1),DATE(2026,1,1)&lt;=EDATE('Model inputs'!P65,'Model inputs'!O63-1*1))="",FALSE,AND('Model inputs'!P65&lt;=DATE(2026,1,1),DATE(2026,1,1)&lt;=EDATE('Model inputs'!P65,'Model inputs'!O63-1*1))),'Model inputs'!Q102,"")="",0,IF(IF(AND('Model inputs'!P65&lt;=DATE(2026,1,1),DATE(2026,1,1)&lt;=EDATE('Model inputs'!P65,'Model inputs'!O63-1*1))="",FALSE,AND('Model inputs'!P65&lt;=DATE(2026,1,1),DATE(2026,1,1)&lt;=EDATE('Model inputs'!P65,'Model inputs'!O63-1*1))),'Model inputs'!Q102,"")),IF(IF(IF(AND('Model inputs'!P65&lt;=DATE(2026,2,1),DATE(2026,2,1)&lt;=EDATE('Model inputs'!P65,'Model inputs'!O63-1*1))="",FALSE,AND('Model inputs'!P65&lt;=DATE(2026,2,1),DATE(2026,2,1)&lt;=EDATE('Model inputs'!P65,'Model inputs'!O63-1*1))),'Model inputs'!R102,"")="",0,IF(IF(AND('Model inputs'!P65&lt;=DATE(2026,2,1),DATE(2026,2,1)&lt;=EDATE('Model inputs'!P65,'Model inputs'!O63-1*1))="",FALSE,AND('Model inputs'!P65&lt;=DATE(2026,2,1),DATE(2026,2,1)&lt;=EDATE('Model inputs'!P65,'Model inputs'!O63-1*1))),'Model inputs'!R102,"")),IF(IF(IF(AND('Model inputs'!P65&lt;=DATE(2026,3,1),DATE(2026,3,1)&lt;=EDATE('Model inputs'!P65,'Model inputs'!O63-1*1))="",FALSE,AND('Model inputs'!P65&lt;=DATE(2026,3,1),DATE(2026,3,1)&lt;=EDATE('Model inputs'!P65,'Model inputs'!O63-1*1))),'Model inputs'!S102,"")="",0,IF(IF(AND('Model inputs'!P65&lt;=DATE(2026,3,1),DATE(2026,3,1)&lt;=EDATE('Model inputs'!P65,'Model inputs'!O63-1*1))="",FALSE,AND('Model inputs'!P65&lt;=DATE(2026,3,1),DATE(2026,3,1)&lt;=EDATE('Model inputs'!P65,'Model inputs'!O63-1*1))),'Model inputs'!S102,"")))</f>
      </c>
    </row>
    <row r="958">
      <c r="A958" t="inlineStr" s="14">
        <is>
          <t xml:space="preserve">Calculation</t>
        </is>
      </c>
      <c r="B958" s="10">
        <f>SUM(IF(IF(IF(AND('Model inputs'!P65&lt;=DATE(2026,4,1),DATE(2026,4,1)&lt;=EDATE('Model inputs'!P65,'Model inputs'!O63-1*1))="",FALSE,AND('Model inputs'!P65&lt;=DATE(2026,4,1),DATE(2026,4,1)&lt;=EDATE('Model inputs'!P65,'Model inputs'!O63-1*1))),'Model inputs'!T102,"")="",0,IF(IF(AND('Model inputs'!P65&lt;=DATE(2026,4,1),DATE(2026,4,1)&lt;=EDATE('Model inputs'!P65,'Model inputs'!O63-1*1))="",FALSE,AND('Model inputs'!P65&lt;=DATE(2026,4,1),DATE(2026,4,1)&lt;=EDATE('Model inputs'!P65,'Model inputs'!O63-1*1))),'Model inputs'!T102,"")),IF(IF(IF(AND('Model inputs'!P65&lt;=DATE(2026,5,1),DATE(2026,5,1)&lt;=EDATE('Model inputs'!P65,'Model inputs'!O63-1*1))="",FALSE,AND('Model inputs'!P65&lt;=DATE(2026,5,1),DATE(2026,5,1)&lt;=EDATE('Model inputs'!P65,'Model inputs'!O63-1*1))),'Model inputs'!U102,"")="",0,IF(IF(AND('Model inputs'!P65&lt;=DATE(2026,5,1),DATE(2026,5,1)&lt;=EDATE('Model inputs'!P65,'Model inputs'!O63-1*1))="",FALSE,AND('Model inputs'!P65&lt;=DATE(2026,5,1),DATE(2026,5,1)&lt;=EDATE('Model inputs'!P65,'Model inputs'!O63-1*1))),'Model inputs'!U102,"")),IF(IF(IF(AND('Model inputs'!P65&lt;=DATE(2026,6,1),DATE(2026,6,1)&lt;=EDATE('Model inputs'!P65,'Model inputs'!O63-1*1))="",FALSE,AND('Model inputs'!P65&lt;=DATE(2026,6,1),DATE(2026,6,1)&lt;=EDATE('Model inputs'!P65,'Model inputs'!O63-1*1))),'Model inputs'!V102,"")="",0,IF(IF(AND('Model inputs'!P65&lt;=DATE(2026,6,1),DATE(2026,6,1)&lt;=EDATE('Model inputs'!P65,'Model inputs'!O63-1*1))="",FALSE,AND('Model inputs'!P65&lt;=DATE(2026,6,1),DATE(2026,6,1)&lt;=EDATE('Model inputs'!P65,'Model inputs'!O63-1*1))),'Model inputs'!V102,"")),IF(IF(IF(AND('Model inputs'!P65&lt;=DATE(2026,7,1),DATE(2026,7,1)&lt;=EDATE('Model inputs'!P65,'Model inputs'!O63-1*1))="",FALSE,AND('Model inputs'!P65&lt;=DATE(2026,7,1),DATE(2026,7,1)&lt;=EDATE('Model inputs'!P65,'Model inputs'!O63-1*1))),'Model inputs'!W102,"")="",0,IF(IF(AND('Model inputs'!P65&lt;=DATE(2026,7,1),DATE(2026,7,1)&lt;=EDATE('Model inputs'!P65,'Model inputs'!O63-1*1))="",FALSE,AND('Model inputs'!P65&lt;=DATE(2026,7,1),DATE(2026,7,1)&lt;=EDATE('Model inputs'!P65,'Model inputs'!O63-1*1))),'Model inputs'!W102,"")),IF(IF(IF(AND('Model inputs'!P65&lt;=DATE(2026,8,1),DATE(2026,8,1)&lt;=EDATE('Model inputs'!P65,'Model inputs'!O63-1*1))="",FALSE,AND('Model inputs'!P65&lt;=DATE(2026,8,1),DATE(2026,8,1)&lt;=EDATE('Model inputs'!P65,'Model inputs'!O63-1*1))),'Model inputs'!X102,"")="",0,IF(IF(AND('Model inputs'!P65&lt;=DATE(2026,8,1),DATE(2026,8,1)&lt;=EDATE('Model inputs'!P65,'Model inputs'!O63-1*1))="",FALSE,AND('Model inputs'!P65&lt;=DATE(2026,8,1),DATE(2026,8,1)&lt;=EDATE('Model inputs'!P65,'Model inputs'!O63-1*1))),'Model inputs'!X102,"")),IF(IF(IF(AND('Model inputs'!P65&lt;=DATE(2026,9,1),DATE(2026,9,1)&lt;=EDATE('Model inputs'!P65,'Model inputs'!O63-1*1))="",FALSE,AND('Model inputs'!P65&lt;=DATE(2026,9,1),DATE(2026,9,1)&lt;=EDATE('Model inputs'!P65,'Model inputs'!O63-1*1))),'Model inputs'!B102,"")="",0,IF(IF(AND('Model inputs'!P65&lt;=DATE(2026,9,1),DATE(2026,9,1)&lt;=EDATE('Model inputs'!P65,'Model inputs'!O63-1*1))="",FALSE,AND('Model inputs'!P65&lt;=DATE(2026,9,1),DATE(2026,9,1)&lt;=EDATE('Model inputs'!P65,'Model inputs'!O63-1*1))),'Model inputs'!B102,"")),IF(IF(IF(AND('Model inputs'!P65&lt;=DATE(2027,10,1),DATE(2027,10,1)&lt;=EDATE('Model inputs'!P65,'Model inputs'!O63-1*1))="",FALSE,AND('Model inputs'!P65&lt;=DATE(2027,10,1),DATE(2027,10,1)&lt;=EDATE('Model inputs'!P65,'Model inputs'!O63-1*1))),'Model inputs'!Y103,"")="",0,IF(IF(AND('Model inputs'!P65&lt;=DATE(2027,10,1),DATE(2027,10,1)&lt;=EDATE('Model inputs'!P65,'Model inputs'!O63-1*1))="",FALSE,AND('Model inputs'!P65&lt;=DATE(2027,10,1),DATE(2027,10,1)&lt;=EDATE('Model inputs'!P65,'Model inputs'!O63-1*1))),'Model inputs'!Y103,"")),IF(IF(IF(AND('Model inputs'!P65&lt;=DATE(2027,11,1),DATE(2027,11,1)&lt;=EDATE('Model inputs'!P65,'Model inputs'!O63-1*1))="",FALSE,AND('Model inputs'!P65&lt;=DATE(2027,11,1),DATE(2027,11,1)&lt;=EDATE('Model inputs'!P65,'Model inputs'!O63-1*1))),'Model inputs'!Z103,"")="",0,IF(IF(AND('Model inputs'!P65&lt;=DATE(2027,11,1),DATE(2027,11,1)&lt;=EDATE('Model inputs'!P65,'Model inputs'!O63-1*1))="",FALSE,AND('Model inputs'!P65&lt;=DATE(2027,11,1),DATE(2027,11,1)&lt;=EDATE('Model inputs'!P65,'Model inputs'!O63-1*1))),'Model inputs'!Z103,"")),IF(IF(IF(AND('Model inputs'!P65&lt;=DATE(2027,12,1),DATE(2027,12,1)&lt;=EDATE('Model inputs'!P65,'Model inputs'!O63-1*1))="",FALSE,AND('Model inputs'!P65&lt;=DATE(2027,12,1),DATE(2027,12,1)&lt;=EDATE('Model inputs'!P65,'Model inputs'!O63-1*1))),'Model inputs'!AA103,"")="",0,IF(IF(AND('Model inputs'!P65&lt;=DATE(2027,12,1),DATE(2027,12,1)&lt;=EDATE('Model inputs'!P65,'Model inputs'!O63-1*1))="",FALSE,AND('Model inputs'!P65&lt;=DATE(2027,12,1),DATE(2027,12,1)&lt;=EDATE('Model inputs'!P65,'Model inputs'!O63-1*1))),'Model inputs'!AA103,"")))</f>
      </c>
    </row>
    <row r="959">
      <c r="A959" t="inlineStr" s="14">
        <is>
          <t xml:space="preserve">Calculation</t>
        </is>
      </c>
      <c r="B959" s="7">
        <f>SUM(IF(IF(IF(AND('Model inputs'!P65&lt;=DATE(2026,10,1),DATE(2026,10,1)&lt;=EDATE('Model inputs'!P65,'Model inputs'!O63-1*1))="",FALSE,AND('Model inputs'!P65&lt;=DATE(2026,10,1),DATE(2026,10,1)&lt;=EDATE('Model inputs'!P65,'Model inputs'!O63-1*1))),'DealScope 12-month financial pr'!B23,"")="",0,IF(IF(AND('Model inputs'!P65&lt;=DATE(2026,10,1),DATE(2026,10,1)&lt;=EDATE('Model inputs'!P65,'Model inputs'!O63-1*1))="",FALSE,AND('Model inputs'!P65&lt;=DATE(2026,10,1),DATE(2026,10,1)&lt;=EDATE('Model inputs'!P65,'Model inputs'!O63-1*1))),'DealScope 12-month financial pr'!B23,"")),IF(IF(IF(AND('Model inputs'!P65&lt;=DATE(2026,11,1),DATE(2026,11,1)&lt;=EDATE('Model inputs'!P65,'Model inputs'!O63-1*1))="",FALSE,AND('Model inputs'!P65&lt;=DATE(2026,11,1),DATE(2026,11,1)&lt;=EDATE('Model inputs'!P65,'Model inputs'!O63-1*1))),'DealScope 12-month financial pr'!C23,"")="",0,IF(IF(AND('Model inputs'!P65&lt;=DATE(2026,11,1),DATE(2026,11,1)&lt;=EDATE('Model inputs'!P65,'Model inputs'!O63-1*1))="",FALSE,AND('Model inputs'!P65&lt;=DATE(2026,11,1),DATE(2026,11,1)&lt;=EDATE('Model inputs'!P65,'Model inputs'!O63-1*1))),'DealScope 12-month financial pr'!C23,"")),IF(IF(IF(AND('Model inputs'!P65&lt;=DATE(2026,12,1),DATE(2026,12,1)&lt;=EDATE('Model inputs'!P65,'Model inputs'!O63-1*1))="",FALSE,AND('Model inputs'!P65&lt;=DATE(2026,12,1),DATE(2026,12,1)&lt;=EDATE('Model inputs'!P65,'Model inputs'!O63-1*1))),'DealScope 12-month financial pr'!D23,"")="",0,IF(IF(AND('Model inputs'!P65&lt;=DATE(2026,12,1),DATE(2026,12,1)&lt;=EDATE('Model inputs'!P65,'Model inputs'!O63-1*1))="",FALSE,AND('Model inputs'!P65&lt;=DATE(2026,12,1),DATE(2026,12,1)&lt;=EDATE('Model inputs'!P65,'Model inputs'!O63-1*1))),'DealScope 12-month financial pr'!D23,"")),IF(IF(IF(AND('Model inputs'!P65&lt;=DATE(2027,1,1),DATE(2027,1,1)&lt;=EDATE('Model inputs'!P65,'Model inputs'!O63-1*1))="",FALSE,AND('Model inputs'!P65&lt;=DATE(2027,1,1),DATE(2027,1,1)&lt;=EDATE('Model inputs'!P65,'Model inputs'!O63-1*1))),'DealScope 12-month financial pr'!E23,"")="",0,IF(IF(AND('Model inputs'!P65&lt;=DATE(2027,1,1),DATE(2027,1,1)&lt;=EDATE('Model inputs'!P65,'Model inputs'!O63-1*1))="",FALSE,AND('Model inputs'!P65&lt;=DATE(2027,1,1),DATE(2027,1,1)&lt;=EDATE('Model inputs'!P65,'Model inputs'!O63-1*1))),'DealScope 12-month financial pr'!E23,"")),IF(IF(IF(AND('Model inputs'!P65&lt;=DATE(2027,2,1),DATE(2027,2,1)&lt;=EDATE('Model inputs'!P65,'Model inputs'!O63-1*1))="",FALSE,AND('Model inputs'!P65&lt;=DATE(2027,2,1),DATE(2027,2,1)&lt;=EDATE('Model inputs'!P65,'Model inputs'!O63-1*1))),'DealScope 12-month financial pr'!F23,"")="",0,IF(IF(AND('Model inputs'!P65&lt;=DATE(2027,2,1),DATE(2027,2,1)&lt;=EDATE('Model inputs'!P65,'Model inputs'!O63-1*1))="",FALSE,AND('Model inputs'!P65&lt;=DATE(2027,2,1),DATE(2027,2,1)&lt;=EDATE('Model inputs'!P65,'Model inputs'!O63-1*1))),'DealScope 12-month financial pr'!F23,"")),IF(IF(IF(AND('Model inputs'!P65&lt;=DATE(2027,3,1),DATE(2027,3,1)&lt;=EDATE('Model inputs'!P65,'Model inputs'!O63-1*1))="",FALSE,AND('Model inputs'!P65&lt;=DATE(2027,3,1),DATE(2027,3,1)&lt;=EDATE('Model inputs'!P65,'Model inputs'!O63-1*1))),'DealScope 12-month financial pr'!G23,"")="",0,IF(IF(AND('Model inputs'!P65&lt;=DATE(2027,3,1),DATE(2027,3,1)&lt;=EDATE('Model inputs'!P65,'Model inputs'!O63-1*1))="",FALSE,AND('Model inputs'!P65&lt;=DATE(2027,3,1),DATE(2027,3,1)&lt;=EDATE('Model inputs'!P65,'Model inputs'!O63-1*1))),'DealScope 12-month financial pr'!G23,"")),IF(IF(IF(AND('Model inputs'!P65&lt;=DATE(2027,4,1),DATE(2027,4,1)&lt;=EDATE('Model inputs'!P65,'Model inputs'!O63-1*1))="",FALSE,AND('Model inputs'!P65&lt;=DATE(2027,4,1),DATE(2027,4,1)&lt;=EDATE('Model inputs'!P65,'Model inputs'!O63-1*1))),'DealScope 12-month financial pr'!H23,"")="",0,IF(IF(AND('Model inputs'!P65&lt;=DATE(2027,4,1),DATE(2027,4,1)&lt;=EDATE('Model inputs'!P65,'Model inputs'!O63-1*1))="",FALSE,AND('Model inputs'!P65&lt;=DATE(2027,4,1),DATE(2027,4,1)&lt;=EDATE('Model inputs'!P65,'Model inputs'!O63-1*1))),'DealScope 12-month financial pr'!H23,"")),IF(IF(IF(AND('Model inputs'!P65&lt;=DATE(2027,5,1),DATE(2027,5,1)&lt;=EDATE('Model inputs'!P65,'Model inputs'!O63-1*1))="",FALSE,AND('Model inputs'!P65&lt;=DATE(2027,5,1),DATE(2027,5,1)&lt;=EDATE('Model inputs'!P65,'Model inputs'!O63-1*1))),'DealScope 12-month financial pr'!I23,"")="",0,IF(IF(AND('Model inputs'!P65&lt;=DATE(2027,5,1),DATE(2027,5,1)&lt;=EDATE('Model inputs'!P65,'Model inputs'!O63-1*1))="",FALSE,AND('Model inputs'!P65&lt;=DATE(2027,5,1),DATE(2027,5,1)&lt;=EDATE('Model inputs'!P65,'Model inputs'!O63-1*1))),'DealScope 12-month financial pr'!I23,"")),IF(IF(IF(AND('Model inputs'!P65&lt;=DATE(2027,6,1),DATE(2027,6,1)&lt;=EDATE('Model inputs'!P65,'Model inputs'!O63-1*1))="",FALSE,AND('Model inputs'!P65&lt;=DATE(2027,6,1),DATE(2027,6,1)&lt;=EDATE('Model inputs'!P65,'Model inputs'!O63-1*1))),'DealScope 12-month financial pr'!J23,"")="",0,IF(IF(AND('Model inputs'!P65&lt;=DATE(2027,6,1),DATE(2027,6,1)&lt;=EDATE('Model inputs'!P65,'Model inputs'!O63-1*1))="",FALSE,AND('Model inputs'!P65&lt;=DATE(2027,6,1),DATE(2027,6,1)&lt;=EDATE('Model inputs'!P65,'Model inputs'!O63-1*1))),'DealScope 12-month financial pr'!J23,"")),IF(IF(IF(AND('Model inputs'!P65&lt;=DATE(2027,7,1),DATE(2027,7,1)&lt;=EDATE('Model inputs'!P65,'Model inputs'!O63-1*1))="",FALSE,AND('Model inputs'!P65&lt;=DATE(2027,7,1),DATE(2027,7,1)&lt;=EDATE('Model inputs'!P65,'Model inputs'!O63-1*1))),'DealScope 12-month financial pr'!K23,"")="",0,IF(IF(AND('Model inputs'!P65&lt;=DATE(2027,7,1),DATE(2027,7,1)&lt;=EDATE('Model inputs'!P65,'Model inputs'!O63-1*1))="",FALSE,AND('Model inputs'!P65&lt;=DATE(2027,7,1),DATE(2027,7,1)&lt;=EDATE('Model inputs'!P65,'Model inputs'!O63-1*1))),'DealScope 12-month financial pr'!K23,"")),IF(IF(IF(AND('Model inputs'!P65&lt;=DATE(2027,8,1),DATE(2027,8,1)&lt;=EDATE('Model inputs'!P65,'Model inputs'!O63-1*1))="",FALSE,AND('Model inputs'!P65&lt;=DATE(2027,8,1),DATE(2027,8,1)&lt;=EDATE('Model inputs'!P65,'Model inputs'!O63-1*1))),'DealScope 12-month financial pr'!L23,"")="",0,IF(IF(AND('Model inputs'!P65&lt;=DATE(2027,8,1),DATE(2027,8,1)&lt;=EDATE('Model inputs'!P65,'Model inputs'!O63-1*1))="",FALSE,AND('Model inputs'!P65&lt;=DATE(2027,8,1),DATE(2027,8,1)&lt;=EDATE('Model inputs'!P65,'Model inputs'!O63-1*1))),'DealScope 12-month financial pr'!L23,"")),IF(IF(IF(AND('Model inputs'!P65&lt;=DATE(2027,9,1),DATE(2027,9,1)&lt;=EDATE('Model inputs'!P65,'Model inputs'!O63-1*1))="",FALSE,AND('Model inputs'!P65&lt;=DATE(2027,9,1),DATE(2027,9,1)&lt;=EDATE('Model inputs'!P65,'Model inputs'!O63-1*1))),'DealScope 12-month financial pr'!M23,"")="",0,IF(IF(AND('Model inputs'!P65&lt;=DATE(2027,9,1),DATE(2027,9,1)&lt;=EDATE('Model inputs'!P65,'Model inputs'!O63-1*1))="",FALSE,AND('Model inputs'!P65&lt;=DATE(2027,9,1),DATE(2027,9,1)&lt;=EDATE('Model inputs'!P65,'Model inputs'!O63-1*1))),'DealScope 12-month financial pr'!M23,"")),IF(IF(IF(AND('Model inputs'!P65&lt;=DATE(2026,1,1),DATE(2026,1,1)&lt;=EDATE('Model inputs'!P65,'Model inputs'!O63-1*1))="",FALSE,AND('Model inputs'!P65&lt;=DATE(2026,1,1),DATE(2026,1,1)&lt;=EDATE('Model inputs'!P65,'Model inputs'!O63-1*1))),'Model inputs'!Q108,"")="",0,IF(IF(AND('Model inputs'!P65&lt;=DATE(2026,1,1),DATE(2026,1,1)&lt;=EDATE('Model inputs'!P65,'Model inputs'!O63-1*1))="",FALSE,AND('Model inputs'!P65&lt;=DATE(2026,1,1),DATE(2026,1,1)&lt;=EDATE('Model inputs'!P65,'Model inputs'!O63-1*1))),'Model inputs'!Q108,"")),IF(IF(IF(AND('Model inputs'!P65&lt;=DATE(2026,2,1),DATE(2026,2,1)&lt;=EDATE('Model inputs'!P65,'Model inputs'!O63-1*1))="",FALSE,AND('Model inputs'!P65&lt;=DATE(2026,2,1),DATE(2026,2,1)&lt;=EDATE('Model inputs'!P65,'Model inputs'!O63-1*1))),'Model inputs'!R108,"")="",0,IF(IF(AND('Model inputs'!P65&lt;=DATE(2026,2,1),DATE(2026,2,1)&lt;=EDATE('Model inputs'!P65,'Model inputs'!O63-1*1))="",FALSE,AND('Model inputs'!P65&lt;=DATE(2026,2,1),DATE(2026,2,1)&lt;=EDATE('Model inputs'!P65,'Model inputs'!O63-1*1))),'Model inputs'!R108,"")),IF(IF(IF(AND('Model inputs'!P65&lt;=DATE(2026,3,1),DATE(2026,3,1)&lt;=EDATE('Model inputs'!P65,'Model inputs'!O63-1*1))="",FALSE,AND('Model inputs'!P65&lt;=DATE(2026,3,1),DATE(2026,3,1)&lt;=EDATE('Model inputs'!P65,'Model inputs'!O63-1*1))),'Model inputs'!S108,"")="",0,IF(IF(AND('Model inputs'!P65&lt;=DATE(2026,3,1),DATE(2026,3,1)&lt;=EDATE('Model inputs'!P65,'Model inputs'!O63-1*1))="",FALSE,AND('Model inputs'!P65&lt;=DATE(2026,3,1),DATE(2026,3,1)&lt;=EDATE('Model inputs'!P65,'Model inputs'!O63-1*1))),'Model inputs'!S108,"")))</f>
      </c>
    </row>
    <row r="960">
      <c r="A960" t="inlineStr" s="14">
        <is>
          <t xml:space="preserve">Calculation</t>
        </is>
      </c>
      <c r="B960" s="7">
        <f>SUM(IF(IF(IF(AND('Model inputs'!P65&lt;=DATE(2026,4,1),DATE(2026,4,1)&lt;=EDATE('Model inputs'!P65,'Model inputs'!O63-1*1))="",FALSE,AND('Model inputs'!P65&lt;=DATE(2026,4,1),DATE(2026,4,1)&lt;=EDATE('Model inputs'!P65,'Model inputs'!O63-1*1))),'Model inputs'!T108,"")="",0,IF(IF(AND('Model inputs'!P65&lt;=DATE(2026,4,1),DATE(2026,4,1)&lt;=EDATE('Model inputs'!P65,'Model inputs'!O63-1*1))="",FALSE,AND('Model inputs'!P65&lt;=DATE(2026,4,1),DATE(2026,4,1)&lt;=EDATE('Model inputs'!P65,'Model inputs'!O63-1*1))),'Model inputs'!T108,"")),IF(IF(IF(AND('Model inputs'!P65&lt;=DATE(2026,5,1),DATE(2026,5,1)&lt;=EDATE('Model inputs'!P65,'Model inputs'!O63-1*1))="",FALSE,AND('Model inputs'!P65&lt;=DATE(2026,5,1),DATE(2026,5,1)&lt;=EDATE('Model inputs'!P65,'Model inputs'!O63-1*1))),'Model inputs'!U108,"")="",0,IF(IF(AND('Model inputs'!P65&lt;=DATE(2026,5,1),DATE(2026,5,1)&lt;=EDATE('Model inputs'!P65,'Model inputs'!O63-1*1))="",FALSE,AND('Model inputs'!P65&lt;=DATE(2026,5,1),DATE(2026,5,1)&lt;=EDATE('Model inputs'!P65,'Model inputs'!O63-1*1))),'Model inputs'!U108,"")),IF(IF(IF(AND('Model inputs'!P65&lt;=DATE(2026,6,1),DATE(2026,6,1)&lt;=EDATE('Model inputs'!P65,'Model inputs'!O63-1*1))="",FALSE,AND('Model inputs'!P65&lt;=DATE(2026,6,1),DATE(2026,6,1)&lt;=EDATE('Model inputs'!P65,'Model inputs'!O63-1*1))),'Model inputs'!V108,"")="",0,IF(IF(AND('Model inputs'!P65&lt;=DATE(2026,6,1),DATE(2026,6,1)&lt;=EDATE('Model inputs'!P65,'Model inputs'!O63-1*1))="",FALSE,AND('Model inputs'!P65&lt;=DATE(2026,6,1),DATE(2026,6,1)&lt;=EDATE('Model inputs'!P65,'Model inputs'!O63-1*1))),'Model inputs'!V108,"")),IF(IF(IF(AND('Model inputs'!P65&lt;=DATE(2026,7,1),DATE(2026,7,1)&lt;=EDATE('Model inputs'!P65,'Model inputs'!O63-1*1))="",FALSE,AND('Model inputs'!P65&lt;=DATE(2026,7,1),DATE(2026,7,1)&lt;=EDATE('Model inputs'!P65,'Model inputs'!O63-1*1))),'Model inputs'!W108,"")="",0,IF(IF(AND('Model inputs'!P65&lt;=DATE(2026,7,1),DATE(2026,7,1)&lt;=EDATE('Model inputs'!P65,'Model inputs'!O63-1*1))="",FALSE,AND('Model inputs'!P65&lt;=DATE(2026,7,1),DATE(2026,7,1)&lt;=EDATE('Model inputs'!P65,'Model inputs'!O63-1*1))),'Model inputs'!W108,"")),IF(IF(IF(AND('Model inputs'!P65&lt;=DATE(2026,8,1),DATE(2026,8,1)&lt;=EDATE('Model inputs'!P65,'Model inputs'!O63-1*1))="",FALSE,AND('Model inputs'!P65&lt;=DATE(2026,8,1),DATE(2026,8,1)&lt;=EDATE('Model inputs'!P65,'Model inputs'!O63-1*1))),'Model inputs'!X108,"")="",0,IF(IF(AND('Model inputs'!P65&lt;=DATE(2026,8,1),DATE(2026,8,1)&lt;=EDATE('Model inputs'!P65,'Model inputs'!O63-1*1))="",FALSE,AND('Model inputs'!P65&lt;=DATE(2026,8,1),DATE(2026,8,1)&lt;=EDATE('Model inputs'!P65,'Model inputs'!O63-1*1))),'Model inputs'!X108,"")),IF(IF(IF(AND('Model inputs'!P65&lt;=DATE(2026,9,1),DATE(2026,9,1)&lt;=EDATE('Model inputs'!P65,'Model inputs'!O63-1*1))="",FALSE,AND('Model inputs'!P65&lt;=DATE(2026,9,1),DATE(2026,9,1)&lt;=EDATE('Model inputs'!P65,'Model inputs'!O63-1*1))),'Model inputs'!B108,"")="",0,IF(IF(AND('Model inputs'!P65&lt;=DATE(2026,9,1),DATE(2026,9,1)&lt;=EDATE('Model inputs'!P65,'Model inputs'!O63-1*1))="",FALSE,AND('Model inputs'!P65&lt;=DATE(2026,9,1),DATE(2026,9,1)&lt;=EDATE('Model inputs'!P65,'Model inputs'!O63-1*1))),'Model inputs'!B108,"")),IF(IF(IF(AND('Model inputs'!P65&lt;=DATE(2027,10,1),DATE(2027,10,1)&lt;=EDATE('Model inputs'!P65,'Model inputs'!O63-1*1))="",FALSE,AND('Model inputs'!P65&lt;=DATE(2027,10,1),DATE(2027,10,1)&lt;=EDATE('Model inputs'!P65,'Model inputs'!O63-1*1))),'Model inputs'!Y108,"")="",0,IF(IF(AND('Model inputs'!P65&lt;=DATE(2027,10,1),DATE(2027,10,1)&lt;=EDATE('Model inputs'!P65,'Model inputs'!O63-1*1))="",FALSE,AND('Model inputs'!P65&lt;=DATE(2027,10,1),DATE(2027,10,1)&lt;=EDATE('Model inputs'!P65,'Model inputs'!O63-1*1))),'Model inputs'!Y108,"")),IF(IF(IF(AND('Model inputs'!P65&lt;=DATE(2027,11,1),DATE(2027,11,1)&lt;=EDATE('Model inputs'!P65,'Model inputs'!O63-1*1))="",FALSE,AND('Model inputs'!P65&lt;=DATE(2027,11,1),DATE(2027,11,1)&lt;=EDATE('Model inputs'!P65,'Model inputs'!O63-1*1))),'Model inputs'!Z108,"")="",0,IF(IF(AND('Model inputs'!P65&lt;=DATE(2027,11,1),DATE(2027,11,1)&lt;=EDATE('Model inputs'!P65,'Model inputs'!O63-1*1))="",FALSE,AND('Model inputs'!P65&lt;=DATE(2027,11,1),DATE(2027,11,1)&lt;=EDATE('Model inputs'!P65,'Model inputs'!O63-1*1))),'Model inputs'!Z108,"")),IF(IF(IF(AND('Model inputs'!P65&lt;=DATE(2027,12,1),DATE(2027,12,1)&lt;=EDATE('Model inputs'!P65,'Model inputs'!O63-1*1))="",FALSE,AND('Model inputs'!P65&lt;=DATE(2027,12,1),DATE(2027,12,1)&lt;=EDATE('Model inputs'!P65,'Model inputs'!O63-1*1))),'Model inputs'!AA108,"")="",0,IF(IF(AND('Model inputs'!P65&lt;=DATE(2027,12,1),DATE(2027,12,1)&lt;=EDATE('Model inputs'!P65,'Model inputs'!O63-1*1))="",FALSE,AND('Model inputs'!P65&lt;=DATE(2027,12,1),DATE(2027,12,1)&lt;=EDATE('Model inputs'!P65,'Model inputs'!O63-1*1))),'Model inputs'!AA108,"")))</f>
      </c>
    </row>
    <row r="961">
      <c r="A961" t="inlineStr" s="14">
        <is>
          <t xml:space="preserve">Calculation</t>
        </is>
      </c>
      <c r="B961">
        <f>IF(IF(EXACT("Annual deal-team",'Model inputs'!O111)="",FALSE,EXACT("Annual deal-team",'Model inputs'!O111)),IF('Model inputs'!Y206="","",'Model inputs'!Y206),"")</f>
      </c>
    </row>
    <row r="962">
      <c r="A962" t="inlineStr" s="14">
        <is>
          <t xml:space="preserve">Calculation</t>
        </is>
      </c>
      <c r="B962">
        <f>IF(IF(EXACT("Hybrid",'Model inputs'!O111)="",FALSE,EXACT("Hybrid",'Model inputs'!O111)),IF('Model inputs'!Y207="","",'Model inputs'!Y207),"")</f>
      </c>
    </row>
    <row r="963">
      <c r="A963" t="inlineStr" s="14">
        <is>
          <t xml:space="preserve">Calculation</t>
        </is>
      </c>
      <c r="B963">
        <f>IF(IF(EXACT("Per audit — base",'Model inputs'!O111)="",FALSE,EXACT("Per audit — base",'Model inputs'!O111)),IF('Model inputs'!Y208="","",'Model inputs'!Y208),"")</f>
      </c>
    </row>
    <row r="964">
      <c r="A964" t="inlineStr" s="14">
        <is>
          <t xml:space="preserve">Calculation</t>
        </is>
      </c>
      <c r="B964">
        <f>IF(IF(EXACT("Per audit — high",'Model inputs'!O111)="",FALSE,EXACT("Per audit — high",'Model inputs'!O111)),IF('Model inputs'!Y209="","",'Model inputs'!Y209),"")</f>
      </c>
    </row>
    <row r="965">
      <c r="A965" t="inlineStr" s="14">
        <is>
          <t xml:space="preserve">Calculation</t>
        </is>
      </c>
      <c r="B965">
        <f>IF(IF(EXACT("Per audit — low",'Model inputs'!O111)="",FALSE,EXACT("Per audit — low",'Model inputs'!O111)),IF('Model inputs'!Y210="","",'Model inputs'!Y210),"")</f>
      </c>
    </row>
    <row r="966">
      <c r="A966" t="inlineStr" s="14">
        <is>
          <t xml:space="preserve">Calculation</t>
        </is>
      </c>
      <c r="B966">
        <f>IF(IF(EXACT("Annual deal-team",'Model inputs'!O111)="",FALSE,EXACT("Annual deal-team",'Model inputs'!O111)),IF('Model inputs'!Z206="","",'Model inputs'!Z206),"")</f>
      </c>
    </row>
    <row r="967">
      <c r="A967" t="inlineStr" s="14">
        <is>
          <t xml:space="preserve">Calculation</t>
        </is>
      </c>
      <c r="B967">
        <f>IF(IF(EXACT("Hybrid",'Model inputs'!O111)="",FALSE,EXACT("Hybrid",'Model inputs'!O111)),IF('Model inputs'!Z207="","",'Model inputs'!Z207),"")</f>
      </c>
    </row>
    <row r="968">
      <c r="A968" t="inlineStr" s="14">
        <is>
          <t xml:space="preserve">Calculation</t>
        </is>
      </c>
      <c r="B968">
        <f>IF(IF(EXACT("Per audit — base",'Model inputs'!O111)="",FALSE,EXACT("Per audit — base",'Model inputs'!O111)),IF('Model inputs'!Z208="","",'Model inputs'!Z208),"")</f>
      </c>
    </row>
    <row r="969">
      <c r="A969" t="inlineStr" s="14">
        <is>
          <t xml:space="preserve">Calculation</t>
        </is>
      </c>
      <c r="B969">
        <f>IF(IF(EXACT("Per audit — high",'Model inputs'!O111)="",FALSE,EXACT("Per audit — high",'Model inputs'!O111)),IF('Model inputs'!Z209="","",'Model inputs'!Z209),"")</f>
      </c>
    </row>
    <row r="970">
      <c r="A970" t="inlineStr" s="14">
        <is>
          <t xml:space="preserve">Calculation</t>
        </is>
      </c>
      <c r="B970">
        <f>IF(IF(EXACT("Per audit — low",'Model inputs'!O111)="",FALSE,EXACT("Per audit — low",'Model inputs'!O111)),IF('Model inputs'!Z210="","",'Model inputs'!Z210),"")</f>
      </c>
    </row>
    <row r="971">
      <c r="A971" t="inlineStr" s="14">
        <is>
          <t xml:space="preserve">Calculation</t>
        </is>
      </c>
      <c r="B971">
        <f>IF(IF(EXACT("Annual deal-team",'Model inputs'!O111)="",FALSE,EXACT("Annual deal-team",'Model inputs'!O111)),IF('Model inputs'!AA206="","",'Model inputs'!AA206),"")</f>
      </c>
    </row>
    <row r="972">
      <c r="A972" t="inlineStr" s="14">
        <is>
          <t xml:space="preserve">Calculation</t>
        </is>
      </c>
      <c r="B972">
        <f>IF(IF(EXACT("Hybrid",'Model inputs'!O111)="",FALSE,EXACT("Hybrid",'Model inputs'!O111)),IF('Model inputs'!AA207="","",'Model inputs'!AA207),"")</f>
      </c>
    </row>
    <row r="973">
      <c r="A973" t="inlineStr" s="14">
        <is>
          <t xml:space="preserve">Calculation</t>
        </is>
      </c>
      <c r="B973">
        <f>IF(IF(EXACT("Per audit — base",'Model inputs'!O111)="",FALSE,EXACT("Per audit — base",'Model inputs'!O111)),IF('Model inputs'!AA208="","",'Model inputs'!AA208),"")</f>
      </c>
    </row>
    <row r="974">
      <c r="A974" t="inlineStr" s="14">
        <is>
          <t xml:space="preserve">Calculation</t>
        </is>
      </c>
      <c r="B974">
        <f>IF(IF(EXACT("Per audit — high",'Model inputs'!O111)="",FALSE,EXACT("Per audit — high",'Model inputs'!O111)),IF('Model inputs'!AA209="","",'Model inputs'!AA209),"")</f>
      </c>
    </row>
    <row r="975">
      <c r="A975" t="inlineStr" s="14">
        <is>
          <t xml:space="preserve">Calculation</t>
        </is>
      </c>
      <c r="B975">
        <f>IF(IF(EXACT("Per audit — low",'Model inputs'!O111)="",FALSE,EXACT("Per audit — low",'Model inputs'!O111)),IF('Model inputs'!AA210="","",'Model inputs'!AA210),"")</f>
      </c>
    </row>
    <row r="976">
      <c r="A976" t="inlineStr" s="14">
        <is>
          <t xml:space="preserve">Calculation</t>
        </is>
      </c>
      <c r="B976">
        <f>IF(IF(EXACT("Annual deal-team",'Model inputs'!O111)="",FALSE,EXACT("Annual deal-team",'Model inputs'!O111)),IF('Model inputs'!Y162="","",'Model inputs'!Y162),"")</f>
      </c>
    </row>
    <row r="977">
      <c r="A977" t="inlineStr" s="14">
        <is>
          <t xml:space="preserve">Calculation</t>
        </is>
      </c>
      <c r="B977">
        <f>IF(IF(EXACT("Hybrid",'Model inputs'!O111)="",FALSE,EXACT("Hybrid",'Model inputs'!O111)),IF('Model inputs'!Y163="","",'Model inputs'!Y163),"")</f>
      </c>
    </row>
    <row r="978">
      <c r="A978" t="inlineStr" s="14">
        <is>
          <t xml:space="preserve">Calculation</t>
        </is>
      </c>
      <c r="B978">
        <f>IF(IF(EXACT("Per audit — base",'Model inputs'!O111)="",FALSE,EXACT("Per audit — base",'Model inputs'!O111)),IF('Model inputs'!Y164="","",'Model inputs'!Y164),"")</f>
      </c>
    </row>
    <row r="979">
      <c r="A979" t="inlineStr" s="14">
        <is>
          <t xml:space="preserve">Calculation</t>
        </is>
      </c>
      <c r="B979">
        <f>IF(IF(EXACT("Per audit — high",'Model inputs'!O111)="",FALSE,EXACT("Per audit — high",'Model inputs'!O111)),IF('Model inputs'!Y165="","",'Model inputs'!Y165),"")</f>
      </c>
    </row>
    <row r="980">
      <c r="A980" t="inlineStr" s="14">
        <is>
          <t xml:space="preserve">Calculation</t>
        </is>
      </c>
      <c r="B980">
        <f>IF(IF(EXACT("Per audit — low",'Model inputs'!O111)="",FALSE,EXACT("Per audit — low",'Model inputs'!O111)),IF('Model inputs'!Y166="","",'Model inputs'!Y166),"")</f>
      </c>
    </row>
    <row r="981">
      <c r="A981" t="inlineStr" s="14">
        <is>
          <t xml:space="preserve">Calculation</t>
        </is>
      </c>
      <c r="B981">
        <f>IF(IF(EXACT("Annual deal-team",'Model inputs'!O111)="",FALSE,EXACT("Annual deal-team",'Model inputs'!O111)),IF('Model inputs'!Z162="","",'Model inputs'!Z162),"")</f>
      </c>
    </row>
    <row r="982">
      <c r="A982" t="inlineStr" s="14">
        <is>
          <t xml:space="preserve">Calculation</t>
        </is>
      </c>
      <c r="B982">
        <f>IF(IF(EXACT("Hybrid",'Model inputs'!O111)="",FALSE,EXACT("Hybrid",'Model inputs'!O111)),IF('Model inputs'!Z163="","",'Model inputs'!Z163),"")</f>
      </c>
    </row>
    <row r="983">
      <c r="A983" t="inlineStr" s="14">
        <is>
          <t xml:space="preserve">Calculation</t>
        </is>
      </c>
      <c r="B983">
        <f>IF(IF(EXACT("Per audit — base",'Model inputs'!O111)="",FALSE,EXACT("Per audit — base",'Model inputs'!O111)),IF('Model inputs'!Z164="","",'Model inputs'!Z164),"")</f>
      </c>
    </row>
    <row r="984">
      <c r="A984" t="inlineStr" s="14">
        <is>
          <t xml:space="preserve">Calculation</t>
        </is>
      </c>
      <c r="B984">
        <f>IF(IF(EXACT("Per audit — high",'Model inputs'!O111)="",FALSE,EXACT("Per audit — high",'Model inputs'!O111)),IF('Model inputs'!Z165="","",'Model inputs'!Z165),"")</f>
      </c>
    </row>
    <row r="985">
      <c r="A985" t="inlineStr" s="14">
        <is>
          <t xml:space="preserve">Calculation</t>
        </is>
      </c>
      <c r="B985">
        <f>IF(IF(EXACT("Per audit — low",'Model inputs'!O111)="",FALSE,EXACT("Per audit — low",'Model inputs'!O111)),IF('Model inputs'!Z166="","",'Model inputs'!Z166),"")</f>
      </c>
    </row>
    <row r="986">
      <c r="A986" t="inlineStr" s="14">
        <is>
          <t xml:space="preserve">Calculation</t>
        </is>
      </c>
      <c r="B986">
        <f>IF(IF(EXACT("Annual deal-team",'Model inputs'!O111)="",FALSE,EXACT("Annual deal-team",'Model inputs'!O111)),IF('Model inputs'!AA162="","",'Model inputs'!AA162),"")</f>
      </c>
    </row>
    <row r="987">
      <c r="A987" t="inlineStr" s="14">
        <is>
          <t xml:space="preserve">Calculation</t>
        </is>
      </c>
      <c r="B987">
        <f>IF(IF(EXACT("Hybrid",'Model inputs'!O111)="",FALSE,EXACT("Hybrid",'Model inputs'!O111)),IF('Model inputs'!AA163="","",'Model inputs'!AA163),"")</f>
      </c>
    </row>
    <row r="988">
      <c r="A988" t="inlineStr" s="14">
        <is>
          <t xml:space="preserve">Calculation</t>
        </is>
      </c>
      <c r="B988">
        <f>IF(IF(EXACT("Per audit — base",'Model inputs'!O111)="",FALSE,EXACT("Per audit — base",'Model inputs'!O111)),IF('Model inputs'!AA164="","",'Model inputs'!AA164),"")</f>
      </c>
    </row>
    <row r="989">
      <c r="A989" t="inlineStr" s="14">
        <is>
          <t xml:space="preserve">Calculation</t>
        </is>
      </c>
      <c r="B989">
        <f>IF(IF(EXACT("Per audit — high",'Model inputs'!O111)="",FALSE,EXACT("Per audit — high",'Model inputs'!O111)),IF('Model inputs'!AA165="","",'Model inputs'!AA165),"")</f>
      </c>
    </row>
    <row r="990">
      <c r="A990" t="inlineStr" s="14">
        <is>
          <t xml:space="preserve">Calculation</t>
        </is>
      </c>
      <c r="B990">
        <f>IF(IF(EXACT("Per audit — low",'Model inputs'!O111)="",FALSE,EXACT("Per audit — low",'Model inputs'!O111)),IF('Model inputs'!AA166="","",'Model inputs'!AA166),"")</f>
      </c>
    </row>
    <row r="991">
      <c r="A991" t="inlineStr" s="14">
        <is>
          <t xml:space="preserve">Calculation</t>
        </is>
      </c>
      <c r="B991">
        <f>IF(IF(EXACT("Annual deal-team",'Model inputs'!O111)="",FALSE,EXACT("Annual deal-team",'Model inputs'!O111)),IF('Model inputs'!Y168="","",'Model inputs'!Y168),"")</f>
      </c>
    </row>
    <row r="992">
      <c r="A992" t="inlineStr" s="14">
        <is>
          <t xml:space="preserve">Calculation</t>
        </is>
      </c>
      <c r="B992">
        <f>IF(IF(EXACT("Hybrid",'Model inputs'!O111)="",FALSE,EXACT("Hybrid",'Model inputs'!O111)),IF('Model inputs'!Y169="","",'Model inputs'!Y169),"")</f>
      </c>
    </row>
    <row r="993">
      <c r="A993" t="inlineStr" s="14">
        <is>
          <t xml:space="preserve">Calculation</t>
        </is>
      </c>
      <c r="B993">
        <f>IF(IF(EXACT("Per audit — base",'Model inputs'!O111)="",FALSE,EXACT("Per audit — base",'Model inputs'!O111)),IF('Model inputs'!Y170="","",'Model inputs'!Y170),"")</f>
      </c>
    </row>
    <row r="994">
      <c r="A994" t="inlineStr" s="14">
        <is>
          <t xml:space="preserve">Calculation</t>
        </is>
      </c>
      <c r="B994">
        <f>IF(IF(EXACT("Per audit — high",'Model inputs'!O111)="",FALSE,EXACT("Per audit — high",'Model inputs'!O111)),IF('Model inputs'!Y171="","",'Model inputs'!Y171),"")</f>
      </c>
    </row>
    <row r="995">
      <c r="A995" t="inlineStr" s="14">
        <is>
          <t xml:space="preserve">Calculation</t>
        </is>
      </c>
      <c r="B995">
        <f>IF(IF(EXACT("Per audit — low",'Model inputs'!O111)="",FALSE,EXACT("Per audit — low",'Model inputs'!O111)),IF('Model inputs'!Y172="","",'Model inputs'!Y172),"")</f>
      </c>
    </row>
    <row r="996">
      <c r="A996" t="inlineStr" s="14">
        <is>
          <t xml:space="preserve">Calculation</t>
        </is>
      </c>
      <c r="B996">
        <f>IF(IF(EXACT("Annual deal-team",'Model inputs'!O111)="",FALSE,EXACT("Annual deal-team",'Model inputs'!O111)),IF('Model inputs'!Z168="","",'Model inputs'!Z168),"")</f>
      </c>
    </row>
    <row r="997">
      <c r="A997" t="inlineStr" s="14">
        <is>
          <t xml:space="preserve">Calculation</t>
        </is>
      </c>
      <c r="B997">
        <f>IF(IF(EXACT("Hybrid",'Model inputs'!O111)="",FALSE,EXACT("Hybrid",'Model inputs'!O111)),IF('Model inputs'!Z169="","",'Model inputs'!Z169),"")</f>
      </c>
    </row>
    <row r="998">
      <c r="A998" t="inlineStr" s="14">
        <is>
          <t xml:space="preserve">Calculation</t>
        </is>
      </c>
      <c r="B998">
        <f>IF(IF(EXACT("Per audit — base",'Model inputs'!O111)="",FALSE,EXACT("Per audit — base",'Model inputs'!O111)),IF('Model inputs'!Z170="","",'Model inputs'!Z170),"")</f>
      </c>
    </row>
    <row r="999">
      <c r="A999" t="inlineStr" s="14">
        <is>
          <t xml:space="preserve">Calculation</t>
        </is>
      </c>
      <c r="B999">
        <f>IF(IF(EXACT("Per audit — high",'Model inputs'!O111)="",FALSE,EXACT("Per audit — high",'Model inputs'!O111)),IF('Model inputs'!Z171="","",'Model inputs'!Z171),"")</f>
      </c>
    </row>
    <row r="1000">
      <c r="A1000" t="inlineStr" s="14">
        <is>
          <t xml:space="preserve">Calculation</t>
        </is>
      </c>
      <c r="B1000">
        <f>IF(IF(EXACT("Per audit — low",'Model inputs'!O111)="",FALSE,EXACT("Per audit — low",'Model inputs'!O111)),IF('Model inputs'!Z172="","",'Model inputs'!Z172),"")</f>
      </c>
    </row>
    <row r="1001">
      <c r="A1001" t="inlineStr" s="14">
        <is>
          <t xml:space="preserve">Calculation</t>
        </is>
      </c>
      <c r="B1001">
        <f>IF(IF(EXACT("Annual deal-team",'Model inputs'!O111)="",FALSE,EXACT("Annual deal-team",'Model inputs'!O111)),IF('Model inputs'!AA168="","",'Model inputs'!AA168),"")</f>
      </c>
    </row>
    <row r="1002">
      <c r="A1002" t="inlineStr" s="14">
        <is>
          <t xml:space="preserve">Calculation</t>
        </is>
      </c>
      <c r="B1002">
        <f>IF(IF(EXACT("Hybrid",'Model inputs'!O111)="",FALSE,EXACT("Hybrid",'Model inputs'!O111)),IF('Model inputs'!AA169="","",'Model inputs'!AA169),"")</f>
      </c>
    </row>
    <row r="1003">
      <c r="A1003" t="inlineStr" s="14">
        <is>
          <t xml:space="preserve">Calculation</t>
        </is>
      </c>
      <c r="B1003">
        <f>IF(IF(EXACT("Per audit — base",'Model inputs'!O111)="",FALSE,EXACT("Per audit — base",'Model inputs'!O111)),IF('Model inputs'!AA170="","",'Model inputs'!AA170),"")</f>
      </c>
    </row>
    <row r="1004">
      <c r="A1004" t="inlineStr" s="14">
        <is>
          <t xml:space="preserve">Calculation</t>
        </is>
      </c>
      <c r="B1004">
        <f>IF(IF(EXACT("Per audit — high",'Model inputs'!O111)="",FALSE,EXACT("Per audit — high",'Model inputs'!O111)),IF('Model inputs'!AA171="","",'Model inputs'!AA171),"")</f>
      </c>
    </row>
    <row r="1005">
      <c r="A1005" t="inlineStr" s="14">
        <is>
          <t xml:space="preserve">Calculation</t>
        </is>
      </c>
      <c r="B1005">
        <f>IF(IF(EXACT("Per audit — low",'Model inputs'!O111)="",FALSE,EXACT("Per audit — low",'Model inputs'!O111)),IF('Model inputs'!AA172="","",'Model inputs'!AA172),"")</f>
      </c>
    </row>
    <row r="1006">
      <c r="A1006" t="inlineStr" s="14">
        <is>
          <t xml:space="preserve">Calculation</t>
        </is>
      </c>
      <c r="B1006">
        <f>IF(IF(EXACT("Annual deal-team",'Model inputs'!O111)="",FALSE,EXACT("Annual deal-team",'Model inputs'!O111)),IF('Model inputs'!Y200="","",'Model inputs'!Y200),"")</f>
      </c>
    </row>
    <row r="1007">
      <c r="A1007" t="inlineStr" s="14">
        <is>
          <t xml:space="preserve">Calculation</t>
        </is>
      </c>
      <c r="B1007">
        <f>IF(IF(EXACT("Hybrid",'Model inputs'!O111)="",FALSE,EXACT("Hybrid",'Model inputs'!O111)),IF('Model inputs'!Y201="","",'Model inputs'!Y201),"")</f>
      </c>
    </row>
    <row r="1008">
      <c r="A1008" t="inlineStr" s="14">
        <is>
          <t xml:space="preserve">Calculation</t>
        </is>
      </c>
      <c r="B1008">
        <f>IF(IF(EXACT("Per audit — base",'Model inputs'!O111)="",FALSE,EXACT("Per audit — base",'Model inputs'!O111)),IF('Model inputs'!Y202="","",'Model inputs'!Y202),"")</f>
      </c>
    </row>
    <row r="1009">
      <c r="A1009" t="inlineStr" s="14">
        <is>
          <t xml:space="preserve">Calculation</t>
        </is>
      </c>
      <c r="B1009">
        <f>IF(IF(EXACT("Per audit — high",'Model inputs'!O111)="",FALSE,EXACT("Per audit — high",'Model inputs'!O111)),IF('Model inputs'!Y203="","",'Model inputs'!Y203),"")</f>
      </c>
    </row>
    <row r="1010">
      <c r="A1010" t="inlineStr" s="14">
        <is>
          <t xml:space="preserve">Calculation</t>
        </is>
      </c>
      <c r="B1010">
        <f>IF(IF(EXACT("Per audit — low",'Model inputs'!O111)="",FALSE,EXACT("Per audit — low",'Model inputs'!O111)),IF('Model inputs'!Y204="","",'Model inputs'!Y204),"")</f>
      </c>
    </row>
    <row r="1011">
      <c r="A1011" t="inlineStr" s="14">
        <is>
          <t xml:space="preserve">Calculation</t>
        </is>
      </c>
      <c r="B1011">
        <f>IF(IF(EXACT("Annual deal-team",'Model inputs'!O111)="",FALSE,EXACT("Annual deal-team",'Model inputs'!O111)),IF('Model inputs'!Z200="","",'Model inputs'!Z200),"")</f>
      </c>
    </row>
    <row r="1012">
      <c r="A1012" t="inlineStr" s="14">
        <is>
          <t xml:space="preserve">Calculation</t>
        </is>
      </c>
      <c r="B1012">
        <f>IF(IF(EXACT("Hybrid",'Model inputs'!O111)="",FALSE,EXACT("Hybrid",'Model inputs'!O111)),IF('Model inputs'!Z201="","",'Model inputs'!Z201),"")</f>
      </c>
    </row>
    <row r="1013">
      <c r="A1013" t="inlineStr" s="14">
        <is>
          <t xml:space="preserve">Calculation</t>
        </is>
      </c>
      <c r="B1013">
        <f>IF(IF(EXACT("Per audit — base",'Model inputs'!O111)="",FALSE,EXACT("Per audit — base",'Model inputs'!O111)),IF('Model inputs'!Z202="","",'Model inputs'!Z202),"")</f>
      </c>
    </row>
    <row r="1014">
      <c r="A1014" t="inlineStr" s="14">
        <is>
          <t xml:space="preserve">Calculation</t>
        </is>
      </c>
      <c r="B1014">
        <f>IF(IF(EXACT("Per audit — high",'Model inputs'!O111)="",FALSE,EXACT("Per audit — high",'Model inputs'!O111)),IF('Model inputs'!Z203="","",'Model inputs'!Z203),"")</f>
      </c>
    </row>
    <row r="1015">
      <c r="A1015" t="inlineStr" s="14">
        <is>
          <t xml:space="preserve">Calculation</t>
        </is>
      </c>
      <c r="B1015">
        <f>IF(IF(EXACT("Per audit — low",'Model inputs'!O111)="",FALSE,EXACT("Per audit — low",'Model inputs'!O111)),IF('Model inputs'!Z204="","",'Model inputs'!Z204),"")</f>
      </c>
    </row>
    <row r="1016">
      <c r="A1016" t="inlineStr" s="14">
        <is>
          <t xml:space="preserve">Calculation</t>
        </is>
      </c>
      <c r="B1016">
        <f>IF(IF(EXACT("Annual deal-team",'Model inputs'!O111)="",FALSE,EXACT("Annual deal-team",'Model inputs'!O111)),IF('Model inputs'!AA200="","",'Model inputs'!AA200),"")</f>
      </c>
    </row>
    <row r="1017">
      <c r="A1017" t="inlineStr" s="14">
        <is>
          <t xml:space="preserve">Calculation</t>
        </is>
      </c>
      <c r="B1017">
        <f>IF(IF(EXACT("Hybrid",'Model inputs'!O111)="",FALSE,EXACT("Hybrid",'Model inputs'!O111)),IF('Model inputs'!AA201="","",'Model inputs'!AA201),"")</f>
      </c>
    </row>
    <row r="1018">
      <c r="A1018" t="inlineStr" s="14">
        <is>
          <t xml:space="preserve">Calculation</t>
        </is>
      </c>
      <c r="B1018">
        <f>IF(IF(EXACT("Per audit — base",'Model inputs'!O111)="",FALSE,EXACT("Per audit — base",'Model inputs'!O111)),IF('Model inputs'!AA202="","",'Model inputs'!AA202),"")</f>
      </c>
    </row>
    <row r="1019">
      <c r="A1019" t="inlineStr" s="14">
        <is>
          <t xml:space="preserve">Calculation</t>
        </is>
      </c>
      <c r="B1019">
        <f>IF(IF(EXACT("Per audit — high",'Model inputs'!O111)="",FALSE,EXACT("Per audit — high",'Model inputs'!O111)),IF('Model inputs'!AA203="","",'Model inputs'!AA203),"")</f>
      </c>
    </row>
    <row r="1020">
      <c r="A1020" t="inlineStr" s="14">
        <is>
          <t xml:space="preserve">Calculation</t>
        </is>
      </c>
      <c r="B1020">
        <f>IF(IF(EXACT("Per audit — low",'Model inputs'!O111)="",FALSE,EXACT("Per audit — low",'Model inputs'!O111)),IF('Model inputs'!AA204="","",'Model inputs'!AA204),"")</f>
      </c>
    </row>
    <row r="1021">
      <c r="A1021" t="inlineStr" s="14">
        <is>
          <t xml:space="preserve">Calculation</t>
        </is>
      </c>
      <c r="B1021">
        <f>IF(IF(EXACT("Annual deal-team",'Model inputs'!O111)="",FALSE,EXACT("Annual deal-team",'Model inputs'!O111)),IF('Model inputs'!Y180="","",'Model inputs'!Y180),"")</f>
      </c>
    </row>
    <row r="1022">
      <c r="A1022" t="inlineStr" s="14">
        <is>
          <t xml:space="preserve">Calculation</t>
        </is>
      </c>
      <c r="B1022">
        <f>IF(IF(EXACT("Hybrid",'Model inputs'!O111)="",FALSE,EXACT("Hybrid",'Model inputs'!O111)),IF('Model inputs'!Y181="","",'Model inputs'!Y181),"")</f>
      </c>
    </row>
    <row r="1023">
      <c r="A1023" t="inlineStr" s="14">
        <is>
          <t xml:space="preserve">Calculation</t>
        </is>
      </c>
      <c r="B1023">
        <f>IF(IF(EXACT("Per audit — base",'Model inputs'!O111)="",FALSE,EXACT("Per audit — base",'Model inputs'!O111)),IF('Model inputs'!Y182="","",'Model inputs'!Y182),"")</f>
      </c>
    </row>
    <row r="1024">
      <c r="A1024" t="inlineStr" s="14">
        <is>
          <t xml:space="preserve">Calculation</t>
        </is>
      </c>
      <c r="B1024">
        <f>IF(IF(EXACT("Per audit — high",'Model inputs'!O111)="",FALSE,EXACT("Per audit — high",'Model inputs'!O111)),IF('Model inputs'!Y183="","",'Model inputs'!Y183),"")</f>
      </c>
    </row>
    <row r="1025">
      <c r="A1025" t="inlineStr" s="14">
        <is>
          <t xml:space="preserve">Calculation</t>
        </is>
      </c>
      <c r="B1025">
        <f>IF(IF(EXACT("Per audit — low",'Model inputs'!O111)="",FALSE,EXACT("Per audit — low",'Model inputs'!O111)),IF('Model inputs'!Y184="","",'Model inputs'!Y184),"")</f>
      </c>
    </row>
    <row r="1026">
      <c r="A1026" t="inlineStr" s="14">
        <is>
          <t xml:space="preserve">Calculation</t>
        </is>
      </c>
      <c r="B1026">
        <f>IF(IF(EXACT("Annual deal-team",'Model inputs'!O111)="",FALSE,EXACT("Annual deal-team",'Model inputs'!O111)),IF('Model inputs'!Z180="","",'Model inputs'!Z180),"")</f>
      </c>
    </row>
    <row r="1027">
      <c r="A1027" t="inlineStr" s="14">
        <is>
          <t xml:space="preserve">Calculation</t>
        </is>
      </c>
      <c r="B1027">
        <f>IF(IF(EXACT("Hybrid",'Model inputs'!O111)="",FALSE,EXACT("Hybrid",'Model inputs'!O111)),IF('Model inputs'!Z181="","",'Model inputs'!Z181),"")</f>
      </c>
    </row>
    <row r="1028">
      <c r="A1028" t="inlineStr" s="14">
        <is>
          <t xml:space="preserve">Calculation</t>
        </is>
      </c>
      <c r="B1028">
        <f>IF(IF(EXACT("Per audit — base",'Model inputs'!O111)="",FALSE,EXACT("Per audit — base",'Model inputs'!O111)),IF('Model inputs'!Z182="","",'Model inputs'!Z182),"")</f>
      </c>
    </row>
    <row r="1029">
      <c r="A1029" t="inlineStr" s="14">
        <is>
          <t xml:space="preserve">Calculation</t>
        </is>
      </c>
      <c r="B1029">
        <f>IF(IF(EXACT("Per audit — high",'Model inputs'!O111)="",FALSE,EXACT("Per audit — high",'Model inputs'!O111)),IF('Model inputs'!Z183="","",'Model inputs'!Z183),"")</f>
      </c>
    </row>
    <row r="1030">
      <c r="A1030" t="inlineStr" s="14">
        <is>
          <t xml:space="preserve">Calculation</t>
        </is>
      </c>
      <c r="B1030">
        <f>IF(IF(EXACT("Per audit — low",'Model inputs'!O111)="",FALSE,EXACT("Per audit — low",'Model inputs'!O111)),IF('Model inputs'!Z184="","",'Model inputs'!Z184),"")</f>
      </c>
    </row>
    <row r="1031">
      <c r="A1031" t="inlineStr" s="14">
        <is>
          <t xml:space="preserve">Calculation</t>
        </is>
      </c>
      <c r="B1031">
        <f>IF(IF(EXACT("Annual deal-team",'Model inputs'!O111)="",FALSE,EXACT("Annual deal-team",'Model inputs'!O111)),IF('Model inputs'!AA180="","",'Model inputs'!AA180),"")</f>
      </c>
    </row>
    <row r="1032">
      <c r="A1032" t="inlineStr" s="14">
        <is>
          <t xml:space="preserve">Calculation</t>
        </is>
      </c>
      <c r="B1032">
        <f>IF(IF(EXACT("Hybrid",'Model inputs'!O111)="",FALSE,EXACT("Hybrid",'Model inputs'!O111)),IF('Model inputs'!AA181="","",'Model inputs'!AA181),"")</f>
      </c>
    </row>
    <row r="1033">
      <c r="A1033" t="inlineStr" s="14">
        <is>
          <t xml:space="preserve">Calculation</t>
        </is>
      </c>
      <c r="B1033">
        <f>IF(IF(EXACT("Per audit — base",'Model inputs'!O111)="",FALSE,EXACT("Per audit — base",'Model inputs'!O111)),IF('Model inputs'!AA182="","",'Model inputs'!AA182),"")</f>
      </c>
    </row>
    <row r="1034">
      <c r="A1034" t="inlineStr" s="14">
        <is>
          <t xml:space="preserve">Calculation</t>
        </is>
      </c>
      <c r="B1034">
        <f>IF(IF(EXACT("Per audit — high",'Model inputs'!O111)="",FALSE,EXACT("Per audit — high",'Model inputs'!O111)),IF('Model inputs'!AA183="","",'Model inputs'!AA183),"")</f>
      </c>
    </row>
    <row r="1035">
      <c r="A1035" t="inlineStr" s="14">
        <is>
          <t xml:space="preserve">Calculation</t>
        </is>
      </c>
      <c r="B1035">
        <f>IF(IF(EXACT("Per audit — low",'Model inputs'!O111)="",FALSE,EXACT("Per audit — low",'Model inputs'!O111)),IF('Model inputs'!AA184="","",'Model inputs'!AA184),"")</f>
      </c>
    </row>
    <row r="1036">
      <c r="A1036" t="inlineStr" s="14">
        <is>
          <t xml:space="preserve">Calculation</t>
        </is>
      </c>
      <c r="B1036">
        <f>IF(IF(EXACT("Annual deal-team",'Model inputs'!O111)="",FALSE,EXACT("Annual deal-team",'Model inputs'!O111)),IF('Model inputs'!Y194="","",'Model inputs'!Y194),"")</f>
      </c>
    </row>
    <row r="1037">
      <c r="A1037" t="inlineStr" s="14">
        <is>
          <t xml:space="preserve">Calculation</t>
        </is>
      </c>
      <c r="B1037">
        <f>IF(IF(EXACT("Hybrid",'Model inputs'!O111)="",FALSE,EXACT("Hybrid",'Model inputs'!O111)),IF('Model inputs'!Y195="","",'Model inputs'!Y195),"")</f>
      </c>
    </row>
    <row r="1038">
      <c r="A1038" t="inlineStr" s="14">
        <is>
          <t xml:space="preserve">Calculation</t>
        </is>
      </c>
      <c r="B1038">
        <f>IF(IF(EXACT("Per audit — base",'Model inputs'!O111)="",FALSE,EXACT("Per audit — base",'Model inputs'!O111)),IF('Model inputs'!Y196="","",'Model inputs'!Y196),"")</f>
      </c>
    </row>
    <row r="1039">
      <c r="A1039" t="inlineStr" s="14">
        <is>
          <t xml:space="preserve">Calculation</t>
        </is>
      </c>
      <c r="B1039">
        <f>IF(IF(EXACT("Per audit — high",'Model inputs'!O111)="",FALSE,EXACT("Per audit — high",'Model inputs'!O111)),IF('Model inputs'!Y197="","",'Model inputs'!Y197),"")</f>
      </c>
    </row>
    <row r="1040">
      <c r="A1040" t="inlineStr" s="14">
        <is>
          <t xml:space="preserve">Calculation</t>
        </is>
      </c>
      <c r="B1040">
        <f>IF(IF(EXACT("Per audit — low",'Model inputs'!O111)="",FALSE,EXACT("Per audit — low",'Model inputs'!O111)),IF('Model inputs'!Y198="","",'Model inputs'!Y198),"")</f>
      </c>
    </row>
    <row r="1041">
      <c r="A1041" t="inlineStr" s="14">
        <is>
          <t xml:space="preserve">Calculation</t>
        </is>
      </c>
      <c r="B1041">
        <f>IF(IF(EXACT("Annual deal-team",'Model inputs'!O111)="",FALSE,EXACT("Annual deal-team",'Model inputs'!O111)),IF('Model inputs'!Z194="","",'Model inputs'!Z194),"")</f>
      </c>
    </row>
    <row r="1042">
      <c r="A1042" t="inlineStr" s="14">
        <is>
          <t xml:space="preserve">Calculation</t>
        </is>
      </c>
      <c r="B1042">
        <f>IF(IF(EXACT("Hybrid",'Model inputs'!O111)="",FALSE,EXACT("Hybrid",'Model inputs'!O111)),IF('Model inputs'!Z195="","",'Model inputs'!Z195),"")</f>
      </c>
    </row>
    <row r="1043">
      <c r="A1043" t="inlineStr" s="14">
        <is>
          <t xml:space="preserve">Calculation</t>
        </is>
      </c>
      <c r="B1043">
        <f>IF(IF(EXACT("Per audit — base",'Model inputs'!O111)="",FALSE,EXACT("Per audit — base",'Model inputs'!O111)),IF('Model inputs'!Z196="","",'Model inputs'!Z196),"")</f>
      </c>
    </row>
    <row r="1044">
      <c r="A1044" t="inlineStr" s="14">
        <is>
          <t xml:space="preserve">Calculation</t>
        </is>
      </c>
      <c r="B1044">
        <f>IF(IF(EXACT("Per audit — high",'Model inputs'!O111)="",FALSE,EXACT("Per audit — high",'Model inputs'!O111)),IF('Model inputs'!Z197="","",'Model inputs'!Z197),"")</f>
      </c>
    </row>
    <row r="1045">
      <c r="A1045" t="inlineStr" s="14">
        <is>
          <t xml:space="preserve">Calculation</t>
        </is>
      </c>
      <c r="B1045">
        <f>IF(IF(EXACT("Per audit — low",'Model inputs'!O111)="",FALSE,EXACT("Per audit — low",'Model inputs'!O111)),IF('Model inputs'!Z198="","",'Model inputs'!Z198),"")</f>
      </c>
    </row>
    <row r="1046">
      <c r="A1046" t="inlineStr" s="14">
        <is>
          <t xml:space="preserve">Calculation</t>
        </is>
      </c>
      <c r="B1046">
        <f>IF(IF(EXACT("Annual deal-team",'Model inputs'!O111)="",FALSE,EXACT("Annual deal-team",'Model inputs'!O111)),IF('Model inputs'!AA194="","",'Model inputs'!AA194),"")</f>
      </c>
    </row>
    <row r="1047">
      <c r="A1047" t="inlineStr" s="14">
        <is>
          <t xml:space="preserve">Calculation</t>
        </is>
      </c>
      <c r="B1047">
        <f>IF(IF(EXACT("Hybrid",'Model inputs'!O111)="",FALSE,EXACT("Hybrid",'Model inputs'!O111)),IF('Model inputs'!AA195="","",'Model inputs'!AA195),"")</f>
      </c>
    </row>
    <row r="1048">
      <c r="A1048" t="inlineStr" s="14">
        <is>
          <t xml:space="preserve">Calculation</t>
        </is>
      </c>
      <c r="B1048">
        <f>IF(IF(EXACT("Per audit — base",'Model inputs'!O111)="",FALSE,EXACT("Per audit — base",'Model inputs'!O111)),IF('Model inputs'!AA196="","",'Model inputs'!AA196),"")</f>
      </c>
    </row>
    <row r="1049">
      <c r="A1049" t="inlineStr" s="14">
        <is>
          <t xml:space="preserve">Calculation</t>
        </is>
      </c>
      <c r="B1049">
        <f>IF(IF(EXACT("Per audit — high",'Model inputs'!O111)="",FALSE,EXACT("Per audit — high",'Model inputs'!O111)),IF('Model inputs'!AA197="","",'Model inputs'!AA197),"")</f>
      </c>
    </row>
    <row r="1050">
      <c r="A1050" t="inlineStr" s="14">
        <is>
          <t xml:space="preserve">Calculation</t>
        </is>
      </c>
      <c r="B1050">
        <f>IF(IF(EXACT("Per audit — low",'Model inputs'!O111)="",FALSE,EXACT("Per audit — low",'Model inputs'!O111)),IF('Model inputs'!AA198="","",'Model inputs'!AA198),"")</f>
      </c>
    </row>
    <row r="1051">
      <c r="A1051" t="inlineStr" s="14">
        <is>
          <t xml:space="preserve">Calculation</t>
        </is>
      </c>
      <c r="B1051">
        <f>IF(IF(EXACT("Annual deal-team",'Model inputs'!O111)="",FALSE,EXACT("Annual deal-team",'Model inputs'!O111)),IF('Model inputs'!C138="","",'Model inputs'!C138),"")</f>
      </c>
    </row>
    <row r="1052">
      <c r="A1052" t="inlineStr" s="14">
        <is>
          <t xml:space="preserve">Calculation</t>
        </is>
      </c>
      <c r="B1052">
        <f>IF(IF(EXACT("Hybrid",'Model inputs'!O111)="",FALSE,EXACT("Hybrid",'Model inputs'!O111)),IF('Model inputs'!C139="","",'Model inputs'!C139),"")</f>
      </c>
    </row>
    <row r="1053">
      <c r="A1053" t="inlineStr" s="14">
        <is>
          <t xml:space="preserve">Calculation</t>
        </is>
      </c>
      <c r="B1053">
        <f>IF(IF(EXACT("Per audit — base",'Model inputs'!O111)="",FALSE,EXACT("Per audit — base",'Model inputs'!O111)),IF('Model inputs'!C140="","",'Model inputs'!C140),"")</f>
      </c>
    </row>
    <row r="1054">
      <c r="A1054" t="inlineStr" s="14">
        <is>
          <t xml:space="preserve">Calculation</t>
        </is>
      </c>
      <c r="B1054">
        <f>IF(IF(EXACT("Per audit — high",'Model inputs'!O111)="",FALSE,EXACT("Per audit — high",'Model inputs'!O111)),IF('Model inputs'!C141="","",'Model inputs'!C141),"")</f>
      </c>
    </row>
    <row r="1055">
      <c r="A1055" t="inlineStr" s="14">
        <is>
          <t xml:space="preserve">Calculation</t>
        </is>
      </c>
      <c r="B1055">
        <f>IF(IF(EXACT("Per audit — low",'Model inputs'!O111)="",FALSE,EXACT("Per audit — low",'Model inputs'!O111)),IF('Model inputs'!C142="","",'Model inputs'!C142),"")</f>
      </c>
    </row>
    <row r="1056">
      <c r="A1056" t="inlineStr" s="14">
        <is>
          <t xml:space="preserve">Calculation</t>
        </is>
      </c>
      <c r="B1056">
        <f>IF(IF(EXACT("Annual deal-team",'Model inputs'!O111)="",FALSE,EXACT("Annual deal-team",'Model inputs'!O111)),IF('Model inputs'!D138="","",'Model inputs'!D138),"")</f>
      </c>
    </row>
    <row r="1057">
      <c r="A1057" t="inlineStr" s="14">
        <is>
          <t xml:space="preserve">Calculation</t>
        </is>
      </c>
      <c r="B1057">
        <f>IF(IF(EXACT("Hybrid",'Model inputs'!O111)="",FALSE,EXACT("Hybrid",'Model inputs'!O111)),IF('Model inputs'!D139="","",'Model inputs'!D139),"")</f>
      </c>
    </row>
    <row r="1058">
      <c r="A1058" t="inlineStr" s="14">
        <is>
          <t xml:space="preserve">Calculation</t>
        </is>
      </c>
      <c r="B1058">
        <f>IF(IF(EXACT("Per audit — base",'Model inputs'!O111)="",FALSE,EXACT("Per audit — base",'Model inputs'!O111)),IF('Model inputs'!D140="","",'Model inputs'!D140),"")</f>
      </c>
    </row>
    <row r="1059">
      <c r="A1059" t="inlineStr" s="14">
        <is>
          <t xml:space="preserve">Calculation</t>
        </is>
      </c>
      <c r="B1059">
        <f>IF(IF(EXACT("Per audit — high",'Model inputs'!O111)="",FALSE,EXACT("Per audit — high",'Model inputs'!O111)),IF('Model inputs'!D141="","",'Model inputs'!D141),"")</f>
      </c>
    </row>
    <row r="1060">
      <c r="A1060" t="inlineStr" s="14">
        <is>
          <t xml:space="preserve">Calculation</t>
        </is>
      </c>
      <c r="B1060">
        <f>IF(IF(EXACT("Per audit — low",'Model inputs'!O111)="",FALSE,EXACT("Per audit — low",'Model inputs'!O111)),IF('Model inputs'!D142="","",'Model inputs'!D142),"")</f>
      </c>
    </row>
    <row r="1061">
      <c r="A1061" t="inlineStr" s="14">
        <is>
          <t xml:space="preserve">Calculation</t>
        </is>
      </c>
      <c r="B1061">
        <f>IF(IF(EXACT("Annual deal-team",'Model inputs'!O111)="",FALSE,EXACT("Annual deal-team",'Model inputs'!O111)),IF('Model inputs'!E138="","",'Model inputs'!E138),"")</f>
      </c>
    </row>
    <row r="1062">
      <c r="A1062" t="inlineStr" s="14">
        <is>
          <t xml:space="preserve">Calculation</t>
        </is>
      </c>
      <c r="B1062">
        <f>IF(IF(EXACT("Hybrid",'Model inputs'!O111)="",FALSE,EXACT("Hybrid",'Model inputs'!O111)),IF('Model inputs'!E139="","",'Model inputs'!E139),"")</f>
      </c>
    </row>
    <row r="1063">
      <c r="A1063" t="inlineStr" s="14">
        <is>
          <t xml:space="preserve">Calculation</t>
        </is>
      </c>
      <c r="B1063">
        <f>IF(IF(EXACT("Per audit — base",'Model inputs'!O111)="",FALSE,EXACT("Per audit — base",'Model inputs'!O111)),IF('Model inputs'!E140="","",'Model inputs'!E140),"")</f>
      </c>
    </row>
    <row r="1064">
      <c r="A1064" t="inlineStr" s="14">
        <is>
          <t xml:space="preserve">Calculation</t>
        </is>
      </c>
      <c r="B1064">
        <f>IF(IF(EXACT("Per audit — high",'Model inputs'!O111)="",FALSE,EXACT("Per audit — high",'Model inputs'!O111)),IF('Model inputs'!E141="","",'Model inputs'!E141),"")</f>
      </c>
    </row>
    <row r="1065">
      <c r="A1065" t="inlineStr" s="14">
        <is>
          <t xml:space="preserve">Calculation</t>
        </is>
      </c>
      <c r="B1065">
        <f>IF(IF(EXACT("Per audit — low",'Model inputs'!O111)="",FALSE,EXACT("Per audit — low",'Model inputs'!O111)),IF('Model inputs'!E142="","",'Model inputs'!E142),"")</f>
      </c>
    </row>
    <row r="1066">
      <c r="A1066" t="inlineStr" s="14">
        <is>
          <t xml:space="preserve">Calculation</t>
        </is>
      </c>
      <c r="B1066">
        <f>IF(IF(EXACT("Annual deal-team",'Model inputs'!O111)="",FALSE,EXACT("Annual deal-team",'Model inputs'!O111)),IF('Model inputs'!F138="","",'Model inputs'!F138),"")</f>
      </c>
    </row>
    <row r="1067">
      <c r="A1067" t="inlineStr" s="14">
        <is>
          <t xml:space="preserve">Calculation</t>
        </is>
      </c>
      <c r="B1067">
        <f>IF(IF(EXACT("Hybrid",'Model inputs'!O111)="",FALSE,EXACT("Hybrid",'Model inputs'!O111)),IF('Model inputs'!F139="","",'Model inputs'!F139),"")</f>
      </c>
    </row>
    <row r="1068">
      <c r="A1068" t="inlineStr" s="14">
        <is>
          <t xml:space="preserve">Calculation</t>
        </is>
      </c>
      <c r="B1068">
        <f>IF(IF(EXACT("Per audit — base",'Model inputs'!O111)="",FALSE,EXACT("Per audit — base",'Model inputs'!O111)),IF('Model inputs'!F140="","",'Model inputs'!F140),"")</f>
      </c>
    </row>
    <row r="1069">
      <c r="A1069" t="inlineStr" s="14">
        <is>
          <t xml:space="preserve">Calculation</t>
        </is>
      </c>
      <c r="B1069">
        <f>IF(IF(EXACT("Per audit — high",'Model inputs'!O111)="",FALSE,EXACT("Per audit — high",'Model inputs'!O111)),IF('Model inputs'!F141="","",'Model inputs'!F141),"")</f>
      </c>
    </row>
    <row r="1070">
      <c r="A1070" t="inlineStr" s="14">
        <is>
          <t xml:space="preserve">Calculation</t>
        </is>
      </c>
      <c r="B1070">
        <f>IF(IF(EXACT("Per audit — low",'Model inputs'!O111)="",FALSE,EXACT("Per audit — low",'Model inputs'!O111)),IF('Model inputs'!F142="","",'Model inputs'!F142),"")</f>
      </c>
    </row>
    <row r="1071">
      <c r="A1071" t="inlineStr" s="14">
        <is>
          <t xml:space="preserve">Calculation</t>
        </is>
      </c>
      <c r="B1071">
        <f>IF(IF(EXACT("Annual deal-team",'Model inputs'!O111)="",FALSE,EXACT("Annual deal-team",'Model inputs'!O111)),IF('Model inputs'!G138="","",'Model inputs'!G138),"")</f>
      </c>
    </row>
    <row r="1072">
      <c r="A1072" t="inlineStr" s="14">
        <is>
          <t xml:space="preserve">Calculation</t>
        </is>
      </c>
      <c r="B1072">
        <f>IF(IF(EXACT("Hybrid",'Model inputs'!O111)="",FALSE,EXACT("Hybrid",'Model inputs'!O111)),IF('Model inputs'!G139="","",'Model inputs'!G139),"")</f>
      </c>
    </row>
    <row r="1073">
      <c r="A1073" t="inlineStr" s="14">
        <is>
          <t xml:space="preserve">Calculation</t>
        </is>
      </c>
      <c r="B1073">
        <f>IF(IF(EXACT("Per audit — base",'Model inputs'!O111)="",FALSE,EXACT("Per audit — base",'Model inputs'!O111)),IF('Model inputs'!G140="","",'Model inputs'!G140),"")</f>
      </c>
    </row>
    <row r="1074">
      <c r="A1074" t="inlineStr" s="14">
        <is>
          <t xml:space="preserve">Calculation</t>
        </is>
      </c>
      <c r="B1074">
        <f>IF(IF(EXACT("Per audit — high",'Model inputs'!O111)="",FALSE,EXACT("Per audit — high",'Model inputs'!O111)),IF('Model inputs'!G141="","",'Model inputs'!G141),"")</f>
      </c>
    </row>
    <row r="1075">
      <c r="A1075" t="inlineStr" s="14">
        <is>
          <t xml:space="preserve">Calculation</t>
        </is>
      </c>
      <c r="B1075">
        <f>IF(IF(EXACT("Per audit — low",'Model inputs'!O111)="",FALSE,EXACT("Per audit — low",'Model inputs'!O111)),IF('Model inputs'!G142="","",'Model inputs'!G142),"")</f>
      </c>
    </row>
    <row r="1076">
      <c r="A1076" t="inlineStr" s="14">
        <is>
          <t xml:space="preserve">Calculation</t>
        </is>
      </c>
      <c r="B1076">
        <f>IF(IF(EXACT("Annual deal-team",'Model inputs'!O111)="",FALSE,EXACT("Annual deal-team",'Model inputs'!O111)),IF('Model inputs'!H138="","",'Model inputs'!H138),"")</f>
      </c>
    </row>
    <row r="1077">
      <c r="A1077" t="inlineStr" s="14">
        <is>
          <t xml:space="preserve">Calculation</t>
        </is>
      </c>
      <c r="B1077">
        <f>IF(IF(EXACT("Hybrid",'Model inputs'!O111)="",FALSE,EXACT("Hybrid",'Model inputs'!O111)),IF('Model inputs'!H139="","",'Model inputs'!H139),"")</f>
      </c>
    </row>
    <row r="1078">
      <c r="A1078" t="inlineStr" s="14">
        <is>
          <t xml:space="preserve">Calculation</t>
        </is>
      </c>
      <c r="B1078">
        <f>IF(IF(EXACT("Per audit — base",'Model inputs'!O111)="",FALSE,EXACT("Per audit — base",'Model inputs'!O111)),IF('Model inputs'!H140="","",'Model inputs'!H140),"")</f>
      </c>
    </row>
    <row r="1079">
      <c r="A1079" t="inlineStr" s="14">
        <is>
          <t xml:space="preserve">Calculation</t>
        </is>
      </c>
      <c r="B1079">
        <f>IF(IF(EXACT("Per audit — high",'Model inputs'!O111)="",FALSE,EXACT("Per audit — high",'Model inputs'!O111)),IF('Model inputs'!H141="","",'Model inputs'!H141),"")</f>
      </c>
    </row>
    <row r="1080">
      <c r="A1080" t="inlineStr" s="14">
        <is>
          <t xml:space="preserve">Calculation</t>
        </is>
      </c>
      <c r="B1080">
        <f>IF(IF(EXACT("Per audit — low",'Model inputs'!O111)="",FALSE,EXACT("Per audit — low",'Model inputs'!O111)),IF('Model inputs'!H142="","",'Model inputs'!H142),"")</f>
      </c>
    </row>
    <row r="1081">
      <c r="A1081" t="inlineStr" s="14">
        <is>
          <t xml:space="preserve">Calculation</t>
        </is>
      </c>
      <c r="B1081">
        <f>IF(IF(EXACT("Annual deal-team",'Model inputs'!O111)="",FALSE,EXACT("Annual deal-team",'Model inputs'!O111)),IF('Model inputs'!I138="","",'Model inputs'!I138),"")</f>
      </c>
    </row>
    <row r="1082">
      <c r="A1082" t="inlineStr" s="14">
        <is>
          <t xml:space="preserve">Calculation</t>
        </is>
      </c>
      <c r="B1082">
        <f>IF(IF(EXACT("Hybrid",'Model inputs'!O111)="",FALSE,EXACT("Hybrid",'Model inputs'!O111)),IF('Model inputs'!I139="","",'Model inputs'!I139),"")</f>
      </c>
    </row>
    <row r="1083">
      <c r="A1083" t="inlineStr" s="14">
        <is>
          <t xml:space="preserve">Calculation</t>
        </is>
      </c>
      <c r="B1083">
        <f>IF(IF(EXACT("Per audit — base",'Model inputs'!O111)="",FALSE,EXACT("Per audit — base",'Model inputs'!O111)),IF('Model inputs'!I140="","",'Model inputs'!I140),"")</f>
      </c>
    </row>
    <row r="1084">
      <c r="A1084" t="inlineStr" s="14">
        <is>
          <t xml:space="preserve">Calculation</t>
        </is>
      </c>
      <c r="B1084">
        <f>IF(IF(EXACT("Per audit — high",'Model inputs'!O111)="",FALSE,EXACT("Per audit — high",'Model inputs'!O111)),IF('Model inputs'!I141="","",'Model inputs'!I141),"")</f>
      </c>
    </row>
    <row r="1085">
      <c r="A1085" t="inlineStr" s="14">
        <is>
          <t xml:space="preserve">Calculation</t>
        </is>
      </c>
      <c r="B1085">
        <f>IF(IF(EXACT("Per audit — low",'Model inputs'!O111)="",FALSE,EXACT("Per audit — low",'Model inputs'!O111)),IF('Model inputs'!I142="","",'Model inputs'!I142),"")</f>
      </c>
    </row>
    <row r="1086">
      <c r="A1086" t="inlineStr" s="14">
        <is>
          <t xml:space="preserve">Calculation</t>
        </is>
      </c>
      <c r="B1086">
        <f>IF(IF(EXACT("Annual deal-team",'Model inputs'!O111)="",FALSE,EXACT("Annual deal-team",'Model inputs'!O111)),IF('Model inputs'!J138="","",'Model inputs'!J138),"")</f>
      </c>
    </row>
    <row r="1087">
      <c r="A1087" t="inlineStr" s="14">
        <is>
          <t xml:space="preserve">Calculation</t>
        </is>
      </c>
      <c r="B1087">
        <f>IF(IF(EXACT("Hybrid",'Model inputs'!O111)="",FALSE,EXACT("Hybrid",'Model inputs'!O111)),IF('Model inputs'!J139="","",'Model inputs'!J139),"")</f>
      </c>
    </row>
    <row r="1088">
      <c r="A1088" t="inlineStr" s="14">
        <is>
          <t xml:space="preserve">Calculation</t>
        </is>
      </c>
      <c r="B1088">
        <f>IF(IF(EXACT("Per audit — base",'Model inputs'!O111)="",FALSE,EXACT("Per audit — base",'Model inputs'!O111)),IF('Model inputs'!J140="","",'Model inputs'!J140),"")</f>
      </c>
    </row>
    <row r="1089">
      <c r="A1089" t="inlineStr" s="14">
        <is>
          <t xml:space="preserve">Calculation</t>
        </is>
      </c>
      <c r="B1089">
        <f>IF(IF(EXACT("Per audit — high",'Model inputs'!O111)="",FALSE,EXACT("Per audit — high",'Model inputs'!O111)),IF('Model inputs'!J141="","",'Model inputs'!J141),"")</f>
      </c>
    </row>
    <row r="1090">
      <c r="A1090" t="inlineStr" s="14">
        <is>
          <t xml:space="preserve">Calculation</t>
        </is>
      </c>
      <c r="B1090">
        <f>IF(IF(EXACT("Per audit — low",'Model inputs'!O111)="",FALSE,EXACT("Per audit — low",'Model inputs'!O111)),IF('Model inputs'!J142="","",'Model inputs'!J142),"")</f>
      </c>
    </row>
    <row r="1091">
      <c r="A1091" t="inlineStr" s="14">
        <is>
          <t xml:space="preserve">Calculation</t>
        </is>
      </c>
      <c r="B1091">
        <f>IF(IF(EXACT("Annual deal-team",'Model inputs'!O111)="",FALSE,EXACT("Annual deal-team",'Model inputs'!O111)),IF('Model inputs'!K138="","",'Model inputs'!K138),"")</f>
      </c>
    </row>
    <row r="1092">
      <c r="A1092" t="inlineStr" s="14">
        <is>
          <t xml:space="preserve">Calculation</t>
        </is>
      </c>
      <c r="B1092">
        <f>IF(IF(EXACT("Hybrid",'Model inputs'!O111)="",FALSE,EXACT("Hybrid",'Model inputs'!O111)),IF('Model inputs'!K139="","",'Model inputs'!K139),"")</f>
      </c>
    </row>
    <row r="1093">
      <c r="A1093" t="inlineStr" s="14">
        <is>
          <t xml:space="preserve">Calculation</t>
        </is>
      </c>
      <c r="B1093">
        <f>IF(IF(EXACT("Per audit — base",'Model inputs'!O111)="",FALSE,EXACT("Per audit — base",'Model inputs'!O111)),IF('Model inputs'!K140="","",'Model inputs'!K140),"")</f>
      </c>
    </row>
    <row r="1094">
      <c r="A1094" t="inlineStr" s="14">
        <is>
          <t xml:space="preserve">Calculation</t>
        </is>
      </c>
      <c r="B1094">
        <f>IF(IF(EXACT("Per audit — high",'Model inputs'!O111)="",FALSE,EXACT("Per audit — high",'Model inputs'!O111)),IF('Model inputs'!K141="","",'Model inputs'!K141),"")</f>
      </c>
    </row>
    <row r="1095">
      <c r="A1095" t="inlineStr" s="14">
        <is>
          <t xml:space="preserve">Calculation</t>
        </is>
      </c>
      <c r="B1095">
        <f>IF(IF(EXACT("Per audit — low",'Model inputs'!O111)="",FALSE,EXACT("Per audit — low",'Model inputs'!O111)),IF('Model inputs'!K142="","",'Model inputs'!K142),"")</f>
      </c>
    </row>
    <row r="1096">
      <c r="A1096" t="inlineStr" s="14">
        <is>
          <t xml:space="preserve">Calculation</t>
        </is>
      </c>
      <c r="B1096">
        <f>IF(IF(EXACT("Annual deal-team",'Model inputs'!O111)="",FALSE,EXACT("Annual deal-team",'Model inputs'!O111)),IF('Model inputs'!L138="","",'Model inputs'!L138),"")</f>
      </c>
    </row>
    <row r="1097">
      <c r="A1097" t="inlineStr" s="14">
        <is>
          <t xml:space="preserve">Calculation</t>
        </is>
      </c>
      <c r="B1097">
        <f>IF(IF(EXACT("Hybrid",'Model inputs'!O111)="",FALSE,EXACT("Hybrid",'Model inputs'!O111)),IF('Model inputs'!L139="","",'Model inputs'!L139),"")</f>
      </c>
    </row>
    <row r="1098">
      <c r="A1098" t="inlineStr" s="14">
        <is>
          <t xml:space="preserve">Calculation</t>
        </is>
      </c>
      <c r="B1098">
        <f>IF(IF(EXACT("Per audit — base",'Model inputs'!O111)="",FALSE,EXACT("Per audit — base",'Model inputs'!O111)),IF('Model inputs'!L140="","",'Model inputs'!L140),"")</f>
      </c>
    </row>
    <row r="1099">
      <c r="A1099" t="inlineStr" s="14">
        <is>
          <t xml:space="preserve">Calculation</t>
        </is>
      </c>
      <c r="B1099">
        <f>IF(IF(EXACT("Per audit — high",'Model inputs'!O111)="",FALSE,EXACT("Per audit — high",'Model inputs'!O111)),IF('Model inputs'!L141="","",'Model inputs'!L141),"")</f>
      </c>
    </row>
    <row r="1100">
      <c r="A1100" t="inlineStr" s="14">
        <is>
          <t xml:space="preserve">Calculation</t>
        </is>
      </c>
      <c r="B1100">
        <f>IF(IF(EXACT("Per audit — low",'Model inputs'!O111)="",FALSE,EXACT("Per audit — low",'Model inputs'!O111)),IF('Model inputs'!L142="","",'Model inputs'!L142),"")</f>
      </c>
    </row>
    <row r="1101">
      <c r="A1101" t="inlineStr" s="14">
        <is>
          <t xml:space="preserve">Calculation</t>
        </is>
      </c>
      <c r="B1101">
        <f>IF(IF(EXACT("Annual deal-team",'Model inputs'!O111)="",FALSE,EXACT("Annual deal-team",'Model inputs'!O111)),IF('Model inputs'!M138="","",'Model inputs'!M138),"")</f>
      </c>
    </row>
    <row r="1102">
      <c r="A1102" t="inlineStr" s="14">
        <is>
          <t xml:space="preserve">Calculation</t>
        </is>
      </c>
      <c r="B1102">
        <f>IF(IF(EXACT("Hybrid",'Model inputs'!O111)="",FALSE,EXACT("Hybrid",'Model inputs'!O111)),IF('Model inputs'!M139="","",'Model inputs'!M139),"")</f>
      </c>
    </row>
    <row r="1103">
      <c r="A1103" t="inlineStr" s="14">
        <is>
          <t xml:space="preserve">Calculation</t>
        </is>
      </c>
      <c r="B1103">
        <f>IF(IF(EXACT("Per audit — base",'Model inputs'!O111)="",FALSE,EXACT("Per audit — base",'Model inputs'!O111)),IF('Model inputs'!M140="","",'Model inputs'!M140),"")</f>
      </c>
    </row>
    <row r="1104">
      <c r="A1104" t="inlineStr" s="14">
        <is>
          <t xml:space="preserve">Calculation</t>
        </is>
      </c>
      <c r="B1104">
        <f>IF(IF(EXACT("Per audit — high",'Model inputs'!O111)="",FALSE,EXACT("Per audit — high",'Model inputs'!O111)),IF('Model inputs'!M141="","",'Model inputs'!M141),"")</f>
      </c>
    </row>
    <row r="1105">
      <c r="A1105" t="inlineStr" s="14">
        <is>
          <t xml:space="preserve">Calculation</t>
        </is>
      </c>
      <c r="B1105">
        <f>IF(IF(EXACT("Per audit — low",'Model inputs'!O111)="",FALSE,EXACT("Per audit — low",'Model inputs'!O111)),IF('Model inputs'!M142="","",'Model inputs'!M142),"")</f>
      </c>
    </row>
    <row r="1106">
      <c r="A1106" t="inlineStr" s="14">
        <is>
          <t xml:space="preserve">Calculation</t>
        </is>
      </c>
      <c r="B1106">
        <f>IF(IF(EXACT("Annual deal-team",'Model inputs'!O111)="",FALSE,EXACT("Annual deal-team",'Model inputs'!O111)),IF('Model inputs'!N138="","",'Model inputs'!N138),"")</f>
      </c>
    </row>
    <row r="1107">
      <c r="A1107" t="inlineStr" s="14">
        <is>
          <t xml:space="preserve">Calculation</t>
        </is>
      </c>
      <c r="B1107">
        <f>IF(IF(EXACT("Hybrid",'Model inputs'!O111)="",FALSE,EXACT("Hybrid",'Model inputs'!O111)),IF('Model inputs'!N139="","",'Model inputs'!N139),"")</f>
      </c>
    </row>
    <row r="1108">
      <c r="A1108" t="inlineStr" s="14">
        <is>
          <t xml:space="preserve">Calculation</t>
        </is>
      </c>
      <c r="B1108">
        <f>IF(IF(EXACT("Per audit — base",'Model inputs'!O111)="",FALSE,EXACT("Per audit — base",'Model inputs'!O111)),IF('Model inputs'!N140="","",'Model inputs'!N140),"")</f>
      </c>
    </row>
    <row r="1109">
      <c r="A1109" t="inlineStr" s="14">
        <is>
          <t xml:space="preserve">Calculation</t>
        </is>
      </c>
      <c r="B1109">
        <f>IF(IF(EXACT("Per audit — high",'Model inputs'!O111)="",FALSE,EXACT("Per audit — high",'Model inputs'!O111)),IF('Model inputs'!N141="","",'Model inputs'!N141),"")</f>
      </c>
    </row>
    <row r="1110">
      <c r="A1110" t="inlineStr" s="14">
        <is>
          <t xml:space="preserve">Calculation</t>
        </is>
      </c>
      <c r="B1110">
        <f>IF(IF(EXACT("Per audit — low",'Model inputs'!O111)="",FALSE,EXACT("Per audit — low",'Model inputs'!O111)),IF('Model inputs'!N142="","",'Model inputs'!N142),"")</f>
      </c>
    </row>
    <row r="1111">
      <c r="A1111" t="inlineStr" s="14">
        <is>
          <t xml:space="preserve">Calculation</t>
        </is>
      </c>
      <c r="B1111" s="10">
        <f>SUM(IF(IF(IF(AND('Model inputs'!P65&lt;=DATE(2026,1,1),DATE(2026,1,1)&lt;=EDATE('Model inputs'!P65,'Model inputs'!O63-1*1))="",FALSE,AND('Model inputs'!P65&lt;=DATE(2026,1,1),DATE(2026,1,1)&lt;=EDATE('Model inputs'!P65,'Model inputs'!O63-1*1))),'Model inputs'!Q102,"")="",0,IF(IF(AND('Model inputs'!P65&lt;=DATE(2026,1,1),DATE(2026,1,1)&lt;=EDATE('Model inputs'!P65,'Model inputs'!O63-1*1))="",FALSE,AND('Model inputs'!P65&lt;=DATE(2026,1,1),DATE(2026,1,1)&lt;=EDATE('Model inputs'!P65,'Model inputs'!O63-1*1))),'Model inputs'!Q102,"")),IF(IF(IF(AND('Model inputs'!P65&lt;=DATE(2026,2,1),DATE(2026,2,1)&lt;=EDATE('Model inputs'!P65,'Model inputs'!O63-1*1))="",FALSE,AND('Model inputs'!P65&lt;=DATE(2026,2,1),DATE(2026,2,1)&lt;=EDATE('Model inputs'!P65,'Model inputs'!O63-1*1))),'Model inputs'!R102,"")="",0,IF(IF(AND('Model inputs'!P65&lt;=DATE(2026,2,1),DATE(2026,2,1)&lt;=EDATE('Model inputs'!P65,'Model inputs'!O63-1*1))="",FALSE,AND('Model inputs'!P65&lt;=DATE(2026,2,1),DATE(2026,2,1)&lt;=EDATE('Model inputs'!P65,'Model inputs'!O63-1*1))),'Model inputs'!R102,"")),IF(IF(IF(AND('Model inputs'!P65&lt;=DATE(2026,3,1),DATE(2026,3,1)&lt;=EDATE('Model inputs'!P65,'Model inputs'!O63-1*1))="",FALSE,AND('Model inputs'!P65&lt;=DATE(2026,3,1),DATE(2026,3,1)&lt;=EDATE('Model inputs'!P65,'Model inputs'!O63-1*1))),'Model inputs'!S102,"")="",0,IF(IF(AND('Model inputs'!P65&lt;=DATE(2026,3,1),DATE(2026,3,1)&lt;=EDATE('Model inputs'!P65,'Model inputs'!O63-1*1))="",FALSE,AND('Model inputs'!P65&lt;=DATE(2026,3,1),DATE(2026,3,1)&lt;=EDATE('Model inputs'!P65,'Model inputs'!O63-1*1))),'Model inputs'!S102,"")),IF(IF(IF(AND('Model inputs'!P65&lt;=DATE(2026,4,1),DATE(2026,4,1)&lt;=EDATE('Model inputs'!P65,'Model inputs'!O63-1*1))="",FALSE,AND('Model inputs'!P65&lt;=DATE(2026,4,1),DATE(2026,4,1)&lt;=EDATE('Model inputs'!P65,'Model inputs'!O63-1*1))),'Model inputs'!T102,"")="",0,IF(IF(AND('Model inputs'!P65&lt;=DATE(2026,4,1),DATE(2026,4,1)&lt;=EDATE('Model inputs'!P65,'Model inputs'!O63-1*1))="",FALSE,AND('Model inputs'!P65&lt;=DATE(2026,4,1),DATE(2026,4,1)&lt;=EDATE('Model inputs'!P65,'Model inputs'!O63-1*1))),'Model inputs'!T102,"")),IF(IF(IF(AND('Model inputs'!P65&lt;=DATE(2026,5,1),DATE(2026,5,1)&lt;=EDATE('Model inputs'!P65,'Model inputs'!O63-1*1))="",FALSE,AND('Model inputs'!P65&lt;=DATE(2026,5,1),DATE(2026,5,1)&lt;=EDATE('Model inputs'!P65,'Model inputs'!O63-1*1))),'Model inputs'!U102,"")="",0,IF(IF(AND('Model inputs'!P65&lt;=DATE(2026,5,1),DATE(2026,5,1)&lt;=EDATE('Model inputs'!P65,'Model inputs'!O63-1*1))="",FALSE,AND('Model inputs'!P65&lt;=DATE(2026,5,1),DATE(2026,5,1)&lt;=EDATE('Model inputs'!P65,'Model inputs'!O63-1*1))),'Model inputs'!U102,"")),IF(IF(IF(AND('Model inputs'!P65&lt;=DATE(2026,6,1),DATE(2026,6,1)&lt;=EDATE('Model inputs'!P65,'Model inputs'!O63-1*1))="",FALSE,AND('Model inputs'!P65&lt;=DATE(2026,6,1),DATE(2026,6,1)&lt;=EDATE('Model inputs'!P65,'Model inputs'!O63-1*1))),'Model inputs'!V102,"")="",0,IF(IF(AND('Model inputs'!P65&lt;=DATE(2026,6,1),DATE(2026,6,1)&lt;=EDATE('Model inputs'!P65,'Model inputs'!O63-1*1))="",FALSE,AND('Model inputs'!P65&lt;=DATE(2026,6,1),DATE(2026,6,1)&lt;=EDATE('Model inputs'!P65,'Model inputs'!O63-1*1))),'Model inputs'!V102,"")),IF(IF(IF(AND('Model inputs'!P65&lt;=DATE(2026,7,1),DATE(2026,7,1)&lt;=EDATE('Model inputs'!P65,'Model inputs'!O63-1*1))="",FALSE,AND('Model inputs'!P65&lt;=DATE(2026,7,1),DATE(2026,7,1)&lt;=EDATE('Model inputs'!P65,'Model inputs'!O63-1*1))),'Model inputs'!W102,"")="",0,IF(IF(AND('Model inputs'!P65&lt;=DATE(2026,7,1),DATE(2026,7,1)&lt;=EDATE('Model inputs'!P65,'Model inputs'!O63-1*1))="",FALSE,AND('Model inputs'!P65&lt;=DATE(2026,7,1),DATE(2026,7,1)&lt;=EDATE('Model inputs'!P65,'Model inputs'!O63-1*1))),'Model inputs'!W102,"")),IF(IF(IF(AND('Model inputs'!P65&lt;=DATE(2026,8,1),DATE(2026,8,1)&lt;=EDATE('Model inputs'!P65,'Model inputs'!O63-1*1))="",FALSE,AND('Model inputs'!P65&lt;=DATE(2026,8,1),DATE(2026,8,1)&lt;=EDATE('Model inputs'!P65,'Model inputs'!O63-1*1))),'Model inputs'!X102,"")="",0,IF(IF(AND('Model inputs'!P65&lt;=DATE(2026,8,1),DATE(2026,8,1)&lt;=EDATE('Model inputs'!P65,'Model inputs'!O63-1*1))="",FALSE,AND('Model inputs'!P65&lt;=DATE(2026,8,1),DATE(2026,8,1)&lt;=EDATE('Model inputs'!P65,'Model inputs'!O63-1*1))),'Model inputs'!X102,"")),IF(IF(IF(AND('Model inputs'!P65&lt;=DATE(2026,9,1),DATE(2026,9,1)&lt;=EDATE('Model inputs'!P65,'Model inputs'!O63-1*1))="",FALSE,AND('Model inputs'!P65&lt;=DATE(2026,9,1),DATE(2026,9,1)&lt;=EDATE('Model inputs'!P65,'Model inputs'!O63-1*1))),'Model inputs'!B102,"")="",0,IF(IF(AND('Model inputs'!P65&lt;=DATE(2026,9,1),DATE(2026,9,1)&lt;=EDATE('Model inputs'!P65,'Model inputs'!O63-1*1))="",FALSE,AND('Model inputs'!P65&lt;=DATE(2026,9,1),DATE(2026,9,1)&lt;=EDATE('Model inputs'!P65,'Model inputs'!O63-1*1))),'Model inputs'!B102,"")),IF(IF(IF(AND('Model inputs'!P65&lt;=DATE(2026,10,1),DATE(2026,10,1)&lt;=EDATE('Model inputs'!P65,'Model inputs'!O63-1*1))="",FALSE,AND('Model inputs'!P65&lt;=DATE(2026,10,1),DATE(2026,10,1)&lt;=EDATE('Model inputs'!P65,'Model inputs'!O63-1*1))),'Model inputs'!C102,"")="",0,IF(IF(AND('Model inputs'!P65&lt;=DATE(2026,10,1),DATE(2026,10,1)&lt;=EDATE('Model inputs'!P65,'Model inputs'!O63-1*1))="",FALSE,AND('Model inputs'!P65&lt;=DATE(2026,10,1),DATE(2026,10,1)&lt;=EDATE('Model inputs'!P65,'Model inputs'!O63-1*1))),'Model inputs'!C102,"")),IF(IF(IF(AND('Model inputs'!P65&lt;=DATE(2026,11,1),DATE(2026,11,1)&lt;=EDATE('Model inputs'!P65,'Model inputs'!O63-1*1))="",FALSE,AND('Model inputs'!P65&lt;=DATE(2026,11,1),DATE(2026,11,1)&lt;=EDATE('Model inputs'!P65,'Model inputs'!O63-1*1))),'Model inputs'!D102,"")="",0,IF(IF(AND('Model inputs'!P65&lt;=DATE(2026,11,1),DATE(2026,11,1)&lt;=EDATE('Model inputs'!P65,'Model inputs'!O63-1*1))="",FALSE,AND('Model inputs'!P65&lt;=DATE(2026,11,1),DATE(2026,11,1)&lt;=EDATE('Model inputs'!P65,'Model inputs'!O63-1*1))),'Model inputs'!D102,"")),IF(IF(IF(AND('Model inputs'!P65&lt;=DATE(2026,12,1),DATE(2026,12,1)&lt;=EDATE('Model inputs'!P65,'Model inputs'!O63-1*1))="",FALSE,AND('Model inputs'!P65&lt;=DATE(2026,12,1),DATE(2026,12,1)&lt;=EDATE('Model inputs'!P65,'Model inputs'!O63-1*1))),'Model inputs'!E102,"")="",0,IF(IF(AND('Model inputs'!P65&lt;=DATE(2026,12,1),DATE(2026,12,1)&lt;=EDATE('Model inputs'!P65,'Model inputs'!O63-1*1))="",FALSE,AND('Model inputs'!P65&lt;=DATE(2026,12,1),DATE(2026,12,1)&lt;=EDATE('Model inputs'!P65,'Model inputs'!O63-1*1))),'Model inputs'!E102,"")),IF(IF(IF(AND('Model inputs'!P65&lt;=DATE(2027,1,1),DATE(2027,1,1)&lt;=EDATE('Model inputs'!P65,'Model inputs'!O63-1*1))="",FALSE,AND('Model inputs'!P65&lt;=DATE(2027,1,1),DATE(2027,1,1)&lt;=EDATE('Model inputs'!P65,'Model inputs'!O63-1*1))),'Model inputs'!F102,"")="",0,IF(IF(AND('Model inputs'!P65&lt;=DATE(2027,1,1),DATE(2027,1,1)&lt;=EDATE('Model inputs'!P65,'Model inputs'!O63-1*1))="",FALSE,AND('Model inputs'!P65&lt;=DATE(2027,1,1),DATE(2027,1,1)&lt;=EDATE('Model inputs'!P65,'Model inputs'!O63-1*1))),'Model inputs'!F102,"")),IF(IF(IF(AND('Model inputs'!P65&lt;=DATE(2027,2,1),DATE(2027,2,1)&lt;=EDATE('Model inputs'!P65,'Model inputs'!O63-1*1))="",FALSE,AND('Model inputs'!P65&lt;=DATE(2027,2,1),DATE(2027,2,1)&lt;=EDATE('Model inputs'!P65,'Model inputs'!O63-1*1))),'Model inputs'!G102,"")="",0,IF(IF(AND('Model inputs'!P65&lt;=DATE(2027,2,1),DATE(2027,2,1)&lt;=EDATE('Model inputs'!P65,'Model inputs'!O63-1*1))="",FALSE,AND('Model inputs'!P65&lt;=DATE(2027,2,1),DATE(2027,2,1)&lt;=EDATE('Model inputs'!P65,'Model inputs'!O63-1*1))),'Model inputs'!G102,"")),IF(IF(IF(AND('Model inputs'!P65&lt;=DATE(2027,3,1),DATE(2027,3,1)&lt;=EDATE('Model inputs'!P65,'Model inputs'!O63-1*1))="",FALSE,AND('Model inputs'!P65&lt;=DATE(2027,3,1),DATE(2027,3,1)&lt;=EDATE('Model inputs'!P65,'Model inputs'!O63-1*1))),'Model inputs'!H102,"")="",0,IF(IF(AND('Model inputs'!P65&lt;=DATE(2027,3,1),DATE(2027,3,1)&lt;=EDATE('Model inputs'!P65,'Model inputs'!O63-1*1))="",FALSE,AND('Model inputs'!P65&lt;=DATE(2027,3,1),DATE(2027,3,1)&lt;=EDATE('Model inputs'!P65,'Model inputs'!O63-1*1))),'Model inputs'!H102,"")),IF(IF(IF(AND('Model inputs'!P65&lt;=DATE(2027,4,1),DATE(2027,4,1)&lt;=EDATE('Model inputs'!P65,'Model inputs'!O63-1*1))="",FALSE,AND('Model inputs'!P65&lt;=DATE(2027,4,1),DATE(2027,4,1)&lt;=EDATE('Model inputs'!P65,'Model inputs'!O63-1*1))),'Model inputs'!I102,"")="",0,IF(IF(AND('Model inputs'!P65&lt;=DATE(2027,4,1),DATE(2027,4,1)&lt;=EDATE('Model inputs'!P65,'Model inputs'!O63-1*1))="",FALSE,AND('Model inputs'!P65&lt;=DATE(2027,4,1),DATE(2027,4,1)&lt;=EDATE('Model inputs'!P65,'Model inputs'!O63-1*1))),'Model inputs'!I102,"")))</f>
      </c>
    </row>
    <row r="1112">
      <c r="A1112" t="inlineStr" s="14">
        <is>
          <t xml:space="preserve">Calculation</t>
        </is>
      </c>
      <c r="B1112" s="10">
        <f>SUM(IF(IF(IF(AND('Model inputs'!P65&lt;=DATE(2027,5,1),DATE(2027,5,1)&lt;=EDATE('Model inputs'!P65,'Model inputs'!O63-1*1))="",FALSE,AND('Model inputs'!P65&lt;=DATE(2027,5,1),DATE(2027,5,1)&lt;=EDATE('Model inputs'!P65,'Model inputs'!O63-1*1))),'Model inputs'!J102,"")="",0,IF(IF(AND('Model inputs'!P65&lt;=DATE(2027,5,1),DATE(2027,5,1)&lt;=EDATE('Model inputs'!P65,'Model inputs'!O63-1*1))="",FALSE,AND('Model inputs'!P65&lt;=DATE(2027,5,1),DATE(2027,5,1)&lt;=EDATE('Model inputs'!P65,'Model inputs'!O63-1*1))),'Model inputs'!J102,"")),IF(IF(IF(AND('Model inputs'!P65&lt;=DATE(2027,6,1),DATE(2027,6,1)&lt;=EDATE('Model inputs'!P65,'Model inputs'!O63-1*1))="",FALSE,AND('Model inputs'!P65&lt;=DATE(2027,6,1),DATE(2027,6,1)&lt;=EDATE('Model inputs'!P65,'Model inputs'!O63-1*1))),'Model inputs'!K102,"")="",0,IF(IF(AND('Model inputs'!P65&lt;=DATE(2027,6,1),DATE(2027,6,1)&lt;=EDATE('Model inputs'!P65,'Model inputs'!O63-1*1))="",FALSE,AND('Model inputs'!P65&lt;=DATE(2027,6,1),DATE(2027,6,1)&lt;=EDATE('Model inputs'!P65,'Model inputs'!O63-1*1))),'Model inputs'!K102,"")),IF(IF(IF(AND('Model inputs'!P65&lt;=DATE(2027,7,1),DATE(2027,7,1)&lt;=EDATE('Model inputs'!P65,'Model inputs'!O63-1*1))="",FALSE,AND('Model inputs'!P65&lt;=DATE(2027,7,1),DATE(2027,7,1)&lt;=EDATE('Model inputs'!P65,'Model inputs'!O63-1*1))),'Model inputs'!L102,"")="",0,IF(IF(AND('Model inputs'!P65&lt;=DATE(2027,7,1),DATE(2027,7,1)&lt;=EDATE('Model inputs'!P65,'Model inputs'!O63-1*1))="",FALSE,AND('Model inputs'!P65&lt;=DATE(2027,7,1),DATE(2027,7,1)&lt;=EDATE('Model inputs'!P65,'Model inputs'!O63-1*1))),'Model inputs'!L102,"")),IF(IF(IF(AND('Model inputs'!P65&lt;=DATE(2027,8,1),DATE(2027,8,1)&lt;=EDATE('Model inputs'!P65,'Model inputs'!O63-1*1))="",FALSE,AND('Model inputs'!P65&lt;=DATE(2027,8,1),DATE(2027,8,1)&lt;=EDATE('Model inputs'!P65,'Model inputs'!O63-1*1))),'Model inputs'!M102,"")="",0,IF(IF(AND('Model inputs'!P65&lt;=DATE(2027,8,1),DATE(2027,8,1)&lt;=EDATE('Model inputs'!P65,'Model inputs'!O63-1*1))="",FALSE,AND('Model inputs'!P65&lt;=DATE(2027,8,1),DATE(2027,8,1)&lt;=EDATE('Model inputs'!P65,'Model inputs'!O63-1*1))),'Model inputs'!M102,"")),IF(IF(IF(AND('Model inputs'!P65&lt;=DATE(2027,9,1),DATE(2027,9,1)&lt;=EDATE('Model inputs'!P65,'Model inputs'!O63-1*1))="",FALSE,AND('Model inputs'!P65&lt;=DATE(2027,9,1),DATE(2027,9,1)&lt;=EDATE('Model inputs'!P65,'Model inputs'!O63-1*1))),'Model inputs'!N102,"")="",0,IF(IF(AND('Model inputs'!P65&lt;=DATE(2027,9,1),DATE(2027,9,1)&lt;=EDATE('Model inputs'!P65,'Model inputs'!O63-1*1))="",FALSE,AND('Model inputs'!P65&lt;=DATE(2027,9,1),DATE(2027,9,1)&lt;=EDATE('Model inputs'!P65,'Model inputs'!O63-1*1))),'Model inputs'!N102,"")),IF(IF(IF(AND('Model inputs'!P65&lt;=DATE(2027,10,1),DATE(2027,10,1)&lt;=EDATE('Model inputs'!P65,'Model inputs'!O63-1*1))="",FALSE,AND('Model inputs'!P65&lt;=DATE(2027,10,1),DATE(2027,10,1)&lt;=EDATE('Model inputs'!P65,'Model inputs'!O63-1*1))),'Model inputs'!Y103,"")="",0,IF(IF(AND('Model inputs'!P65&lt;=DATE(2027,10,1),DATE(2027,10,1)&lt;=EDATE('Model inputs'!P65,'Model inputs'!O63-1*1))="",FALSE,AND('Model inputs'!P65&lt;=DATE(2027,10,1),DATE(2027,10,1)&lt;=EDATE('Model inputs'!P65,'Model inputs'!O63-1*1))),'Model inputs'!Y103,"")),IF(IF(IF(AND('Model inputs'!P65&lt;=DATE(2027,11,1),DATE(2027,11,1)&lt;=EDATE('Model inputs'!P65,'Model inputs'!O63-1*1))="",FALSE,AND('Model inputs'!P65&lt;=DATE(2027,11,1),DATE(2027,11,1)&lt;=EDATE('Model inputs'!P65,'Model inputs'!O63-1*1))),'Model inputs'!Z103,"")="",0,IF(IF(AND('Model inputs'!P65&lt;=DATE(2027,11,1),DATE(2027,11,1)&lt;=EDATE('Model inputs'!P65,'Model inputs'!O63-1*1))="",FALSE,AND('Model inputs'!P65&lt;=DATE(2027,11,1),DATE(2027,11,1)&lt;=EDATE('Model inputs'!P65,'Model inputs'!O63-1*1))),'Model inputs'!Z103,"")),IF(IF(IF(AND('Model inputs'!P65&lt;=DATE(2027,12,1),DATE(2027,12,1)&lt;=EDATE('Model inputs'!P65,'Model inputs'!O63-1*1))="",FALSE,AND('Model inputs'!P65&lt;=DATE(2027,12,1),DATE(2027,12,1)&lt;=EDATE('Model inputs'!P65,'Model inputs'!O63-1*1))),'Model inputs'!AA103,"")="",0,IF(IF(AND('Model inputs'!P65&lt;=DATE(2027,12,1),DATE(2027,12,1)&lt;=EDATE('Model inputs'!P65,'Model inputs'!O63-1*1))="",FALSE,AND('Model inputs'!P65&lt;=DATE(2027,12,1),DATE(2027,12,1)&lt;=EDATE('Model inputs'!P65,'Model inputs'!O63-1*1))),'Model inputs'!AA103,"")))</f>
      </c>
    </row>
  </sheetData>
  <mergeCells count="2">
    <mergeCell ref="A1:AA1"/>
    <mergeCell ref="A2:AA2"/>
  </mergeCells>
</worksheet>
</file>

<file path=xl/worksheets/sheet6.xml><?xml version="1.0" encoding="utf-8"?>
<worksheet xmlns="http://schemas.openxmlformats.org/spreadsheetml/2006/main">
  <dimension ref="A1:F6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18">
        <is>
          <t xml:space="preserve">Model inputs</t>
        </is>
      </c>
      <c r="B5" t="inlineStr" s="18">
        <is>
          <t xml:space="preserve">O118</t>
        </is>
      </c>
      <c r="C5" t="inlineStr" s="18">
        <is>
          <t xml:space="preserve">Customer monthly delivered audits</t>
        </is>
      </c>
      <c r="D5" t="inlineStr" s="18">
        <is>
          <t xml:space="preserve"/>
        </is>
      </c>
      <c r="E5" t="inlineStr" s="18">
        <is>
          <t xml:space="preserve">Growth</t>
        </is>
      </c>
      <c r="F5" t="inlineStr" s="18">
        <is>
          <t xml:space="preserve">It reads Pricing model, which this workbook does not contain.</t>
        </is>
      </c>
    </row>
    <row r="6">
      <c r="A6" t="inlineStr" s="18">
        <is>
          <t xml:space="preserve">Model inputs</t>
        </is>
      </c>
      <c r="B6" t="inlineStr" s="18">
        <is>
          <t xml:space="preserve">O124</t>
        </is>
      </c>
      <c r="C6" t="inlineStr" s="18">
        <is>
          <t xml:space="preserve">Customer monthly earned revenue</t>
        </is>
      </c>
      <c r="D6" t="inlineStr" s="18">
        <is>
          <t xml:space="preserve"/>
        </is>
      </c>
      <c r="E6" t="inlineStr" s="18">
        <is>
          <t xml:space="preserve">Growth</t>
        </is>
      </c>
      <c r="F6" t="inlineStr" s="18">
        <is>
          <t xml:space="preserve">It reads Pricing model, which this workbook does not contain.</t>
        </is>
      </c>
    </row>
  </sheetData>
  <mergeCells count="2">
    <mergeCell ref="A1:F1"/>
    <mergeCell ref="A2:F2"/>
  </mergeCells>
</worksheet>
</file>